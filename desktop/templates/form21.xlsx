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65" firstSheet="0" activeTab="0" autoFilterDateGrouping="1"/>
  </bookViews>
  <sheets>
    <sheet xmlns:r="http://schemas.openxmlformats.org/officeDocument/2006/relationships" name="А0000" sheetId="1" state="visible" r:id="rId1"/>
  </sheets>
  <definedNames>
    <definedName name="_xlnm._FilterDatabase" localSheetId="0" hidden="1">'А0000'!$A$8:$U$327</definedName>
    <definedName name="_xlnm.Print_Titles" localSheetId="0">'А0000'!$3:$7</definedName>
    <definedName name="_xlnm.Print_Area" localSheetId="0">'А0000'!$A$1:$T$327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;\-0;;\ @"/>
    <numFmt numFmtId="165" formatCode="0&quot;&quot;;\-0;;@"/>
    <numFmt numFmtId="166" formatCode="0;\-0;;@"/>
  </numFmts>
  <fonts count="11">
    <font>
      <name val="Calibri"/>
      <charset val="1"/>
      <family val="2"/>
      <color rgb="FF000000"/>
      <sz val="11"/>
    </font>
    <font>
      <name val="Calibri"/>
      <charset val="204"/>
      <family val="2"/>
      <color rgb="FF000000"/>
      <sz val="11"/>
    </font>
    <font>
      <name val="Arial Cyr"/>
      <charset val="204"/>
      <sz val="10"/>
    </font>
    <font>
      <name val="Arial"/>
      <charset val="204"/>
      <family val="2"/>
      <sz val="10"/>
    </font>
    <font>
      <name val="Times New Roman"/>
      <charset val="204"/>
      <family val="1"/>
      <b val="1"/>
      <sz val="14"/>
    </font>
    <font>
      <name val="Times New Roman"/>
      <charset val="204"/>
      <family val="1"/>
      <sz val="14"/>
    </font>
    <font>
      <name val="Times New Roman"/>
      <charset val="204"/>
      <family val="1"/>
      <i val="1"/>
      <sz val="14"/>
    </font>
    <font>
      <name val="Times New Roman"/>
      <charset val="204"/>
      <family val="1"/>
      <b val="1"/>
      <color rgb="FF000000"/>
      <sz val="14"/>
    </font>
    <font>
      <name val="Times New Roman"/>
      <charset val="204"/>
      <family val="1"/>
      <color rgb="FFFF0000"/>
      <sz val="14"/>
    </font>
    <font>
      <name val="Times New Roman"/>
      <charset val="204"/>
      <family val="1"/>
      <color rgb="FF000000"/>
      <sz val="14"/>
    </font>
    <font>
      <name val="Times New Roman"/>
      <charset val="204"/>
      <family val="1"/>
      <color theme="0" tint="-0.1499984740745262"/>
      <sz val="14"/>
    </font>
  </fonts>
  <fills count="7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rgb="FF92D050"/>
        <bgColor rgb="FFFFFFCC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3" fillId="0" borderId="0"/>
    <xf numFmtId="0" fontId="3" fillId="0" borderId="0"/>
  </cellStyleXfs>
  <cellXfs count="100">
    <xf numFmtId="0" fontId="0" fillId="0" borderId="0" pivotButton="0" quotePrefix="0" xfId="0"/>
    <xf numFmtId="164" fontId="5" fillId="2" borderId="0" pivotButton="0" quotePrefix="0" xfId="4"/>
    <xf numFmtId="164" fontId="4" fillId="2" borderId="0" pivotButton="0" quotePrefix="0" xfId="4"/>
    <xf numFmtId="164" fontId="4" fillId="5" borderId="1" applyAlignment="1" pivotButton="0" quotePrefix="0" xfId="3">
      <alignment vertical="center" wrapText="1"/>
    </xf>
    <xf numFmtId="164" fontId="4" fillId="5" borderId="1" applyAlignment="1" pivotButton="0" quotePrefix="0" xfId="4">
      <alignment horizontal="center" vertical="center" wrapText="1"/>
    </xf>
    <xf numFmtId="164" fontId="5" fillId="2" borderId="1" applyAlignment="1" pivotButton="0" quotePrefix="0" xfId="3">
      <alignment vertical="center" wrapText="1"/>
    </xf>
    <xf numFmtId="164" fontId="4" fillId="3" borderId="1" applyAlignment="1" applyProtection="1" pivotButton="0" quotePrefix="0" xfId="4">
      <alignment horizontal="center" vertical="center" wrapText="1"/>
      <protection locked="0" hidden="0"/>
    </xf>
    <xf numFmtId="164" fontId="5" fillId="3" borderId="1" applyAlignment="1" applyProtection="1" pivotButton="0" quotePrefix="0" xfId="3">
      <alignment vertical="center" wrapText="1"/>
      <protection locked="0" hidden="0"/>
    </xf>
    <xf numFmtId="164" fontId="5" fillId="3" borderId="1" applyAlignment="1" applyProtection="1" pivotButton="0" quotePrefix="0" xfId="4">
      <alignment horizontal="center" vertical="center" wrapText="1"/>
      <protection locked="0" hidden="0"/>
    </xf>
    <xf numFmtId="164" fontId="6" fillId="3" borderId="1" applyAlignment="1" applyProtection="1" pivotButton="0" quotePrefix="0" xfId="3">
      <alignment vertical="center" wrapText="1"/>
      <protection locked="0" hidden="0"/>
    </xf>
    <xf numFmtId="164" fontId="4" fillId="5" borderId="1" applyAlignment="1" applyProtection="1" pivotButton="0" quotePrefix="0" xfId="4">
      <alignment horizontal="center" vertical="center" wrapText="1"/>
      <protection locked="0" hidden="0"/>
    </xf>
    <xf numFmtId="164" fontId="7" fillId="5" borderId="1" applyAlignment="1" pivotButton="0" quotePrefix="0" xfId="3">
      <alignment vertical="center" wrapText="1"/>
    </xf>
    <xf numFmtId="164" fontId="4" fillId="3" borderId="1" applyAlignment="1" pivotButton="0" quotePrefix="0" xfId="4">
      <alignment horizontal="center" vertical="center" wrapText="1"/>
    </xf>
    <xf numFmtId="164" fontId="5" fillId="4" borderId="1" applyAlignment="1" pivotButton="0" quotePrefix="0" xfId="3">
      <alignment vertical="center" wrapText="1"/>
    </xf>
    <xf numFmtId="164" fontId="5" fillId="2" borderId="1" applyAlignment="1" pivotButton="0" quotePrefix="0" xfId="1">
      <alignment vertical="center" wrapText="1"/>
    </xf>
    <xf numFmtId="164" fontId="5" fillId="3" borderId="1" applyAlignment="1" applyProtection="1" pivotButton="0" quotePrefix="0" xfId="1">
      <alignment vertical="center" wrapText="1"/>
      <protection locked="0" hidden="0"/>
    </xf>
    <xf numFmtId="164" fontId="4" fillId="2" borderId="1" applyAlignment="1" pivotButton="0" quotePrefix="0" xfId="4">
      <alignment horizontal="center" vertical="center" wrapText="1"/>
    </xf>
    <xf numFmtId="164" fontId="4" fillId="2" borderId="1" applyAlignment="1" pivotButton="0" quotePrefix="0" xfId="4">
      <alignment horizontal="center" vertical="center" textRotation="90" wrapText="1"/>
    </xf>
    <xf numFmtId="164" fontId="5" fillId="0" borderId="0" pivotButton="0" quotePrefix="0" xfId="4"/>
    <xf numFmtId="164" fontId="4" fillId="0" borderId="0" pivotButton="0" quotePrefix="0" xfId="4"/>
    <xf numFmtId="164" fontId="4" fillId="0" borderId="0" applyAlignment="1" pivotButton="0" quotePrefix="0" xfId="4">
      <alignment horizontal="center"/>
    </xf>
    <xf numFmtId="164" fontId="8" fillId="0" borderId="0" pivotButton="0" quotePrefix="0" xfId="4"/>
    <xf numFmtId="164" fontId="9" fillId="0" borderId="0" pivotButton="0" quotePrefix="0" xfId="4"/>
    <xf numFmtId="164" fontId="4" fillId="2" borderId="7" applyAlignment="1" pivotButton="0" quotePrefix="0" xfId="4">
      <alignment horizontal="center" vertical="center" wrapText="1"/>
    </xf>
    <xf numFmtId="164" fontId="4" fillId="2" borderId="8" applyAlignment="1" pivotButton="0" quotePrefix="0" xfId="4">
      <alignment horizontal="center" vertical="center" wrapText="1"/>
    </xf>
    <xf numFmtId="164" fontId="4" fillId="2" borderId="7" applyAlignment="1" pivotButton="0" quotePrefix="0" xfId="4">
      <alignment horizontal="center" vertical="center" textRotation="90" wrapText="1"/>
    </xf>
    <xf numFmtId="164" fontId="4" fillId="2" borderId="8" applyAlignment="1" pivotButton="0" quotePrefix="0" xfId="4">
      <alignment horizontal="center" vertical="center" textRotation="90" wrapText="1"/>
    </xf>
    <xf numFmtId="164" fontId="4" fillId="5" borderId="7" applyAlignment="1" pivotButton="0" quotePrefix="0" xfId="4">
      <alignment horizontal="center" vertical="center" wrapText="1"/>
    </xf>
    <xf numFmtId="164" fontId="4" fillId="5" borderId="8" applyAlignment="1" pivotButton="0" quotePrefix="0" xfId="4">
      <alignment horizontal="center" vertical="center" wrapText="1"/>
    </xf>
    <xf numFmtId="164" fontId="4" fillId="3" borderId="8" applyAlignment="1" applyProtection="1" pivotButton="0" quotePrefix="0" xfId="4">
      <alignment horizontal="center" vertical="center" wrapText="1"/>
      <protection locked="0" hidden="0"/>
    </xf>
    <xf numFmtId="164" fontId="4" fillId="5" borderId="8" applyAlignment="1" applyProtection="1" pivotButton="0" quotePrefix="0" xfId="4">
      <alignment horizontal="center" vertical="center" wrapText="1"/>
      <protection locked="0" hidden="0"/>
    </xf>
    <xf numFmtId="164" fontId="4" fillId="3" borderId="8" applyAlignment="1" pivotButton="0" quotePrefix="0" xfId="4">
      <alignment horizontal="center" vertical="center" wrapText="1"/>
    </xf>
    <xf numFmtId="164" fontId="5" fillId="3" borderId="8" applyAlignment="1" applyProtection="1" pivotButton="0" quotePrefix="0" xfId="4">
      <alignment horizontal="center" vertical="center" wrapText="1"/>
      <protection locked="0" hidden="0"/>
    </xf>
    <xf numFmtId="164" fontId="4" fillId="5" borderId="9" applyAlignment="1" pivotButton="0" quotePrefix="0" xfId="4">
      <alignment horizontal="center" vertical="center" wrapText="1"/>
    </xf>
    <xf numFmtId="164" fontId="4" fillId="5" borderId="10" applyAlignment="1" pivotButton="0" quotePrefix="0" xfId="4">
      <alignment horizontal="center" vertical="center" wrapText="1"/>
    </xf>
    <xf numFmtId="164" fontId="4" fillId="5" borderId="11" applyAlignment="1" pivotButton="0" quotePrefix="0" xfId="4">
      <alignment horizontal="center" vertical="center" wrapText="1"/>
    </xf>
    <xf numFmtId="164" fontId="4" fillId="2" borderId="7" applyAlignment="1" applyProtection="1" pivotButton="0" quotePrefix="0" xfId="4">
      <alignment horizontal="center" vertical="center" wrapText="1"/>
      <protection locked="1" hidden="1"/>
    </xf>
    <xf numFmtId="164" fontId="5" fillId="5" borderId="7" applyAlignment="1" pivotButton="0" quotePrefix="0" xfId="4">
      <alignment horizontal="center" vertical="center" wrapText="1"/>
    </xf>
    <xf numFmtId="164" fontId="5" fillId="2" borderId="7" applyAlignment="1" pivotButton="0" quotePrefix="0" xfId="4">
      <alignment horizontal="center" vertical="center" wrapText="1"/>
    </xf>
    <xf numFmtId="164" fontId="5" fillId="2" borderId="8" applyAlignment="1" pivotButton="0" quotePrefix="0" xfId="4">
      <alignment horizontal="center" vertical="center" wrapText="1"/>
    </xf>
    <xf numFmtId="164" fontId="5" fillId="5" borderId="8" applyAlignment="1" pivotButton="0" quotePrefix="0" xfId="4">
      <alignment horizontal="center" vertical="center" wrapText="1"/>
    </xf>
    <xf numFmtId="164" fontId="9" fillId="5" borderId="7" applyAlignment="1" pivotButton="0" quotePrefix="0" xfId="4">
      <alignment horizontal="center" vertical="center" wrapText="1"/>
    </xf>
    <xf numFmtId="164" fontId="7" fillId="5" borderId="8" applyAlignment="1" pivotButton="0" quotePrefix="0" xfId="4">
      <alignment horizontal="center" vertical="center" wrapText="1"/>
    </xf>
    <xf numFmtId="164" fontId="5" fillId="2" borderId="7" applyAlignment="1" pivotButton="0" quotePrefix="0" xfId="2">
      <alignment horizontal="center" vertical="center" wrapText="1"/>
    </xf>
    <xf numFmtId="164" fontId="8" fillId="5" borderId="7" applyAlignment="1" pivotButton="0" quotePrefix="0" xfId="2">
      <alignment horizontal="center" vertical="center" wrapText="1"/>
    </xf>
    <xf numFmtId="164" fontId="8" fillId="5" borderId="9" applyAlignment="1" pivotButton="0" quotePrefix="0" xfId="2">
      <alignment horizontal="center" vertical="center" wrapText="1"/>
    </xf>
    <xf numFmtId="164" fontId="4" fillId="5" borderId="10" applyAlignment="1" pivotButton="0" quotePrefix="0" xfId="3">
      <alignment vertical="center" wrapText="1"/>
    </xf>
    <xf numFmtId="164" fontId="10" fillId="0" borderId="0" pivotButton="0" quotePrefix="0" xfId="4"/>
    <xf numFmtId="164" fontId="5" fillId="2" borderId="0" applyAlignment="1" pivotButton="0" quotePrefix="0" xfId="4">
      <alignment vertical="top"/>
    </xf>
    <xf numFmtId="164" fontId="5" fillId="4" borderId="2" applyAlignment="1" pivotButton="0" quotePrefix="0" xfId="2">
      <alignment vertical="center" wrapText="1"/>
    </xf>
    <xf numFmtId="164" fontId="4" fillId="2" borderId="7" applyAlignment="1" pivotButton="0" quotePrefix="0" xfId="4">
      <alignment horizontal="center" vertical="center" wrapText="1"/>
    </xf>
    <xf numFmtId="164" fontId="4" fillId="2" borderId="1" applyAlignment="1" pivotButton="0" quotePrefix="0" xfId="4">
      <alignment horizontal="center" vertical="center" wrapText="1"/>
    </xf>
    <xf numFmtId="164" fontId="4" fillId="2" borderId="7" applyAlignment="1" pivotButton="0" quotePrefix="0" xfId="4">
      <alignment horizontal="center" vertical="center" wrapText="1"/>
    </xf>
    <xf numFmtId="164" fontId="4" fillId="2" borderId="7" applyAlignment="1" pivotButton="0" quotePrefix="0" xfId="4">
      <alignment horizontal="center" vertical="center" wrapText="1"/>
    </xf>
    <xf numFmtId="164" fontId="4" fillId="2" borderId="1" applyAlignment="1" pivotButton="0" quotePrefix="0" xfId="4">
      <alignment horizontal="center" vertical="center" wrapText="1"/>
    </xf>
    <xf numFmtId="164" fontId="5" fillId="2" borderId="0" applyAlignment="1" pivotButton="0" quotePrefix="0" xfId="4">
      <alignment horizontal="center"/>
    </xf>
    <xf numFmtId="164" fontId="4" fillId="2" borderId="0" pivotButton="0" quotePrefix="0" xfId="4"/>
    <xf numFmtId="164" fontId="4" fillId="2" borderId="4" applyAlignment="1" pivotButton="0" quotePrefix="0" xfId="4">
      <alignment horizontal="center" vertical="center" wrapText="1"/>
    </xf>
    <xf numFmtId="164" fontId="4" fillId="2" borderId="7" applyAlignment="1" pivotButton="0" quotePrefix="0" xfId="4">
      <alignment horizontal="center" vertical="center" wrapText="1"/>
    </xf>
    <xf numFmtId="164" fontId="4" fillId="2" borderId="5" applyAlignment="1" pivotButton="0" quotePrefix="0" xfId="4">
      <alignment horizontal="center" vertical="center" wrapText="1"/>
    </xf>
    <xf numFmtId="164" fontId="4" fillId="2" borderId="1" applyAlignment="1" pivotButton="0" quotePrefix="0" xfId="4">
      <alignment horizontal="center" vertical="center" wrapText="1"/>
    </xf>
    <xf numFmtId="164" fontId="4" fillId="2" borderId="6" applyAlignment="1" pivotButton="0" quotePrefix="0" xfId="4">
      <alignment horizontal="center" vertical="center" textRotation="90" wrapText="1"/>
    </xf>
    <xf numFmtId="164" fontId="4" fillId="2" borderId="8" applyAlignment="1" pivotButton="0" quotePrefix="0" xfId="4">
      <alignment horizontal="center" vertical="center" textRotation="90" wrapText="1"/>
    </xf>
    <xf numFmtId="164" fontId="4" fillId="2" borderId="6" applyAlignment="1" pivotButton="0" quotePrefix="0" xfId="4">
      <alignment horizontal="center" vertical="center" wrapText="1"/>
    </xf>
    <xf numFmtId="164" fontId="4" fillId="2" borderId="4" applyAlignment="1" pivotButton="0" quotePrefix="0" xfId="4">
      <alignment horizontal="center" vertical="center" textRotation="90" wrapText="1"/>
    </xf>
    <xf numFmtId="164" fontId="4" fillId="2" borderId="7" applyAlignment="1" pivotButton="0" quotePrefix="0" xfId="4">
      <alignment horizontal="center" vertical="center" textRotation="90" wrapText="1"/>
    </xf>
    <xf numFmtId="164" fontId="4" fillId="2" borderId="5" applyAlignment="1" pivotButton="0" quotePrefix="0" xfId="4">
      <alignment horizontal="center" vertical="center" textRotation="90" wrapText="1"/>
    </xf>
    <xf numFmtId="164" fontId="4" fillId="2" borderId="1" applyAlignment="1" pivotButton="0" quotePrefix="0" xfId="4">
      <alignment horizontal="center" vertical="center" textRotation="90" wrapText="1"/>
    </xf>
    <xf numFmtId="0" fontId="5" fillId="2" borderId="3" applyAlignment="1" pivotButton="0" quotePrefix="0" xfId="2">
      <alignment horizontal="left" vertical="center" wrapText="1"/>
    </xf>
    <xf numFmtId="164" fontId="4" fillId="4" borderId="2" applyAlignment="1" pivotButton="0" quotePrefix="0" xfId="2">
      <alignment horizontal="left" vertical="center" wrapText="1"/>
    </xf>
    <xf numFmtId="164" fontId="4" fillId="2" borderId="8" applyAlignment="1" pivotButton="0" quotePrefix="0" xfId="4">
      <alignment horizontal="center" vertical="center" wrapText="1"/>
    </xf>
    <xf numFmtId="164" fontId="4" fillId="2" borderId="12" applyAlignment="1" pivotButton="0" quotePrefix="0" xfId="4">
      <alignment horizontal="center" vertical="center" textRotation="90" wrapText="1"/>
    </xf>
    <xf numFmtId="165" fontId="5" fillId="3" borderId="1" applyAlignment="1" applyProtection="1" pivotButton="0" quotePrefix="0" xfId="3">
      <alignment vertical="center" wrapText="1"/>
      <protection locked="0" hidden="0"/>
    </xf>
    <xf numFmtId="166" fontId="5" fillId="3" borderId="1" applyAlignment="1" applyProtection="1" pivotButton="0" quotePrefix="0" xfId="3">
      <alignment vertical="center" wrapText="1"/>
      <protection locked="0" hidden="1"/>
    </xf>
    <xf numFmtId="166" fontId="5" fillId="3" borderId="1" applyAlignment="1" applyProtection="1" pivotButton="0" quotePrefix="0" xfId="3">
      <alignment vertical="center" wrapText="1"/>
      <protection locked="0" hidden="0"/>
    </xf>
    <xf numFmtId="166" fontId="5" fillId="6" borderId="1" applyAlignment="1" pivotButton="0" quotePrefix="0" xfId="3">
      <alignment horizontal="left" vertical="center" wrapText="1"/>
    </xf>
    <xf numFmtId="166" fontId="5" fillId="6" borderId="1" applyAlignment="1" pivotButton="0" quotePrefix="0" xfId="3">
      <alignment vertical="center" wrapText="1"/>
    </xf>
    <xf numFmtId="166" fontId="5" fillId="6" borderId="1" applyAlignment="1" applyProtection="1" pivotButton="0" quotePrefix="0" xfId="3">
      <alignment vertical="center" wrapText="1"/>
      <protection locked="0" hidden="0"/>
    </xf>
    <xf numFmtId="166" fontId="5" fillId="6" borderId="1" applyAlignment="1" pivotButton="0" quotePrefix="0" xfId="5">
      <alignment horizontal="left" vertical="center" wrapText="1"/>
    </xf>
    <xf numFmtId="166" fontId="5" fillId="3" borderId="1" applyAlignment="1" applyProtection="1" pivotButton="0" quotePrefix="0" xfId="1">
      <alignment vertical="center" wrapText="1"/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20" pivotButton="0" quotePrefix="0" xfId="0"/>
    <xf numFmtId="0" fontId="0" fillId="0" borderId="26" pivotButton="0" quotePrefix="0" xfId="0"/>
    <xf numFmtId="0" fontId="0" fillId="0" borderId="28" pivotButton="0" quotePrefix="0" xfId="0"/>
    <xf numFmtId="0" fontId="0" fillId="0" borderId="14" pivotButton="0" quotePrefix="0" xfId="0"/>
    <xf numFmtId="0" fontId="0" fillId="0" borderId="2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17" pivotButton="0" quotePrefix="0" xfId="0"/>
    <xf numFmtId="0" fontId="0" fillId="0" borderId="16" pivotButton="0" quotePrefix="0" xfId="0"/>
    <xf numFmtId="0" fontId="0" fillId="0" borderId="24" pivotButton="0" quotePrefix="0" xfId="0"/>
    <xf numFmtId="0" fontId="0" fillId="0" borderId="21" pivotButton="0" quotePrefix="0" xfId="0"/>
    <xf numFmtId="0" fontId="0" fillId="0" borderId="27" pivotButton="0" quotePrefix="0" xfId="0"/>
    <xf numFmtId="0" fontId="0" fillId="0" borderId="29" pivotButton="0" quotePrefix="0" xfId="0"/>
    <xf numFmtId="0" fontId="0" fillId="0" borderId="25" pivotButton="0" quotePrefix="0" xfId="0"/>
  </cellXfs>
  <cellStyles count="6">
    <cellStyle name="Звичайний" xfId="0" builtinId="0"/>
    <cellStyle name="Обычный 3" xfId="1"/>
    <cellStyle name="Обычный_Книга1" xfId="2"/>
    <cellStyle name="Обычный_Форма ТЗ" xfId="3"/>
    <cellStyle name="Обычный_Форма документів 2" xfId="4"/>
    <cellStyle name="Обычный 2 2" xfId="5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27"/>
  <sheetViews>
    <sheetView tabSelected="1" view="pageBreakPreview" topLeftCell="B1" zoomScale="77" zoomScaleNormal="73" zoomScaleSheetLayoutView="70" workbookViewId="0">
      <pane ySplit="8" topLeftCell="A32" activePane="bottomLeft" state="frozen"/>
      <selection pane="bottomLeft" activeCell="F32" sqref="F32"/>
    </sheetView>
  </sheetViews>
  <sheetFormatPr baseColWidth="8" defaultColWidth="8.85546875" defaultRowHeight="18.75"/>
  <cols>
    <col width="8" customWidth="1" style="18" min="1" max="1"/>
    <col width="96.42578125" customWidth="1" style="18" min="2" max="2"/>
    <col width="9.85546875" customWidth="1" style="18" min="3" max="16"/>
    <col width="12.7109375" customWidth="1" style="18" min="17" max="17"/>
    <col width="9.85546875" customWidth="1" style="18" min="18" max="20"/>
    <col width="11.42578125" bestFit="1" customWidth="1" style="18" min="21" max="21"/>
    <col width="8.85546875" customWidth="1" style="18" min="22" max="1638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48" t="n"/>
      <c r="P1" s="1" t="n"/>
      <c r="Q1" s="1" t="n"/>
      <c r="R1" s="55" t="n"/>
    </row>
    <row r="2" ht="19.5" customFormat="1" customHeight="1" s="19" thickBot="1">
      <c r="A2" s="56" t="inlineStr">
        <is>
          <t>2. Потреба та забезпеченість технічними засобами продовольчої служби</t>
        </is>
      </c>
      <c r="S2" s="56" t="n"/>
      <c r="T2" s="56" t="n"/>
    </row>
    <row r="3" ht="15.75" customFormat="1" customHeight="1" s="19">
      <c r="A3" s="57" t="inlineStr">
        <is>
          <t>№ з/п</t>
        </is>
      </c>
      <c r="B3" s="59" t="inlineStr">
        <is>
          <t>Найменування матеріальних засобів</t>
        </is>
      </c>
      <c r="C3" s="61" t="inlineStr">
        <is>
          <t>Одиниця обліку</t>
        </is>
      </c>
      <c r="D3" s="57" t="inlineStr">
        <is>
          <t>Потреба</t>
        </is>
      </c>
      <c r="E3" s="80" t="n"/>
      <c r="F3" s="80" t="n"/>
      <c r="G3" s="80" t="n"/>
      <c r="H3" s="80" t="n"/>
      <c r="I3" s="81" t="n"/>
      <c r="J3" s="57" t="inlineStr">
        <is>
          <t>Наявність</t>
        </is>
      </c>
      <c r="K3" s="80" t="n"/>
      <c r="L3" s="80" t="n"/>
      <c r="M3" s="80" t="n"/>
      <c r="N3" s="80" t="n"/>
      <c r="O3" s="80" t="n"/>
      <c r="P3" s="80" t="n"/>
      <c r="Q3" s="81" t="n"/>
      <c r="R3" s="64" t="inlineStr">
        <is>
          <t>Надлишок</t>
        </is>
      </c>
      <c r="S3" s="66" t="inlineStr">
        <is>
          <t>Невистачає</t>
        </is>
      </c>
      <c r="T3" s="61" t="inlineStr">
        <is>
          <t>Примітка (знищено)</t>
        </is>
      </c>
    </row>
    <row r="4" ht="15.75" customFormat="1" customHeight="1" s="19">
      <c r="A4" s="82" t="n"/>
      <c r="B4" s="83" t="n"/>
      <c r="C4" s="84" t="n"/>
      <c r="D4" s="58" t="inlineStr">
        <is>
          <t>всього згідно штатів</t>
        </is>
      </c>
      <c r="E4" s="85" t="n"/>
      <c r="F4" s="60" t="inlineStr">
        <is>
          <t>у т.ч.</t>
        </is>
      </c>
      <c r="G4" s="86" t="n"/>
      <c r="H4" s="86" t="n"/>
      <c r="I4" s="85" t="n"/>
      <c r="J4" s="58" t="inlineStr">
        <is>
          <t>всього</t>
        </is>
      </c>
      <c r="K4" s="60" t="n"/>
      <c r="L4" s="87" t="n"/>
      <c r="M4" s="87" t="n"/>
      <c r="N4" s="87" t="n"/>
      <c r="O4" s="87" t="n"/>
      <c r="P4" s="87" t="n"/>
      <c r="Q4" s="88" t="n"/>
      <c r="R4" s="82" t="n"/>
      <c r="S4" s="83" t="n"/>
      <c r="T4" s="84" t="n"/>
    </row>
    <row r="5" ht="15.75" customFormat="1" customHeight="1" s="19">
      <c r="A5" s="82" t="n"/>
      <c r="B5" s="83" t="n"/>
      <c r="C5" s="84" t="n"/>
      <c r="D5" s="89" t="n"/>
      <c r="E5" s="90" t="n"/>
      <c r="F5" s="91" t="n"/>
      <c r="G5" s="92" t="n"/>
      <c r="H5" s="92" t="n"/>
      <c r="I5" s="93" t="n"/>
      <c r="J5" s="82" t="n"/>
      <c r="K5" s="60" t="inlineStr">
        <is>
          <t>у військових частинах</t>
        </is>
      </c>
      <c r="L5" s="87" t="n"/>
      <c r="M5" s="87" t="n"/>
      <c r="N5" s="87" t="n"/>
      <c r="O5" s="87" t="n"/>
      <c r="P5" s="88" t="n"/>
      <c r="Q5" s="71" t="inlineStr">
        <is>
          <t>приписано з національної економіки</t>
        </is>
      </c>
      <c r="R5" s="82" t="n"/>
      <c r="S5" s="83" t="n"/>
      <c r="T5" s="84" t="n"/>
    </row>
    <row r="6" ht="16.5" customFormat="1" customHeight="1" s="19">
      <c r="A6" s="82" t="n"/>
      <c r="B6" s="83" t="n"/>
      <c r="C6" s="84" t="n"/>
      <c r="D6" s="94" t="n"/>
      <c r="E6" s="93" t="n"/>
      <c r="F6" s="60" t="inlineStr">
        <is>
          <t>в/ч</t>
        </is>
      </c>
      <c r="G6" s="88" t="n"/>
      <c r="H6" s="60" t="inlineStr">
        <is>
          <t>формування</t>
        </is>
      </c>
      <c r="I6" s="88" t="n"/>
      <c r="J6" s="82" t="n"/>
      <c r="K6" s="60" t="inlineStr">
        <is>
          <t>НЗ</t>
        </is>
      </c>
      <c r="L6" s="87" t="n"/>
      <c r="M6" s="88" t="n"/>
      <c r="N6" s="60" t="inlineStr">
        <is>
          <t>ПЗ</t>
        </is>
      </c>
      <c r="O6" s="87" t="n"/>
      <c r="P6" s="88" t="n"/>
      <c r="Q6" s="95" t="n"/>
      <c r="R6" s="82" t="n"/>
      <c r="S6" s="83" t="n"/>
      <c r="T6" s="84" t="n"/>
    </row>
    <row r="7" ht="107.25" customFormat="1" customHeight="1" s="19">
      <c r="A7" s="96" t="n"/>
      <c r="B7" s="97" t="n"/>
      <c r="C7" s="98" t="n"/>
      <c r="D7" s="65" t="inlineStr">
        <is>
          <t>на в/час</t>
        </is>
      </c>
      <c r="E7" s="67" t="inlineStr">
        <is>
          <t>на м/час</t>
        </is>
      </c>
      <c r="F7" s="67" t="inlineStr">
        <is>
          <t>на в/час</t>
        </is>
      </c>
      <c r="G7" s="67" t="inlineStr">
        <is>
          <t>на м/час</t>
        </is>
      </c>
      <c r="H7" s="67" t="inlineStr">
        <is>
          <t>на в/час</t>
        </is>
      </c>
      <c r="I7" s="62" t="inlineStr">
        <is>
          <t>на м/час</t>
        </is>
      </c>
      <c r="J7" s="96" t="n"/>
      <c r="K7" s="67" t="inlineStr">
        <is>
          <t>І-ІІІ категорії</t>
        </is>
      </c>
      <c r="L7" s="67" t="inlineStr">
        <is>
          <t>ІV категорії</t>
        </is>
      </c>
      <c r="M7" s="67" t="inlineStr">
        <is>
          <t>V категорії</t>
        </is>
      </c>
      <c r="N7" s="67" t="inlineStr">
        <is>
          <t>І-ІІІ категорії</t>
        </is>
      </c>
      <c r="O7" s="67" t="inlineStr">
        <is>
          <t>ІV категорії</t>
        </is>
      </c>
      <c r="P7" s="67" t="inlineStr">
        <is>
          <t>V категорії</t>
        </is>
      </c>
      <c r="Q7" s="99" t="n"/>
      <c r="R7" s="96" t="n"/>
      <c r="S7" s="97" t="n"/>
      <c r="T7" s="98" t="n"/>
    </row>
    <row r="8" ht="34.5" customFormat="1" customHeight="1" s="20">
      <c r="A8" s="58" t="n">
        <v>1</v>
      </c>
      <c r="B8" s="60" t="n">
        <v>2</v>
      </c>
      <c r="C8" s="70" t="n">
        <v>3</v>
      </c>
      <c r="D8" s="58" t="n">
        <v>4</v>
      </c>
      <c r="E8" s="60" t="n">
        <v>5</v>
      </c>
      <c r="F8" s="60" t="n">
        <v>6</v>
      </c>
      <c r="G8" s="60" t="n">
        <v>7</v>
      </c>
      <c r="H8" s="60" t="n">
        <v>8</v>
      </c>
      <c r="I8" s="70" t="n">
        <v>9</v>
      </c>
      <c r="J8" s="58" t="n">
        <v>10</v>
      </c>
      <c r="K8" s="60" t="n">
        <v>11</v>
      </c>
      <c r="L8" s="60" t="n">
        <v>12</v>
      </c>
      <c r="M8" s="60" t="n">
        <v>13</v>
      </c>
      <c r="N8" s="60" t="n">
        <v>14</v>
      </c>
      <c r="O8" s="60" t="n">
        <v>15</v>
      </c>
      <c r="P8" s="60" t="n">
        <v>16</v>
      </c>
      <c r="Q8" s="70" t="n">
        <v>18</v>
      </c>
      <c r="R8" s="58" t="n">
        <v>19</v>
      </c>
      <c r="S8" s="60" t="n">
        <v>20</v>
      </c>
      <c r="T8" s="70" t="n">
        <v>21</v>
      </c>
    </row>
    <row r="9" ht="34.5" customFormat="1" customHeight="1" s="21">
      <c r="A9" s="37" t="n">
        <v>1</v>
      </c>
      <c r="B9" s="3" t="inlineStr">
        <is>
          <t>Кухні причіпні:</t>
        </is>
      </c>
      <c r="C9" s="28" t="inlineStr">
        <is>
          <t>к-т</t>
        </is>
      </c>
      <c r="D9" s="27">
        <f>F9+H9</f>
        <v/>
      </c>
      <c r="E9" s="4">
        <f>G9+I9</f>
        <v/>
      </c>
      <c r="F9" s="4">
        <f>F10+F11+F12+F13+F14+F15+F16+F17+F18</f>
        <v/>
      </c>
      <c r="G9" s="4">
        <f>G10+G11+G12+G13+G14+G15+G16+G17+G18</f>
        <v/>
      </c>
      <c r="H9" s="4">
        <f>H10+H11+H12+H13+H14+H15+H16+H17+H18</f>
        <v/>
      </c>
      <c r="I9" s="28">
        <f>I10+I11+I12+I13+I14+I15+I16+I17+I18</f>
        <v/>
      </c>
      <c r="J9" s="27">
        <f>SUM(K9:Q9)</f>
        <v/>
      </c>
      <c r="K9" s="4">
        <f>K10+K11+K12+K13+K14+K15+K16+K17+K18</f>
        <v/>
      </c>
      <c r="L9" s="4">
        <f>L10+L11+L12+L13+L14+L15+L16+L17+L18</f>
        <v/>
      </c>
      <c r="M9" s="4">
        <f>M10+M11+M12+M13+M14+M15+M16+M17+M18</f>
        <v/>
      </c>
      <c r="N9" s="4">
        <f>N10+N11+N12+N13+N14+N15+N16+N17+N18</f>
        <v/>
      </c>
      <c r="O9" s="4">
        <f>O10+O11+O12+O13+O14+O15+O16+O17+O18</f>
        <v/>
      </c>
      <c r="P9" s="4">
        <f>P10+P11+P12+P13+P14+P15+P16+P17+P18</f>
        <v/>
      </c>
      <c r="Q9" s="28">
        <f>Q10+Q11+Q12+Q13+Q14+Q15+Q16+Q17+Q18</f>
        <v/>
      </c>
      <c r="R9" s="27">
        <f>IF(J9-D9&lt;0,0,J9-D9)</f>
        <v/>
      </c>
      <c r="S9" s="4">
        <f>IF(D9-J9&lt;0,0,D9-J9)</f>
        <v/>
      </c>
      <c r="T9" s="28">
        <f>T10+T11+T12+T13+T14+T15+T16+T17+T18</f>
        <v/>
      </c>
      <c r="U9" s="47">
        <f>SUM(D9:T9)</f>
        <v/>
      </c>
    </row>
    <row r="10" ht="34.5" customHeight="1">
      <c r="A10" s="38" t="n"/>
      <c r="B10" s="5" t="inlineStr">
        <is>
          <t>кухня причіпна КП-125 (125М)</t>
        </is>
      </c>
      <c r="C10" s="39" t="inlineStr">
        <is>
          <t>к-т</t>
        </is>
      </c>
      <c r="D10" s="58">
        <f>F10+H10</f>
        <v/>
      </c>
      <c r="E10" s="60">
        <f>G10+I10</f>
        <v/>
      </c>
      <c r="F10" s="6" t="n"/>
      <c r="G10" s="6" t="n"/>
      <c r="H10" s="6" t="n"/>
      <c r="I10" s="29" t="n"/>
      <c r="J10" s="58">
        <f>SUM(K10:Q10)</f>
        <v/>
      </c>
      <c r="K10" s="6" t="n"/>
      <c r="L10" s="6" t="n"/>
      <c r="M10" s="6" t="n"/>
      <c r="N10" s="6" t="n"/>
      <c r="O10" s="6" t="n"/>
      <c r="P10" s="6" t="n"/>
      <c r="Q10" s="29" t="n"/>
      <c r="R10" s="58">
        <f>IF(J10-D10&lt;0,0,J10-D10)</f>
        <v/>
      </c>
      <c r="S10" s="60">
        <f>IF(D10-J10&lt;0,0,D10-J10)</f>
        <v/>
      </c>
      <c r="T10" s="29" t="n"/>
      <c r="U10" s="47">
        <f>SUM(D10:T10)</f>
        <v/>
      </c>
    </row>
    <row r="11" ht="34.5" customHeight="1">
      <c r="A11" s="38" t="n"/>
      <c r="B11" s="5" t="inlineStr">
        <is>
          <t>кухня причіпна КП-130 (КП-130М)</t>
        </is>
      </c>
      <c r="C11" s="39" t="inlineStr">
        <is>
          <t>к-т</t>
        </is>
      </c>
      <c r="D11" s="58">
        <f>F11+H11</f>
        <v/>
      </c>
      <c r="E11" s="60">
        <f>G11+I11</f>
        <v/>
      </c>
      <c r="F11" s="6" t="n"/>
      <c r="G11" s="6" t="n"/>
      <c r="H11" s="6" t="n"/>
      <c r="I11" s="29" t="n"/>
      <c r="J11" s="58">
        <f>SUM(K11:Q11)</f>
        <v/>
      </c>
      <c r="K11" s="6" t="n"/>
      <c r="L11" s="6" t="n"/>
      <c r="M11" s="6" t="n"/>
      <c r="N11" s="6" t="n"/>
      <c r="O11" s="6" t="n"/>
      <c r="P11" s="6" t="n"/>
      <c r="Q11" s="29" t="n"/>
      <c r="R11" s="58">
        <f>IF(J11-D11&lt;0,0,J11-D11)</f>
        <v/>
      </c>
      <c r="S11" s="60">
        <f>IF(D11-J11&lt;0,0,D11-J11)</f>
        <v/>
      </c>
      <c r="T11" s="29" t="n"/>
      <c r="U11" s="47">
        <f>SUM(D11:T11)</f>
        <v/>
      </c>
    </row>
    <row r="12" ht="34.5" customHeight="1">
      <c r="A12" s="38" t="n"/>
      <c r="B12" s="5" t="inlineStr">
        <is>
          <t>кухня причіпна КП-2-48</t>
        </is>
      </c>
      <c r="C12" s="39" t="inlineStr">
        <is>
          <t>к-т</t>
        </is>
      </c>
      <c r="D12" s="58">
        <f>F12+H12</f>
        <v/>
      </c>
      <c r="E12" s="60">
        <f>G12+I12</f>
        <v/>
      </c>
      <c r="F12" s="6" t="n"/>
      <c r="G12" s="6" t="n"/>
      <c r="H12" s="6" t="n"/>
      <c r="I12" s="29" t="n"/>
      <c r="J12" s="58">
        <f>SUM(K12:Q12)</f>
        <v/>
      </c>
      <c r="K12" s="6" t="n"/>
      <c r="L12" s="6" t="n"/>
      <c r="M12" s="6" t="n"/>
      <c r="N12" s="6" t="n"/>
      <c r="O12" s="6" t="n"/>
      <c r="P12" s="6" t="n"/>
      <c r="Q12" s="29" t="n"/>
      <c r="R12" s="58">
        <f>IF(J12-D12&lt;0,0,J12-D12)</f>
        <v/>
      </c>
      <c r="S12" s="60">
        <f>IF(D12-J12&lt;0,0,D12-J12)</f>
        <v/>
      </c>
      <c r="T12" s="29" t="n"/>
      <c r="U12" s="47">
        <f>SUM(D12:T12)</f>
        <v/>
      </c>
    </row>
    <row r="13" ht="34.5" customHeight="1">
      <c r="A13" s="38" t="n"/>
      <c r="B13" s="5" t="inlineStr">
        <is>
          <t>кухня причіпна М-29</t>
        </is>
      </c>
      <c r="C13" s="39" t="inlineStr">
        <is>
          <t>к-т</t>
        </is>
      </c>
      <c r="D13" s="58">
        <f>F13+H13</f>
        <v/>
      </c>
      <c r="E13" s="60">
        <f>G13+I13</f>
        <v/>
      </c>
      <c r="F13" s="6" t="n"/>
      <c r="G13" s="6" t="n"/>
      <c r="H13" s="6" t="n"/>
      <c r="I13" s="29" t="n"/>
      <c r="J13" s="36">
        <f>SUM(K13:Q13)</f>
        <v/>
      </c>
      <c r="K13" s="6" t="n"/>
      <c r="L13" s="6" t="n"/>
      <c r="M13" s="6" t="n"/>
      <c r="N13" s="6" t="n"/>
      <c r="O13" s="6" t="n"/>
      <c r="P13" s="6" t="n"/>
      <c r="Q13" s="29" t="n"/>
      <c r="R13" s="58">
        <f>IF(J13-D13&lt;0,0,J13-D13)</f>
        <v/>
      </c>
      <c r="S13" s="60">
        <f>IF(D13-J13&lt;0,0,D13-J13)</f>
        <v/>
      </c>
      <c r="T13" s="29" t="n"/>
      <c r="U13" s="47">
        <f>SUM(D13:T13)</f>
        <v/>
      </c>
    </row>
    <row r="14" ht="34.5" customHeight="1">
      <c r="A14" s="38" t="n"/>
      <c r="B14" s="5" t="inlineStr">
        <is>
          <t>кухня причіпна на твердому паливі КП М95АІ-300л.</t>
        </is>
      </c>
      <c r="C14" s="39" t="inlineStr">
        <is>
          <t>к-т</t>
        </is>
      </c>
      <c r="D14" s="58">
        <f>F14+H14</f>
        <v/>
      </c>
      <c r="E14" s="60">
        <f>G14+I14</f>
        <v/>
      </c>
      <c r="F14" s="6" t="n"/>
      <c r="G14" s="6" t="n"/>
      <c r="H14" s="6" t="n"/>
      <c r="I14" s="29" t="n"/>
      <c r="J14" s="36">
        <f>SUM(K14:Q14)</f>
        <v/>
      </c>
      <c r="K14" s="6" t="n"/>
      <c r="L14" s="6" t="n"/>
      <c r="M14" s="6" t="n"/>
      <c r="N14" s="6" t="n"/>
      <c r="O14" s="6" t="n"/>
      <c r="P14" s="6" t="n"/>
      <c r="Q14" s="29" t="n"/>
      <c r="R14" s="58">
        <f>IF(J14-D14&lt;0,0,J14-D14)</f>
        <v/>
      </c>
      <c r="S14" s="60">
        <f>IF(D14-J14&lt;0,0,D14-J14)</f>
        <v/>
      </c>
      <c r="T14" s="29" t="n"/>
      <c r="U14" s="47">
        <f>SUM(D14:T14)</f>
        <v/>
      </c>
    </row>
    <row r="15" ht="34.5" customHeight="1">
      <c r="A15" s="38" t="n"/>
      <c r="B15" s="5" t="inlineStr">
        <is>
          <t>кухня польова Progress FKN 900ML</t>
        </is>
      </c>
      <c r="C15" s="39" t="inlineStr">
        <is>
          <t>к-т</t>
        </is>
      </c>
      <c r="D15" s="58">
        <f>F15+H15</f>
        <v/>
      </c>
      <c r="E15" s="60">
        <f>G15+I15</f>
        <v/>
      </c>
      <c r="F15" s="6" t="n"/>
      <c r="G15" s="6" t="n"/>
      <c r="H15" s="6" t="n"/>
      <c r="I15" s="29" t="n"/>
      <c r="J15" s="36">
        <f>SUM(K15:Q15)</f>
        <v/>
      </c>
      <c r="K15" s="6" t="n"/>
      <c r="L15" s="6" t="n"/>
      <c r="M15" s="6" t="n"/>
      <c r="N15" s="6" t="n"/>
      <c r="O15" s="6" t="n"/>
      <c r="P15" s="6" t="n"/>
      <c r="Q15" s="29" t="n"/>
      <c r="R15" s="58">
        <f>IF(J15-D15&lt;0,0,J15-D15)</f>
        <v/>
      </c>
      <c r="S15" s="60">
        <f>IF(D15-J15&lt;0,0,D15-J15)</f>
        <v/>
      </c>
      <c r="T15" s="29" t="n"/>
      <c r="U15" s="47">
        <f>SUM(D15:T15)</f>
        <v/>
      </c>
    </row>
    <row r="16" ht="34.5" customHeight="1">
      <c r="A16" s="38" t="n"/>
      <c r="B16" s="72" t="inlineStr">
        <is>
          <t>Кухня FKU 18/72М</t>
        </is>
      </c>
      <c r="C16" s="32" t="n"/>
      <c r="D16" s="58">
        <f>F16+H16</f>
        <v/>
      </c>
      <c r="E16" s="60">
        <f>G16+I16</f>
        <v/>
      </c>
      <c r="F16" s="6" t="n"/>
      <c r="G16" s="6" t="n"/>
      <c r="H16" s="6" t="n"/>
      <c r="I16" s="29" t="n"/>
      <c r="J16" s="36">
        <f>SUM(K16:Q16)</f>
        <v/>
      </c>
      <c r="K16" s="6" t="n"/>
      <c r="L16" s="6" t="n"/>
      <c r="M16" s="6" t="n"/>
      <c r="N16" s="6" t="n"/>
      <c r="O16" s="6" t="n"/>
      <c r="P16" s="6" t="n"/>
      <c r="Q16" s="29" t="n"/>
      <c r="R16" s="58">
        <f>IF(J16-D16&lt;0,0,J16-D16)</f>
        <v/>
      </c>
      <c r="S16" s="60">
        <f>IF(D16-J16&lt;0,0,D16-J16)</f>
        <v/>
      </c>
      <c r="T16" s="29" t="n"/>
      <c r="U16" s="47">
        <f>SUM(D16:T16)</f>
        <v/>
      </c>
    </row>
    <row r="17" ht="34.5" customHeight="1">
      <c r="A17" s="38" t="n"/>
      <c r="B17" s="72" t="inlineStr">
        <is>
          <t>Модуль збірно-розбірного типу кухня КМ-6055-В</t>
        </is>
      </c>
      <c r="C17" s="32" t="n"/>
      <c r="D17" s="58">
        <f>F17+H17</f>
        <v/>
      </c>
      <c r="E17" s="60">
        <f>G17+I17</f>
        <v/>
      </c>
      <c r="F17" s="6" t="n"/>
      <c r="G17" s="6" t="n"/>
      <c r="H17" s="6" t="n"/>
      <c r="I17" s="29" t="n"/>
      <c r="J17" s="36">
        <f>SUM(K17:Q17)</f>
        <v/>
      </c>
      <c r="K17" s="6" t="n"/>
      <c r="L17" s="6" t="n"/>
      <c r="M17" s="6" t="n"/>
      <c r="N17" s="6" t="n"/>
      <c r="O17" s="6" t="n"/>
      <c r="P17" s="6" t="n"/>
      <c r="Q17" s="29" t="n"/>
      <c r="R17" s="58">
        <f>IF(J17-D17&lt;0,0,J17-D17)</f>
        <v/>
      </c>
      <c r="S17" s="60">
        <f>IF(D17-J17&lt;0,0,D17-J17)</f>
        <v/>
      </c>
      <c r="T17" s="29" t="n"/>
      <c r="U17" s="47">
        <f>SUM(D17:T17)</f>
        <v/>
      </c>
    </row>
    <row r="18" ht="34.5" customHeight="1">
      <c r="A18" s="38" t="n"/>
      <c r="B18" s="7" t="n"/>
      <c r="C18" s="32" t="n"/>
      <c r="D18" s="58">
        <f>F18+H18</f>
        <v/>
      </c>
      <c r="E18" s="60">
        <f>G18+I18</f>
        <v/>
      </c>
      <c r="F18" s="6" t="n"/>
      <c r="G18" s="6" t="n"/>
      <c r="H18" s="6" t="n"/>
      <c r="I18" s="29" t="n"/>
      <c r="J18" s="36">
        <f>SUM(K18:Q18)</f>
        <v/>
      </c>
      <c r="K18" s="6" t="n"/>
      <c r="L18" s="6" t="n"/>
      <c r="M18" s="6" t="n"/>
      <c r="N18" s="6" t="n"/>
      <c r="O18" s="6" t="n"/>
      <c r="P18" s="6" t="n"/>
      <c r="Q18" s="29" t="n"/>
      <c r="R18" s="58">
        <f>IF(J18-D18&lt;0,0,J18-D18)</f>
        <v/>
      </c>
      <c r="S18" s="60">
        <f>IF(D18-J18&lt;0,0,D18-J18)</f>
        <v/>
      </c>
      <c r="T18" s="29" t="n"/>
      <c r="U18" s="47">
        <f>SUM(D18:T18)</f>
        <v/>
      </c>
    </row>
    <row r="19" ht="34.5" customHeight="1">
      <c r="A19" s="37" t="n">
        <v>2</v>
      </c>
      <c r="B19" s="3" t="inlineStr">
        <is>
          <t>Кухні автомобільні:</t>
        </is>
      </c>
      <c r="C19" s="28" t="inlineStr">
        <is>
          <t>к-т</t>
        </is>
      </c>
      <c r="D19" s="27">
        <f>F19+H19</f>
        <v/>
      </c>
      <c r="E19" s="4">
        <f>G19+I19</f>
        <v/>
      </c>
      <c r="F19" s="4">
        <f>F20+F21+F22+F23+F24</f>
        <v/>
      </c>
      <c r="G19" s="4">
        <f>G20+G21+G22+G23+G24</f>
        <v/>
      </c>
      <c r="H19" s="4">
        <f>H20+H21+H22+H23+H24</f>
        <v/>
      </c>
      <c r="I19" s="28">
        <f>I20+I21+I22+I23+I24</f>
        <v/>
      </c>
      <c r="J19" s="27">
        <f>SUM(K19:Q19)</f>
        <v/>
      </c>
      <c r="K19" s="4">
        <f>K20+K21+K22+K23+K24</f>
        <v/>
      </c>
      <c r="L19" s="4">
        <f>L20+L21+L22+L23+L24</f>
        <v/>
      </c>
      <c r="M19" s="4">
        <f>M20+M21+M22+M23+M24</f>
        <v/>
      </c>
      <c r="N19" s="4">
        <f>N20+N21+N22+N23+N24</f>
        <v/>
      </c>
      <c r="O19" s="4">
        <f>O20+O21+O22+O23+O24</f>
        <v/>
      </c>
      <c r="P19" s="4">
        <f>P20+P21+P22+P23+P24</f>
        <v/>
      </c>
      <c r="Q19" s="28">
        <f>Q20+Q21+Q22+Q23+Q24</f>
        <v/>
      </c>
      <c r="R19" s="27">
        <f>IF(J19-D19&lt;0,0,J19-D19)</f>
        <v/>
      </c>
      <c r="S19" s="4">
        <f>IF(D19-J19&lt;0,0,D19-J19)</f>
        <v/>
      </c>
      <c r="T19" s="28">
        <f>T20+T21+T22+T23+T24</f>
        <v/>
      </c>
      <c r="U19" s="47">
        <f>SUM(D19:T19)</f>
        <v/>
      </c>
    </row>
    <row r="20" ht="34.5" customHeight="1">
      <c r="A20" s="38" t="n"/>
      <c r="B20" s="5" t="inlineStr">
        <is>
          <t>кухня автомобільна ПАК-200 (ПАК-20М)</t>
        </is>
      </c>
      <c r="C20" s="39" t="inlineStr">
        <is>
          <t>к-т</t>
        </is>
      </c>
      <c r="D20" s="58">
        <f>F20+H20</f>
        <v/>
      </c>
      <c r="E20" s="60">
        <f>G20+I20</f>
        <v/>
      </c>
      <c r="F20" s="6" t="n"/>
      <c r="G20" s="6" t="n"/>
      <c r="H20" s="6" t="n"/>
      <c r="I20" s="29" t="n"/>
      <c r="J20" s="58">
        <f>SUM(K20:Q20)</f>
        <v/>
      </c>
      <c r="K20" s="6" t="n"/>
      <c r="L20" s="6" t="n"/>
      <c r="M20" s="6" t="n"/>
      <c r="N20" s="6" t="n"/>
      <c r="O20" s="6" t="n"/>
      <c r="P20" s="6" t="n"/>
      <c r="Q20" s="29" t="n"/>
      <c r="R20" s="58">
        <f>IF(J20-D20&lt;0,0,J20-D20)</f>
        <v/>
      </c>
      <c r="S20" s="60">
        <f>IF(D20-J20&lt;0,0,D20-J20)</f>
        <v/>
      </c>
      <c r="T20" s="29" t="n"/>
      <c r="U20" s="47">
        <f>SUM(D20:T20)</f>
        <v/>
      </c>
    </row>
    <row r="21" ht="34.5" customHeight="1">
      <c r="A21" s="38" t="n"/>
      <c r="B21" s="5" t="inlineStr">
        <is>
          <t>кухня автомобільна КА-125</t>
        </is>
      </c>
      <c r="C21" s="39" t="inlineStr">
        <is>
          <t>к-т</t>
        </is>
      </c>
      <c r="D21" s="58">
        <f>F21+H21</f>
        <v/>
      </c>
      <c r="E21" s="60">
        <f>G21+I21</f>
        <v/>
      </c>
      <c r="F21" s="6" t="n"/>
      <c r="G21" s="6" t="n"/>
      <c r="H21" s="6" t="n"/>
      <c r="I21" s="29" t="n"/>
      <c r="J21" s="58">
        <f>SUM(K21:Q21)</f>
        <v/>
      </c>
      <c r="K21" s="6" t="n"/>
      <c r="L21" s="6" t="n"/>
      <c r="M21" s="6" t="n"/>
      <c r="N21" s="6" t="n"/>
      <c r="O21" s="6" t="n"/>
      <c r="P21" s="6" t="n"/>
      <c r="Q21" s="29" t="n"/>
      <c r="R21" s="58">
        <f>IF(J21-D21&lt;0,0,J21-D21)</f>
        <v/>
      </c>
      <c r="S21" s="60">
        <f>IF(D21-J21&lt;0,0,D21-J21)</f>
        <v/>
      </c>
      <c r="T21" s="29" t="n"/>
      <c r="U21" s="47">
        <f>SUM(D21:T21)</f>
        <v/>
      </c>
    </row>
    <row r="22" ht="34.5" customHeight="1">
      <c r="A22" s="38" t="n"/>
      <c r="B22" s="5" t="inlineStr">
        <is>
          <t>кухня модульна МК-500</t>
        </is>
      </c>
      <c r="C22" s="39" t="inlineStr">
        <is>
          <t>к-т</t>
        </is>
      </c>
      <c r="D22" s="58">
        <f>F22+H22</f>
        <v/>
      </c>
      <c r="E22" s="60">
        <f>G22+I22</f>
        <v/>
      </c>
      <c r="F22" s="6" t="n"/>
      <c r="G22" s="6" t="n"/>
      <c r="H22" s="6" t="n"/>
      <c r="I22" s="29" t="n"/>
      <c r="J22" s="58">
        <f>SUM(K22:Q22)</f>
        <v/>
      </c>
      <c r="K22" s="6" t="n"/>
      <c r="L22" s="6" t="n"/>
      <c r="M22" s="6" t="n"/>
      <c r="N22" s="6" t="n"/>
      <c r="O22" s="6" t="n"/>
      <c r="P22" s="6" t="n"/>
      <c r="Q22" s="29" t="n"/>
      <c r="R22" s="58">
        <f>IF(J22-D22&lt;0,0,J22-D22)</f>
        <v/>
      </c>
      <c r="S22" s="60">
        <f>IF(D22-J22&lt;0,0,D22-J22)</f>
        <v/>
      </c>
      <c r="T22" s="29" t="n"/>
      <c r="U22" s="47">
        <f>SUM(D22:T22)</f>
        <v/>
      </c>
    </row>
    <row r="23" ht="34.5" customHeight="1">
      <c r="A23" s="38" t="n"/>
      <c r="B23" s="9" t="n"/>
      <c r="C23" s="32" t="n"/>
      <c r="D23" s="58">
        <f>F23+H23</f>
        <v/>
      </c>
      <c r="E23" s="60">
        <f>G23+I23</f>
        <v/>
      </c>
      <c r="F23" s="6" t="n"/>
      <c r="G23" s="6" t="n"/>
      <c r="H23" s="6" t="n"/>
      <c r="I23" s="29" t="n"/>
      <c r="J23" s="58">
        <f>SUM(K23:Q23)</f>
        <v/>
      </c>
      <c r="K23" s="6" t="n"/>
      <c r="L23" s="6" t="n"/>
      <c r="M23" s="6" t="n"/>
      <c r="N23" s="6" t="n"/>
      <c r="O23" s="6" t="n"/>
      <c r="P23" s="6" t="n"/>
      <c r="Q23" s="29" t="n"/>
      <c r="R23" s="58">
        <f>IF(J23-D23&lt;0,0,J23-D23)</f>
        <v/>
      </c>
      <c r="S23" s="60">
        <f>IF(D23-J23&lt;0,0,D23-J23)</f>
        <v/>
      </c>
      <c r="T23" s="29" t="n"/>
      <c r="U23" s="47">
        <f>SUM(D23:T23)</f>
        <v/>
      </c>
    </row>
    <row r="24" ht="34.5" customHeight="1">
      <c r="A24" s="38" t="n"/>
      <c r="B24" s="7" t="n"/>
      <c r="C24" s="32" t="n"/>
      <c r="D24" s="58">
        <f>F24+H24</f>
        <v/>
      </c>
      <c r="E24" s="60">
        <f>G24+I24</f>
        <v/>
      </c>
      <c r="F24" s="6" t="n"/>
      <c r="G24" s="6" t="n"/>
      <c r="H24" s="6" t="n"/>
      <c r="I24" s="29" t="n"/>
      <c r="J24" s="58">
        <f>SUM(K24:Q24)</f>
        <v/>
      </c>
      <c r="K24" s="6" t="n"/>
      <c r="L24" s="6" t="n"/>
      <c r="M24" s="6" t="n"/>
      <c r="N24" s="6" t="n"/>
      <c r="O24" s="6" t="n"/>
      <c r="P24" s="6" t="n"/>
      <c r="Q24" s="29" t="n"/>
      <c r="R24" s="58">
        <f>IF(J24-D24&lt;0,0,J24-D24)</f>
        <v/>
      </c>
      <c r="S24" s="60">
        <f>IF(D24-J24&lt;0,0,D24-J24)</f>
        <v/>
      </c>
      <c r="T24" s="29" t="n"/>
      <c r="U24" s="47">
        <f>SUM(D24:T24)</f>
        <v/>
      </c>
    </row>
    <row r="25" ht="34.5" customHeight="1">
      <c r="A25" s="37" t="n">
        <v>3</v>
      </c>
      <c r="B25" s="3" t="inlineStr">
        <is>
          <t>Кухні-їдальні пересувні:</t>
        </is>
      </c>
      <c r="C25" s="28" t="inlineStr">
        <is>
          <t>к-т</t>
        </is>
      </c>
      <c r="D25" s="27">
        <f>F25+H25</f>
        <v/>
      </c>
      <c r="E25" s="4">
        <f>G25+I25</f>
        <v/>
      </c>
      <c r="F25" s="4">
        <f>F26+F27+F28+F29+F30</f>
        <v/>
      </c>
      <c r="G25" s="4">
        <f>G26+G27+G28+G29+G30</f>
        <v/>
      </c>
      <c r="H25" s="4">
        <f>H26+H27+H28+H29+H30</f>
        <v/>
      </c>
      <c r="I25" s="28">
        <f>I26+I27+I28+I29+I30</f>
        <v/>
      </c>
      <c r="J25" s="27">
        <f>SUM(K25:Q25)</f>
        <v/>
      </c>
      <c r="K25" s="4">
        <f>K26+K27+K28+K29+K30</f>
        <v/>
      </c>
      <c r="L25" s="4">
        <f>L26+L27+L28+L29+L30</f>
        <v/>
      </c>
      <c r="M25" s="4">
        <f>M26+M27+M28+M29+M30</f>
        <v/>
      </c>
      <c r="N25" s="4">
        <f>N26+N27+N28+N29+N30</f>
        <v/>
      </c>
      <c r="O25" s="4">
        <f>O26+O27+O28+O29+O30</f>
        <v/>
      </c>
      <c r="P25" s="4">
        <f>P26+P27+P28+P29+P30</f>
        <v/>
      </c>
      <c r="Q25" s="28">
        <f>Q26+Q27+Q28+Q29+Q30</f>
        <v/>
      </c>
      <c r="R25" s="27">
        <f>IF(J25-D25&lt;0,0,J25-D25)</f>
        <v/>
      </c>
      <c r="S25" s="4">
        <f>IF(D25-J25&lt;0,0,D25-J25)</f>
        <v/>
      </c>
      <c r="T25" s="28">
        <f>T26+T27+T28+T29+T30</f>
        <v/>
      </c>
      <c r="U25" s="47">
        <f>SUM(D25:T25)</f>
        <v/>
      </c>
    </row>
    <row r="26" ht="34.5" customHeight="1">
      <c r="A26" s="38" t="n"/>
      <c r="B26" s="5" t="inlineStr">
        <is>
          <t>польова кухня ПКС-125</t>
        </is>
      </c>
      <c r="C26" s="39" t="inlineStr">
        <is>
          <t>к-т</t>
        </is>
      </c>
      <c r="D26" s="58">
        <f>F26+H26</f>
        <v/>
      </c>
      <c r="E26" s="60">
        <f>G26+I26</f>
        <v/>
      </c>
      <c r="F26" s="6" t="n"/>
      <c r="G26" s="6" t="n"/>
      <c r="H26" s="6" t="n"/>
      <c r="I26" s="29" t="n"/>
      <c r="J26" s="58">
        <f>SUM(K26:Q26)</f>
        <v/>
      </c>
      <c r="K26" s="6" t="n"/>
      <c r="L26" s="6" t="n"/>
      <c r="M26" s="6" t="n"/>
      <c r="N26" s="6" t="n"/>
      <c r="O26" s="6" t="n"/>
      <c r="P26" s="6" t="n"/>
      <c r="Q26" s="29" t="n"/>
      <c r="R26" s="58">
        <f>IF(J26-D26&lt;0,0,J26-D26)</f>
        <v/>
      </c>
      <c r="S26" s="60">
        <f>IF(D26-J26&lt;0,0,D26-J26)</f>
        <v/>
      </c>
      <c r="T26" s="29" t="n"/>
      <c r="U26" s="47">
        <f>SUM(D26:T26)</f>
        <v/>
      </c>
    </row>
    <row r="27" ht="34.5" customHeight="1">
      <c r="A27" s="38" t="n"/>
      <c r="B27" s="5" t="inlineStr">
        <is>
          <t>польова кухня ПКС-150</t>
        </is>
      </c>
      <c r="C27" s="39" t="inlineStr">
        <is>
          <t>к-т</t>
        </is>
      </c>
      <c r="D27" s="58">
        <f>F27+H27</f>
        <v/>
      </c>
      <c r="E27" s="60">
        <f>G27+I27</f>
        <v/>
      </c>
      <c r="F27" s="6" t="n"/>
      <c r="G27" s="6" t="n"/>
      <c r="H27" s="6" t="n"/>
      <c r="I27" s="29" t="n"/>
      <c r="J27" s="58">
        <f>SUM(K27:Q27)</f>
        <v/>
      </c>
      <c r="K27" s="6" t="n"/>
      <c r="L27" s="6" t="n"/>
      <c r="M27" s="6" t="n"/>
      <c r="N27" s="6" t="n"/>
      <c r="O27" s="6" t="n"/>
      <c r="P27" s="6" t="n"/>
      <c r="Q27" s="29" t="n"/>
      <c r="R27" s="58">
        <f>IF(J27-D27&lt;0,0,J27-D27)</f>
        <v/>
      </c>
      <c r="S27" s="60">
        <f>IF(D27-J27&lt;0,0,D27-J27)</f>
        <v/>
      </c>
      <c r="T27" s="29" t="n"/>
      <c r="U27" s="47">
        <f>SUM(D27:T27)</f>
        <v/>
      </c>
    </row>
    <row r="28" ht="34.5" customHeight="1">
      <c r="A28" s="38" t="n"/>
      <c r="B28" s="5" t="inlineStr">
        <is>
          <t>польова кухня ПКС-250</t>
        </is>
      </c>
      <c r="C28" s="39" t="inlineStr">
        <is>
          <t>к-т</t>
        </is>
      </c>
      <c r="D28" s="58">
        <f>F28+H28</f>
        <v/>
      </c>
      <c r="E28" s="60">
        <f>G28+I28</f>
        <v/>
      </c>
      <c r="F28" s="6" t="n"/>
      <c r="G28" s="6" t="n"/>
      <c r="H28" s="6" t="n"/>
      <c r="I28" s="29" t="n"/>
      <c r="J28" s="58">
        <f>SUM(K28:Q28)</f>
        <v/>
      </c>
      <c r="K28" s="6" t="n"/>
      <c r="L28" s="6" t="n"/>
      <c r="M28" s="6" t="n"/>
      <c r="N28" s="6" t="n"/>
      <c r="O28" s="6" t="n"/>
      <c r="P28" s="6" t="n"/>
      <c r="Q28" s="29" t="n"/>
      <c r="R28" s="58">
        <f>IF(J28-D28&lt;0,0,J28-D28)</f>
        <v/>
      </c>
      <c r="S28" s="60">
        <f>IF(D28-J28&lt;0,0,D28-J28)</f>
        <v/>
      </c>
      <c r="T28" s="29" t="n"/>
      <c r="U28" s="47">
        <f>SUM(D28:T28)</f>
        <v/>
      </c>
    </row>
    <row r="29" ht="34.5" customHeight="1">
      <c r="A29" s="38" t="n"/>
      <c r="B29" s="5" t="inlineStr">
        <is>
          <t>польова кухня ПКС-2 (ПКС-2М)</t>
        </is>
      </c>
      <c r="C29" s="39" t="inlineStr">
        <is>
          <t>к-т</t>
        </is>
      </c>
      <c r="D29" s="58">
        <f>F29+H29</f>
        <v/>
      </c>
      <c r="E29" s="60">
        <f>G29+I29</f>
        <v/>
      </c>
      <c r="F29" s="6" t="n"/>
      <c r="G29" s="6" t="n"/>
      <c r="H29" s="6" t="n"/>
      <c r="I29" s="29" t="n"/>
      <c r="J29" s="58">
        <f>SUM(K29:Q29)</f>
        <v/>
      </c>
      <c r="K29" s="6" t="n"/>
      <c r="L29" s="6" t="n"/>
      <c r="M29" s="6" t="n"/>
      <c r="N29" s="6" t="n"/>
      <c r="O29" s="6" t="n"/>
      <c r="P29" s="6" t="n"/>
      <c r="Q29" s="29" t="n"/>
      <c r="R29" s="58">
        <f>IF(J29-D29&lt;0,0,J29-D29)</f>
        <v/>
      </c>
      <c r="S29" s="60">
        <f>IF(D29-J29&lt;0,0,D29-J29)</f>
        <v/>
      </c>
      <c r="T29" s="29" t="n"/>
      <c r="U29" s="47">
        <f>SUM(D29:T29)</f>
        <v/>
      </c>
    </row>
    <row r="30" ht="34.5" customHeight="1">
      <c r="A30" s="38" t="n"/>
      <c r="B30" s="5" t="inlineStr">
        <is>
          <t>польова кухня ПКС-3 (ПКС-3М)</t>
        </is>
      </c>
      <c r="C30" s="39" t="inlineStr">
        <is>
          <t>к-т</t>
        </is>
      </c>
      <c r="D30" s="58">
        <f>F30+H30</f>
        <v/>
      </c>
      <c r="E30" s="60">
        <f>G30+I30</f>
        <v/>
      </c>
      <c r="F30" s="6" t="n"/>
      <c r="G30" s="6" t="n"/>
      <c r="H30" s="6" t="n"/>
      <c r="I30" s="29" t="n"/>
      <c r="J30" s="58">
        <f>SUM(K30:Q30)</f>
        <v/>
      </c>
      <c r="K30" s="6" t="n"/>
      <c r="L30" s="6" t="n"/>
      <c r="M30" s="6" t="n"/>
      <c r="N30" s="6" t="n"/>
      <c r="O30" s="6" t="n"/>
      <c r="P30" s="6" t="n"/>
      <c r="Q30" s="29" t="n"/>
      <c r="R30" s="58">
        <f>IF(J30-D30&lt;0,0,J30-D30)</f>
        <v/>
      </c>
      <c r="S30" s="60">
        <f>IF(D30-J30&lt;0,0,D30-J30)</f>
        <v/>
      </c>
      <c r="T30" s="29" t="n"/>
      <c r="U30" s="47">
        <f>SUM(D30:T30)</f>
        <v/>
      </c>
    </row>
    <row r="31" ht="34.5" customHeight="1">
      <c r="A31" s="37" t="n">
        <v>4</v>
      </c>
      <c r="B31" s="3" t="inlineStr">
        <is>
          <t>Їдальня автом. СА-32 (СП-32)</t>
        </is>
      </c>
      <c r="C31" s="40" t="inlineStr">
        <is>
          <t>к-т</t>
        </is>
      </c>
      <c r="D31" s="27">
        <f>F31+H31</f>
        <v/>
      </c>
      <c r="E31" s="4">
        <f>G31+I31</f>
        <v/>
      </c>
      <c r="F31" s="10" t="n"/>
      <c r="G31" s="10" t="n"/>
      <c r="H31" s="10" t="n"/>
      <c r="I31" s="30" t="n"/>
      <c r="J31" s="27">
        <f>SUM(K31:Q31)</f>
        <v/>
      </c>
      <c r="K31" s="10" t="n"/>
      <c r="L31" s="10" t="n"/>
      <c r="M31" s="10" t="n"/>
      <c r="N31" s="10" t="n"/>
      <c r="O31" s="10" t="n"/>
      <c r="P31" s="10" t="n"/>
      <c r="Q31" s="30" t="n"/>
      <c r="R31" s="27">
        <f>IF(J31-D31&lt;0,0,J31-D31)</f>
        <v/>
      </c>
      <c r="S31" s="4">
        <f>IF(D31-J31&lt;0,0,D31-J31)</f>
        <v/>
      </c>
      <c r="T31" s="30" t="n"/>
      <c r="U31" s="47">
        <f>SUM(D31:T31)</f>
        <v/>
      </c>
    </row>
    <row r="32" ht="34.5" customFormat="1" customHeight="1" s="22">
      <c r="A32" s="41" t="n">
        <v>5</v>
      </c>
      <c r="B32" s="11" t="inlineStr">
        <is>
          <t>Кухні переносні:</t>
        </is>
      </c>
      <c r="C32" s="42" t="inlineStr">
        <is>
          <t>к-т</t>
        </is>
      </c>
      <c r="D32" s="27">
        <f>F32+H32</f>
        <v/>
      </c>
      <c r="E32" s="4">
        <f>G32+I32</f>
        <v/>
      </c>
      <c r="F32" s="4">
        <f>F33+F34+F36+F37+F38+F40+F41+F42+F43+F44+F39+F45+F46+F47+F48+F49+F50+F51+F52+F53+F54+F55+F56</f>
        <v/>
      </c>
      <c r="G32" s="4">
        <f>G33+G34+G36+G37+G38+G40+G41+G42+G43+G44+G39+G45+G46+G47+G48+G49+G50+G51+G52+G53+G54+G55+G56</f>
        <v/>
      </c>
      <c r="H32" s="4">
        <f>H33+H34+H36+H37+H38+H40+H41+H42+H43+H44+H39+H45+H46+H47+H48+H49+H50+H51+H52+H53+H54+H55+H56</f>
        <v/>
      </c>
      <c r="I32" s="28">
        <f>I33+I34+I36+I37+I38+I40+I41+I42+I43+I44+I39+I45+I46+I47+I48+I49+I50+I51+I52+I53+I54+I55+I56</f>
        <v/>
      </c>
      <c r="J32" s="27">
        <f>SUM(K32:Q32)</f>
        <v/>
      </c>
      <c r="K32" s="4">
        <f>K33+K34+K36+K37+K38+K40+K41+K42+K43+K44+K39+K45+K46+K47+K48+K49+K50+K51+K52+K53+K54+K55+K56</f>
        <v/>
      </c>
      <c r="L32" s="4">
        <f>L33+L34+L36+L37+L38+L40+L41+L42+L43+L44+L39+L45+L46+L47+L48+L49+L50+L51+L52+L53+L54+L55+L56</f>
        <v/>
      </c>
      <c r="M32" s="4">
        <f>M33+M34+M36+M37+M38+M40+M41+M42+M43+M44+M39+M45+M46+M47+M48+M49+M50+M51+M52+M53+M54+M55+M56</f>
        <v/>
      </c>
      <c r="N32" s="4">
        <f>N33+N34+N36+N37+N38+N40+N41+N42+N43+N44+N39+N45+N46+N47+N48+N49+N50+N51+N52+N53+N54+N55+N56</f>
        <v/>
      </c>
      <c r="O32" s="4">
        <f>O33+O34+O36+O37+O38+O40+O41+O42+O43+O44+O39+O45+O46+O47+O48+O49+O50+O51+O52+O53+O54+O55+O56</f>
        <v/>
      </c>
      <c r="P32" s="4">
        <f>P33+P34+P36+P37+P38+P40+P41+P42+P43+P44+P39+P45+P46+P47+P48+P49+P50+P51+P52+P53+P54+P55+P56</f>
        <v/>
      </c>
      <c r="Q32" s="28">
        <f>Q33+Q34+Q36+Q37+Q38+Q40+Q41+Q42+Q43+Q44+Q39+Q45+Q46+Q47+Q48+Q49+Q50+Q51+Q52+Q53+Q54+Q55+Q56</f>
        <v/>
      </c>
      <c r="R32" s="27">
        <f>IF(J32-D32&lt;0,0,J32-D32)</f>
        <v/>
      </c>
      <c r="S32" s="4">
        <f>IF(D32-J32&lt;0,0,D32-J32)</f>
        <v/>
      </c>
      <c r="T32" s="28">
        <f>T33+T34+T36+T37+T38+T40+T41+T42+T43+T44+T39+T45+T46+T47+T48+T49+T50+T51+T52+T53+T54+T55+T56</f>
        <v/>
      </c>
      <c r="U32" s="47">
        <f>SUM(D32:T32)</f>
        <v/>
      </c>
    </row>
    <row r="33" ht="34.5" customHeight="1">
      <c r="A33" s="38" t="n"/>
      <c r="B33" s="13" t="inlineStr">
        <is>
          <t>кухня переносна КО-75</t>
        </is>
      </c>
      <c r="C33" s="39" t="inlineStr">
        <is>
          <t>к-т</t>
        </is>
      </c>
      <c r="D33" s="58">
        <f>F33+H33</f>
        <v/>
      </c>
      <c r="E33" s="60">
        <f>G33+I33</f>
        <v/>
      </c>
      <c r="F33" s="6" t="n"/>
      <c r="G33" s="6" t="n"/>
      <c r="H33" s="6" t="n"/>
      <c r="I33" s="29" t="n"/>
      <c r="J33" s="58">
        <f>SUM(K33:Q33)</f>
        <v/>
      </c>
      <c r="K33" s="6" t="n"/>
      <c r="L33" s="6" t="n"/>
      <c r="M33" s="6" t="n"/>
      <c r="N33" s="6" t="n"/>
      <c r="O33" s="6" t="n"/>
      <c r="P33" s="6" t="n"/>
      <c r="Q33" s="29" t="n"/>
      <c r="R33" s="58">
        <f>IF(J33-D33&lt;0,0,J33-D33)</f>
        <v/>
      </c>
      <c r="S33" s="60">
        <f>IF(D33-J33&lt;0,0,D33-J33)</f>
        <v/>
      </c>
      <c r="T33" s="29" t="n"/>
      <c r="U33" s="47">
        <f>SUM(D33:T33)</f>
        <v/>
      </c>
    </row>
    <row r="34" ht="34.5" customHeight="1">
      <c r="A34" s="38" t="n"/>
      <c r="B34" s="5" t="inlineStr">
        <is>
          <t>кухня переносна КВ-75Д</t>
        </is>
      </c>
      <c r="C34" s="39" t="inlineStr">
        <is>
          <t>к-т</t>
        </is>
      </c>
      <c r="D34" s="58">
        <f>F34+H34</f>
        <v/>
      </c>
      <c r="E34" s="60">
        <f>G34+I34</f>
        <v/>
      </c>
      <c r="F34" s="6" t="n"/>
      <c r="G34" s="6" t="n"/>
      <c r="H34" s="6" t="n"/>
      <c r="I34" s="29" t="n"/>
      <c r="J34" s="58">
        <f>SUM(K34:Q34)</f>
        <v/>
      </c>
      <c r="K34" s="6" t="n"/>
      <c r="L34" s="6" t="n"/>
      <c r="M34" s="6" t="n"/>
      <c r="N34" s="6" t="n"/>
      <c r="O34" s="6" t="n"/>
      <c r="P34" s="6" t="n"/>
      <c r="Q34" s="29" t="n"/>
      <c r="R34" s="58">
        <f>IF(J34-D34&lt;0,0,J34-D34)</f>
        <v/>
      </c>
      <c r="S34" s="60">
        <f>IF(D34-J34&lt;0,0,D34-J34)</f>
        <v/>
      </c>
      <c r="T34" s="29" t="n"/>
      <c r="U34" s="47">
        <f>SUM(D34:T34)</f>
        <v/>
      </c>
    </row>
    <row r="35" ht="34.5" customHeight="1">
      <c r="A35" s="38" t="n"/>
      <c r="B35" s="13" t="inlineStr">
        <is>
          <t>КВ-75Д</t>
        </is>
      </c>
      <c r="C35" s="39" t="inlineStr">
        <is>
          <t>к-т</t>
        </is>
      </c>
      <c r="D35" s="58" t="n"/>
      <c r="E35" s="60" t="n"/>
      <c r="F35" s="6" t="n"/>
      <c r="G35" s="6" t="n"/>
      <c r="H35" s="6" t="n"/>
      <c r="I35" s="29" t="n"/>
      <c r="J35" s="58">
        <f>SUM(K35:Q35)</f>
        <v/>
      </c>
      <c r="K35" s="6" t="n"/>
      <c r="L35" s="6" t="n"/>
      <c r="M35" s="6" t="n"/>
      <c r="N35" s="6" t="n"/>
      <c r="O35" s="6" t="n"/>
      <c r="P35" s="6" t="n"/>
      <c r="Q35" s="29" t="n"/>
      <c r="R35" s="58" t="n"/>
      <c r="S35" s="60" t="n"/>
      <c r="T35" s="29" t="n"/>
      <c r="U35" s="47" t="n"/>
    </row>
    <row r="36" ht="34.5" customHeight="1">
      <c r="A36" s="38" t="n"/>
      <c r="B36" s="13" t="inlineStr">
        <is>
          <t>кухня малолітражна МК-10 (КП-10)</t>
        </is>
      </c>
      <c r="C36" s="39" t="inlineStr">
        <is>
          <t>к-т</t>
        </is>
      </c>
      <c r="D36" s="58">
        <f>F36+H36</f>
        <v/>
      </c>
      <c r="E36" s="60">
        <f>G36+I36</f>
        <v/>
      </c>
      <c r="F36" s="6" t="n"/>
      <c r="G36" s="6" t="n"/>
      <c r="H36" s="6" t="n"/>
      <c r="I36" s="29" t="n"/>
      <c r="J36" s="58">
        <f>SUM(K36:Q36)</f>
        <v/>
      </c>
      <c r="K36" s="6" t="n"/>
      <c r="L36" s="6" t="n"/>
      <c r="M36" s="6" t="n"/>
      <c r="N36" s="6" t="n"/>
      <c r="O36" s="6" t="n"/>
      <c r="P36" s="6" t="n"/>
      <c r="Q36" s="29" t="n"/>
      <c r="R36" s="58">
        <f>IF(J36-D36&lt;0,0,J36-D36)</f>
        <v/>
      </c>
      <c r="S36" s="60">
        <f>IF(D36-J36&lt;0,0,D36-J36)</f>
        <v/>
      </c>
      <c r="T36" s="29" t="n"/>
      <c r="U36" s="47">
        <f>SUM(D36:T36)</f>
        <v/>
      </c>
    </row>
    <row r="37" ht="34.5" customHeight="1">
      <c r="A37" s="38" t="n"/>
      <c r="B37" s="13" t="inlineStr">
        <is>
          <t>кухня переносна КП-20</t>
        </is>
      </c>
      <c r="C37" s="39" t="inlineStr">
        <is>
          <t>к-т</t>
        </is>
      </c>
      <c r="D37" s="58">
        <f>F37+H37</f>
        <v/>
      </c>
      <c r="E37" s="60">
        <f>G37+I37</f>
        <v/>
      </c>
      <c r="F37" s="6" t="n"/>
      <c r="G37" s="6" t="n"/>
      <c r="H37" s="6" t="n"/>
      <c r="I37" s="29" t="n"/>
      <c r="J37" s="58">
        <f>SUM(K37:Q37)</f>
        <v/>
      </c>
      <c r="K37" s="6" t="n"/>
      <c r="L37" s="6" t="n"/>
      <c r="M37" s="6" t="n"/>
      <c r="N37" s="6" t="n"/>
      <c r="O37" s="6" t="n"/>
      <c r="P37" s="6" t="n"/>
      <c r="Q37" s="29" t="n"/>
      <c r="R37" s="58">
        <f>IF(J37-D37&lt;0,0,J37-D37)</f>
        <v/>
      </c>
      <c r="S37" s="60">
        <f>IF(D37-J37&lt;0,0,D37-J37)</f>
        <v/>
      </c>
      <c r="T37" s="29" t="n"/>
      <c r="U37" s="47">
        <f>SUM(D37:T37)</f>
        <v/>
      </c>
    </row>
    <row r="38" ht="34.5" customHeight="1">
      <c r="A38" s="38" t="n"/>
      <c r="B38" s="5" t="inlineStr">
        <is>
          <t>кухня переносна МК-30 (30М)</t>
        </is>
      </c>
      <c r="C38" s="39" t="inlineStr">
        <is>
          <t>к-т</t>
        </is>
      </c>
      <c r="D38" s="58">
        <f>F38+H38</f>
        <v/>
      </c>
      <c r="E38" s="60">
        <f>G38+I38</f>
        <v/>
      </c>
      <c r="F38" s="6" t="n"/>
      <c r="G38" s="6" t="n"/>
      <c r="H38" s="6" t="n"/>
      <c r="I38" s="29" t="n"/>
      <c r="J38" s="58">
        <f>SUM(K38:Q38)</f>
        <v/>
      </c>
      <c r="K38" s="6" t="n"/>
      <c r="L38" s="6" t="n"/>
      <c r="M38" s="6" t="n"/>
      <c r="N38" s="6" t="n"/>
      <c r="O38" s="6" t="n"/>
      <c r="P38" s="6" t="n"/>
      <c r="Q38" s="29" t="n"/>
      <c r="R38" s="58">
        <f>IF(J38-D38&lt;0,0,J38-D38)</f>
        <v/>
      </c>
      <c r="S38" s="60">
        <f>IF(D38-J38&lt;0,0,D38-J38)</f>
        <v/>
      </c>
      <c r="T38" s="29" t="n"/>
      <c r="U38" s="47">
        <f>SUM(D38:T38)</f>
        <v/>
      </c>
    </row>
    <row r="39" ht="34.5" customHeight="1">
      <c r="A39" s="38" t="n"/>
      <c r="B39" s="13" t="inlineStr">
        <is>
          <t>кухня переносна КП-30 (30М)</t>
        </is>
      </c>
      <c r="C39" s="39" t="inlineStr">
        <is>
          <t>к-т</t>
        </is>
      </c>
      <c r="D39" s="58">
        <f>F39+H39</f>
        <v/>
      </c>
      <c r="E39" s="60">
        <f>G39+I39</f>
        <v/>
      </c>
      <c r="F39" s="6" t="n"/>
      <c r="G39" s="6" t="n"/>
      <c r="H39" s="6" t="n"/>
      <c r="I39" s="29" t="n"/>
      <c r="J39" s="58">
        <f>SUM(K39:Q39)</f>
        <v/>
      </c>
      <c r="K39" s="6" t="n"/>
      <c r="L39" s="6" t="n"/>
      <c r="M39" s="6" t="n"/>
      <c r="N39" s="6" t="n"/>
      <c r="O39" s="6" t="n"/>
      <c r="P39" s="6" t="n"/>
      <c r="Q39" s="29" t="n"/>
      <c r="R39" s="58">
        <f>IF(J39-D39&lt;0,0,J39-D39)</f>
        <v/>
      </c>
      <c r="S39" s="60">
        <f>IF(D39-J39&lt;0,0,D39-J39)</f>
        <v/>
      </c>
      <c r="T39" s="29" t="n"/>
      <c r="U39" s="47">
        <f>SUM(D39:T39)</f>
        <v/>
      </c>
    </row>
    <row r="40" ht="34.5" customHeight="1">
      <c r="A40" s="38" t="n"/>
      <c r="B40" s="5" t="inlineStr">
        <is>
          <t>кухня переносна КП-30</t>
        </is>
      </c>
      <c r="C40" s="39" t="inlineStr">
        <is>
          <t>к-т</t>
        </is>
      </c>
      <c r="D40" s="58">
        <f>F40+H40</f>
        <v/>
      </c>
      <c r="E40" s="60">
        <f>G40+I40</f>
        <v/>
      </c>
      <c r="F40" s="6" t="n"/>
      <c r="G40" s="6" t="n"/>
      <c r="H40" s="6" t="n"/>
      <c r="I40" s="29" t="n"/>
      <c r="J40" s="58">
        <f>SUM(K40:Q40)</f>
        <v/>
      </c>
      <c r="K40" s="6" t="n"/>
      <c r="L40" s="6" t="n"/>
      <c r="M40" s="6" t="n"/>
      <c r="N40" s="6" t="n"/>
      <c r="O40" s="6" t="n"/>
      <c r="P40" s="6" t="n"/>
      <c r="Q40" s="29" t="n"/>
      <c r="R40" s="58">
        <f>IF(J40-D40&lt;0,0,J40-D40)</f>
        <v/>
      </c>
      <c r="S40" s="60">
        <f>IF(D40-J40&lt;0,0,D40-J40)</f>
        <v/>
      </c>
      <c r="T40" s="29" t="n"/>
      <c r="U40" s="47">
        <f>SUM(D40:T40)</f>
        <v/>
      </c>
    </row>
    <row r="41" ht="34.5" customHeight="1">
      <c r="A41" s="38" t="n"/>
      <c r="B41" s="5" t="inlineStr">
        <is>
          <t>очажна польова кухня ОПК-150 (ОПК-43)</t>
        </is>
      </c>
      <c r="C41" s="39" t="inlineStr">
        <is>
          <t>к-т</t>
        </is>
      </c>
      <c r="D41" s="58">
        <f>F41+H41</f>
        <v/>
      </c>
      <c r="E41" s="60">
        <f>G41+I41</f>
        <v/>
      </c>
      <c r="F41" s="6" t="n"/>
      <c r="G41" s="6" t="n"/>
      <c r="H41" s="6" t="n"/>
      <c r="I41" s="29" t="n"/>
      <c r="J41" s="58">
        <f>SUM(K41:Q41)</f>
        <v/>
      </c>
      <c r="K41" s="6" t="n"/>
      <c r="L41" s="6" t="n"/>
      <c r="M41" s="6" t="n"/>
      <c r="N41" s="6" t="n"/>
      <c r="O41" s="6" t="n"/>
      <c r="P41" s="6" t="n"/>
      <c r="Q41" s="29" t="n"/>
      <c r="R41" s="58">
        <f>IF(J41-D41&lt;0,0,J41-D41)</f>
        <v/>
      </c>
      <c r="S41" s="60">
        <f>IF(D41-J41&lt;0,0,D41-J41)</f>
        <v/>
      </c>
      <c r="T41" s="29" t="n"/>
      <c r="U41" s="47">
        <f>SUM(D41:T41)</f>
        <v/>
      </c>
    </row>
    <row r="42" ht="34.5" customHeight="1">
      <c r="A42" s="38" t="n"/>
      <c r="B42" s="5" t="inlineStr">
        <is>
          <t>очажна польова кухня ОПК-75</t>
        </is>
      </c>
      <c r="C42" s="39" t="inlineStr">
        <is>
          <t>к-т</t>
        </is>
      </c>
      <c r="D42" s="58">
        <f>F42+H42</f>
        <v/>
      </c>
      <c r="E42" s="60">
        <f>G42+I42</f>
        <v/>
      </c>
      <c r="F42" s="6" t="n"/>
      <c r="G42" s="6" t="n"/>
      <c r="H42" s="6" t="n"/>
      <c r="I42" s="29" t="n"/>
      <c r="J42" s="58">
        <f>SUM(K42:Q42)</f>
        <v/>
      </c>
      <c r="K42" s="6" t="n"/>
      <c r="L42" s="6" t="n"/>
      <c r="M42" s="6" t="n"/>
      <c r="N42" s="6" t="n"/>
      <c r="O42" s="6" t="n"/>
      <c r="P42" s="6" t="n"/>
      <c r="Q42" s="29" t="n"/>
      <c r="R42" s="58">
        <f>IF(J42-D42&lt;0,0,J42-D42)</f>
        <v/>
      </c>
      <c r="S42" s="60">
        <f>IF(D42-J42&lt;0,0,D42-J42)</f>
        <v/>
      </c>
      <c r="T42" s="29" t="n"/>
      <c r="U42" s="47">
        <f>SUM(D42:T42)</f>
        <v/>
      </c>
    </row>
    <row r="43" ht="34.5" customHeight="1">
      <c r="A43" s="38" t="n"/>
      <c r="B43" s="5" t="inlineStr">
        <is>
          <t>кухня переносна МВК-50</t>
        </is>
      </c>
      <c r="C43" s="39" t="inlineStr">
        <is>
          <t>к-т</t>
        </is>
      </c>
      <c r="D43" s="58">
        <f>F43+H43</f>
        <v/>
      </c>
      <c r="E43" s="60">
        <f>G43+I43</f>
        <v/>
      </c>
      <c r="F43" s="6" t="n"/>
      <c r="G43" s="6" t="n"/>
      <c r="H43" s="6" t="n"/>
      <c r="I43" s="29" t="n"/>
      <c r="J43" s="58">
        <f>SUM(K43:Q43)</f>
        <v/>
      </c>
      <c r="K43" s="6" t="n"/>
      <c r="L43" s="6" t="n"/>
      <c r="M43" s="6" t="n"/>
      <c r="N43" s="6" t="n"/>
      <c r="O43" s="6" t="n"/>
      <c r="P43" s="6" t="n"/>
      <c r="Q43" s="29" t="n"/>
      <c r="R43" s="58">
        <f>IF(J43-D43&lt;0,0,J43-D43)</f>
        <v/>
      </c>
      <c r="S43" s="60">
        <f>IF(D43-J43&lt;0,0,D43-J43)</f>
        <v/>
      </c>
      <c r="T43" s="29" t="n"/>
      <c r="U43" s="47">
        <f>SUM(D43:T43)</f>
        <v/>
      </c>
    </row>
    <row r="44" ht="34.5" customHeight="1">
      <c r="A44" s="38" t="n"/>
      <c r="B44" s="5" t="inlineStr">
        <is>
          <t>пристрій для приготування їжі</t>
        </is>
      </c>
      <c r="C44" s="39" t="inlineStr">
        <is>
          <t>к-т</t>
        </is>
      </c>
      <c r="D44" s="58">
        <f>F44+H44</f>
        <v/>
      </c>
      <c r="E44" s="60">
        <f>G44+I44</f>
        <v/>
      </c>
      <c r="F44" s="6" t="n"/>
      <c r="G44" s="6" t="n"/>
      <c r="H44" s="6" t="n"/>
      <c r="I44" s="29" t="n"/>
      <c r="J44" s="58">
        <f>SUM(K44:Q44)</f>
        <v/>
      </c>
      <c r="K44" s="6" t="n"/>
      <c r="L44" s="6" t="n"/>
      <c r="M44" s="6" t="n"/>
      <c r="N44" s="6" t="n"/>
      <c r="O44" s="6" t="n"/>
      <c r="P44" s="6" t="n"/>
      <c r="Q44" s="29" t="n"/>
      <c r="R44" s="58">
        <f>IF(J44-D44&lt;0,0,J44-D44)</f>
        <v/>
      </c>
      <c r="S44" s="60">
        <f>IF(D44-J44&lt;0,0,D44-J44)</f>
        <v/>
      </c>
      <c r="T44" s="29" t="n"/>
      <c r="U44" s="47">
        <f>SUM(D44:T44)</f>
        <v/>
      </c>
    </row>
    <row r="45" ht="34.5" customHeight="1">
      <c r="A45" s="38" t="n"/>
      <c r="B45" s="5" t="inlineStr">
        <is>
          <t>кухня переносна (на твердому паливі)</t>
        </is>
      </c>
      <c r="C45" s="39" t="inlineStr">
        <is>
          <t>к-т</t>
        </is>
      </c>
      <c r="D45" s="58">
        <f>F45+H45</f>
        <v/>
      </c>
      <c r="E45" s="60">
        <f>G45+I45</f>
        <v/>
      </c>
      <c r="F45" s="6" t="n"/>
      <c r="G45" s="6" t="n"/>
      <c r="H45" s="6" t="n"/>
      <c r="I45" s="29" t="n"/>
      <c r="J45" s="58">
        <f>SUM(K45:Q45)</f>
        <v/>
      </c>
      <c r="K45" s="6" t="n"/>
      <c r="L45" s="6" t="n"/>
      <c r="M45" s="6" t="n"/>
      <c r="N45" s="6" t="n"/>
      <c r="O45" s="6" t="n"/>
      <c r="P45" s="6" t="n"/>
      <c r="Q45" s="29" t="n"/>
      <c r="R45" s="58">
        <f>IF(J45-D45&lt;0,0,J45-D45)</f>
        <v/>
      </c>
      <c r="S45" s="60">
        <f>IF(D45-J45&lt;0,0,D45-J45)</f>
        <v/>
      </c>
      <c r="T45" s="29" t="n"/>
      <c r="U45" s="47">
        <f>SUM(D45:T45)</f>
        <v/>
      </c>
    </row>
    <row r="46" ht="34.5" customHeight="1">
      <c r="A46" s="38" t="n"/>
      <c r="B46" s="5" t="inlineStr">
        <is>
          <t>примкс ''Джміль''</t>
        </is>
      </c>
      <c r="C46" s="39" t="inlineStr">
        <is>
          <t>к-т</t>
        </is>
      </c>
      <c r="D46" s="58">
        <f>F46+H46</f>
        <v/>
      </c>
      <c r="E46" s="60">
        <f>G46+I46</f>
        <v/>
      </c>
      <c r="F46" s="6" t="n"/>
      <c r="G46" s="6" t="n"/>
      <c r="H46" s="6" t="n"/>
      <c r="I46" s="29" t="n"/>
      <c r="J46" s="58">
        <f>SUM(K46:Q46)</f>
        <v/>
      </c>
      <c r="K46" s="6" t="n"/>
      <c r="L46" s="6" t="n"/>
      <c r="M46" s="6" t="n"/>
      <c r="N46" s="6" t="n"/>
      <c r="O46" s="6" t="n"/>
      <c r="P46" s="6" t="n"/>
      <c r="Q46" s="29" t="n"/>
      <c r="R46" s="58">
        <f>IF(J46-D46&lt;0,0,J46-D46)</f>
        <v/>
      </c>
      <c r="S46" s="60">
        <f>IF(D46-J46&lt;0,0,D46-J46)</f>
        <v/>
      </c>
      <c r="T46" s="29" t="n"/>
      <c r="U46" s="47">
        <f>SUM(D46:T46)</f>
        <v/>
      </c>
    </row>
    <row r="47" ht="34.5" customHeight="1">
      <c r="A47" s="38" t="n"/>
      <c r="B47" s="5" t="inlineStr">
        <is>
          <t>примус "Рекорд"</t>
        </is>
      </c>
      <c r="C47" s="39" t="inlineStr">
        <is>
          <t>к-т</t>
        </is>
      </c>
      <c r="D47" s="58">
        <f>F47+H47</f>
        <v/>
      </c>
      <c r="E47" s="60">
        <f>G47+I47</f>
        <v/>
      </c>
      <c r="F47" s="6" t="n"/>
      <c r="G47" s="6" t="n"/>
      <c r="H47" s="6" t="n"/>
      <c r="I47" s="29" t="n"/>
      <c r="J47" s="58">
        <f>SUM(K47:Q47)</f>
        <v/>
      </c>
      <c r="K47" s="6" t="n"/>
      <c r="L47" s="6" t="n"/>
      <c r="M47" s="6" t="n"/>
      <c r="N47" s="6" t="n"/>
      <c r="O47" s="6" t="n"/>
      <c r="P47" s="6" t="n"/>
      <c r="Q47" s="29" t="n"/>
      <c r="R47" s="58">
        <f>IF(J47-D47&lt;0,0,J47-D47)</f>
        <v/>
      </c>
      <c r="S47" s="60">
        <f>IF(D47-J47&lt;0,0,D47-J47)</f>
        <v/>
      </c>
      <c r="T47" s="29" t="n"/>
      <c r="U47" s="47">
        <f>SUM(D47:T47)</f>
        <v/>
      </c>
    </row>
    <row r="48" ht="34.5" customHeight="1">
      <c r="A48" s="38" t="n"/>
      <c r="B48" s="5" t="inlineStr">
        <is>
          <t>примус 1-пальниковий</t>
        </is>
      </c>
      <c r="C48" s="39" t="inlineStr">
        <is>
          <t>к-т</t>
        </is>
      </c>
      <c r="D48" s="58">
        <f>F48+H48</f>
        <v/>
      </c>
      <c r="E48" s="60">
        <f>G48+I48</f>
        <v/>
      </c>
      <c r="F48" s="6" t="n"/>
      <c r="G48" s="6" t="n"/>
      <c r="H48" s="6" t="n"/>
      <c r="I48" s="29" t="n"/>
      <c r="J48" s="58">
        <f>SUM(K48:Q48)</f>
        <v/>
      </c>
      <c r="K48" s="6" t="n"/>
      <c r="L48" s="6" t="n"/>
      <c r="M48" s="6" t="n"/>
      <c r="N48" s="6" t="n"/>
      <c r="O48" s="6" t="n"/>
      <c r="P48" s="6" t="n"/>
      <c r="Q48" s="29" t="n"/>
      <c r="R48" s="58">
        <f>IF(J48-D48&lt;0,0,J48-D48)</f>
        <v/>
      </c>
      <c r="S48" s="60">
        <f>IF(D48-J48&lt;0,0,D48-J48)</f>
        <v/>
      </c>
      <c r="T48" s="29" t="n"/>
      <c r="U48" s="47">
        <f>SUM(D48:T48)</f>
        <v/>
      </c>
    </row>
    <row r="49" ht="34.5" customHeight="1">
      <c r="A49" s="38" t="n"/>
      <c r="B49" s="5" t="inlineStr">
        <is>
          <t>примус 3-пальниковий</t>
        </is>
      </c>
      <c r="C49" s="39" t="inlineStr">
        <is>
          <t>к-т</t>
        </is>
      </c>
      <c r="D49" s="58">
        <f>F49+H49</f>
        <v/>
      </c>
      <c r="E49" s="60">
        <f>G49+I49</f>
        <v/>
      </c>
      <c r="F49" s="6" t="n"/>
      <c r="G49" s="6" t="n"/>
      <c r="H49" s="6" t="n"/>
      <c r="I49" s="29" t="n"/>
      <c r="J49" s="58">
        <f>SUM(K49:Q49)</f>
        <v/>
      </c>
      <c r="K49" s="6" t="n"/>
      <c r="L49" s="6" t="n"/>
      <c r="M49" s="6" t="n"/>
      <c r="N49" s="6" t="n"/>
      <c r="O49" s="6" t="n"/>
      <c r="P49" s="6" t="n"/>
      <c r="Q49" s="29" t="n"/>
      <c r="R49" s="58">
        <f>IF(J49-D49&lt;0,0,J49-D49)</f>
        <v/>
      </c>
      <c r="S49" s="60">
        <f>IF(D49-J49&lt;0,0,D49-J49)</f>
        <v/>
      </c>
      <c r="T49" s="29" t="n"/>
      <c r="U49" s="47">
        <f>SUM(D49:T49)</f>
        <v/>
      </c>
    </row>
    <row r="50" ht="34.5" customHeight="1">
      <c r="A50" s="38" t="n"/>
      <c r="B50" s="5" t="inlineStr">
        <is>
          <t>примус газовий</t>
        </is>
      </c>
      <c r="C50" s="39" t="inlineStr">
        <is>
          <t>к-т</t>
        </is>
      </c>
      <c r="D50" s="58">
        <f>F50+H50</f>
        <v/>
      </c>
      <c r="E50" s="60">
        <f>G50+I50</f>
        <v/>
      </c>
      <c r="F50" s="6" t="n"/>
      <c r="G50" s="6" t="n"/>
      <c r="H50" s="6" t="n"/>
      <c r="I50" s="29" t="n"/>
      <c r="J50" s="58">
        <f>SUM(K50:Q50)</f>
        <v/>
      </c>
      <c r="K50" s="6" t="n"/>
      <c r="L50" s="6" t="n"/>
      <c r="M50" s="6" t="n"/>
      <c r="N50" s="6" t="n"/>
      <c r="O50" s="6" t="n"/>
      <c r="P50" s="6" t="n"/>
      <c r="Q50" s="29" t="n"/>
      <c r="R50" s="58">
        <f>IF(J50-D50&lt;0,0,J50-D50)</f>
        <v/>
      </c>
      <c r="S50" s="60">
        <f>IF(D50-J50&lt;0,0,D50-J50)</f>
        <v/>
      </c>
      <c r="T50" s="29" t="n"/>
      <c r="U50" s="47">
        <f>SUM(D50:T50)</f>
        <v/>
      </c>
    </row>
    <row r="51" ht="34.5" customHeight="1">
      <c r="A51" s="38" t="n"/>
      <c r="B51" s="5" t="inlineStr">
        <is>
          <t>примус керасиновий "Оптимус-111"</t>
        </is>
      </c>
      <c r="C51" s="39" t="inlineStr">
        <is>
          <t>к-т</t>
        </is>
      </c>
      <c r="D51" s="58">
        <f>F51+H51</f>
        <v/>
      </c>
      <c r="E51" s="60">
        <f>G51+I51</f>
        <v/>
      </c>
      <c r="F51" s="6" t="n"/>
      <c r="G51" s="6" t="n"/>
      <c r="H51" s="6" t="n"/>
      <c r="I51" s="29" t="n"/>
      <c r="J51" s="58">
        <f>SUM(K51:Q51)</f>
        <v/>
      </c>
      <c r="K51" s="6" t="n"/>
      <c r="L51" s="6" t="n"/>
      <c r="M51" s="6" t="n"/>
      <c r="N51" s="6" t="n"/>
      <c r="O51" s="6" t="n"/>
      <c r="P51" s="6" t="n"/>
      <c r="Q51" s="29" t="n"/>
      <c r="R51" s="58">
        <f>IF(J51-D51&lt;0,0,J51-D51)</f>
        <v/>
      </c>
      <c r="S51" s="60">
        <f>IF(D51-J51&lt;0,0,D51-J51)</f>
        <v/>
      </c>
      <c r="T51" s="29" t="n"/>
      <c r="U51" s="47">
        <f>SUM(D51:T51)</f>
        <v/>
      </c>
    </row>
    <row r="52" ht="34.5" customHeight="1">
      <c r="A52" s="38" t="n"/>
      <c r="B52" s="5" t="inlineStr">
        <is>
          <t>примус бензиновий</t>
        </is>
      </c>
      <c r="C52" s="39" t="inlineStr">
        <is>
          <t>к-т</t>
        </is>
      </c>
      <c r="D52" s="58">
        <f>F52+H52</f>
        <v/>
      </c>
      <c r="E52" s="60">
        <f>G52+I52</f>
        <v/>
      </c>
      <c r="F52" s="6" t="n"/>
      <c r="G52" s="6" t="n"/>
      <c r="H52" s="6" t="n"/>
      <c r="I52" s="29" t="n"/>
      <c r="J52" s="58">
        <f>SUM(K52:Q52)</f>
        <v/>
      </c>
      <c r="K52" s="6" t="n"/>
      <c r="L52" s="6" t="n"/>
      <c r="M52" s="6" t="n"/>
      <c r="N52" s="6" t="n"/>
      <c r="O52" s="6" t="n"/>
      <c r="P52" s="6" t="n"/>
      <c r="Q52" s="29" t="n"/>
      <c r="R52" s="58">
        <f>IF(J52-D52&lt;0,0,J52-D52)</f>
        <v/>
      </c>
      <c r="S52" s="60">
        <f>IF(D52-J52&lt;0,0,D52-J52)</f>
        <v/>
      </c>
      <c r="T52" s="29" t="n"/>
      <c r="U52" s="47">
        <f>SUM(D52:T52)</f>
        <v/>
      </c>
    </row>
    <row r="53" ht="34.5" customHeight="1">
      <c r="A53" s="38" t="n"/>
      <c r="B53" s="73" t="inlineStr">
        <is>
          <t>Плита газова</t>
        </is>
      </c>
      <c r="C53" s="32" t="n"/>
      <c r="D53" s="58">
        <f>F53+H53</f>
        <v/>
      </c>
      <c r="E53" s="60">
        <f>G53+I53</f>
        <v/>
      </c>
      <c r="F53" s="6" t="n"/>
      <c r="G53" s="6" t="n"/>
      <c r="H53" s="6" t="n"/>
      <c r="I53" s="29" t="n"/>
      <c r="J53" s="58">
        <f>SUM(K53:Q53)</f>
        <v/>
      </c>
      <c r="K53" s="6" t="n"/>
      <c r="L53" s="6" t="n"/>
      <c r="M53" s="6" t="n"/>
      <c r="N53" s="6" t="n"/>
      <c r="O53" s="6" t="n"/>
      <c r="P53" s="6" t="n"/>
      <c r="Q53" s="29" t="n"/>
      <c r="R53" s="58">
        <f>IF(J53-D53&lt;0,0,J53-D53)</f>
        <v/>
      </c>
      <c r="S53" s="60">
        <f>IF(D53-J53&lt;0,0,D53-J53)</f>
        <v/>
      </c>
      <c r="T53" s="29" t="n"/>
      <c r="U53" s="47">
        <f>SUM(D53:T53)</f>
        <v/>
      </c>
    </row>
    <row r="54" ht="34.5" customHeight="1">
      <c r="A54" s="38" t="n"/>
      <c r="B54" s="73" t="inlineStr">
        <is>
          <t>Регулятор тиску</t>
        </is>
      </c>
      <c r="C54" s="32" t="n"/>
      <c r="D54" s="58">
        <f>F54+H54</f>
        <v/>
      </c>
      <c r="E54" s="60">
        <f>G54+I54</f>
        <v/>
      </c>
      <c r="F54" s="6" t="n"/>
      <c r="G54" s="6" t="n"/>
      <c r="H54" s="6" t="n"/>
      <c r="I54" s="29" t="n"/>
      <c r="J54" s="58">
        <f>SUM(K54:Q54)</f>
        <v/>
      </c>
      <c r="K54" s="6" t="n"/>
      <c r="L54" s="6" t="n"/>
      <c r="M54" s="6" t="n"/>
      <c r="N54" s="6" t="n"/>
      <c r="O54" s="6" t="n"/>
      <c r="P54" s="6" t="n"/>
      <c r="Q54" s="29" t="n"/>
      <c r="R54" s="58">
        <f>IF(J54-D54&lt;0,0,J54-D54)</f>
        <v/>
      </c>
      <c r="S54" s="60">
        <f>IF(D54-J54&lt;0,0,D54-J54)</f>
        <v/>
      </c>
      <c r="T54" s="29" t="n"/>
      <c r="U54" s="47">
        <f>SUM(D54:T54)</f>
        <v/>
      </c>
    </row>
    <row r="55" ht="34.5" customHeight="1">
      <c r="A55" s="38" t="n"/>
      <c r="B55" s="73" t="inlineStr">
        <is>
          <t>Балон газовий композитний</t>
        </is>
      </c>
      <c r="C55" s="32" t="n"/>
      <c r="D55" s="58">
        <f>F55+H55</f>
        <v/>
      </c>
      <c r="E55" s="60">
        <f>G55+I55</f>
        <v/>
      </c>
      <c r="F55" s="6" t="n"/>
      <c r="G55" s="6" t="n"/>
      <c r="H55" s="6" t="n"/>
      <c r="I55" s="29" t="n"/>
      <c r="J55" s="58">
        <f>SUM(K55:Q55)</f>
        <v/>
      </c>
      <c r="K55" s="6" t="n"/>
      <c r="L55" s="6" t="n"/>
      <c r="M55" s="6" t="n"/>
      <c r="N55" s="6" t="n"/>
      <c r="O55" s="6" t="n"/>
      <c r="P55" s="6" t="n"/>
      <c r="Q55" s="29" t="n"/>
      <c r="R55" s="58">
        <f>IF(J55-D55&lt;0,0,J55-D55)</f>
        <v/>
      </c>
      <c r="S55" s="60">
        <f>IF(D55-J55&lt;0,0,D55-J55)</f>
        <v/>
      </c>
      <c r="T55" s="29" t="n"/>
      <c r="U55" s="47">
        <f>SUM(D55:T55)</f>
        <v/>
      </c>
    </row>
    <row r="56" ht="34.5" customHeight="1">
      <c r="A56" s="38" t="n"/>
      <c r="B56" s="74" t="inlineStr">
        <is>
          <t>кухня контейнер КК-500</t>
        </is>
      </c>
      <c r="C56" s="32" t="n"/>
      <c r="D56" s="58">
        <f>F56+H56</f>
        <v/>
      </c>
      <c r="E56" s="60">
        <f>G56+I56</f>
        <v/>
      </c>
      <c r="F56" s="6" t="n"/>
      <c r="G56" s="6" t="n"/>
      <c r="H56" s="6" t="n"/>
      <c r="I56" s="29" t="n"/>
      <c r="J56" s="58">
        <f>SUM(K56:Q56)</f>
        <v/>
      </c>
      <c r="K56" s="6" t="n"/>
      <c r="L56" s="6" t="n"/>
      <c r="M56" s="6" t="n"/>
      <c r="N56" s="6" t="n"/>
      <c r="O56" s="6" t="n"/>
      <c r="P56" s="6" t="n"/>
      <c r="Q56" s="29" t="n"/>
      <c r="R56" s="58">
        <f>IF(J56-D56&lt;0,0,J56-D56)</f>
        <v/>
      </c>
      <c r="S56" s="60">
        <f>IF(D56-J56&lt;0,0,D56-J56)</f>
        <v/>
      </c>
      <c r="T56" s="29" t="n"/>
      <c r="U56" s="47">
        <f>SUM(D56:T56)</f>
        <v/>
      </c>
    </row>
    <row r="57" ht="34.5" customHeight="1">
      <c r="A57" s="37" t="n">
        <v>6</v>
      </c>
      <c r="B57" s="3" t="inlineStr">
        <is>
          <t>Кип'ятильники</t>
        </is>
      </c>
      <c r="C57" s="28" t="inlineStr">
        <is>
          <t>к-т</t>
        </is>
      </c>
      <c r="D57" s="27">
        <f>F57+H57</f>
        <v/>
      </c>
      <c r="E57" s="4">
        <f>G57+I57</f>
        <v/>
      </c>
      <c r="F57" s="4">
        <f>F58+F59+F60+F61</f>
        <v/>
      </c>
      <c r="G57" s="4">
        <f>G58+G59+G60+G61</f>
        <v/>
      </c>
      <c r="H57" s="4">
        <f>H58+H59+H60+H61</f>
        <v/>
      </c>
      <c r="I57" s="28">
        <f>I58+I59+I60+I61</f>
        <v/>
      </c>
      <c r="J57" s="27">
        <f>SUM(K57:Q57)</f>
        <v/>
      </c>
      <c r="K57" s="4">
        <f>K58+K59+K60+K61</f>
        <v/>
      </c>
      <c r="L57" s="4">
        <f>L58+L59+L60+L61</f>
        <v/>
      </c>
      <c r="M57" s="4">
        <f>M58+M59+M60+M61</f>
        <v/>
      </c>
      <c r="N57" s="4">
        <f>N58+N59+N60+N61</f>
        <v/>
      </c>
      <c r="O57" s="4">
        <f>O58+O59+O60+O61</f>
        <v/>
      </c>
      <c r="P57" s="4">
        <f>P58+P59+P60+P61</f>
        <v/>
      </c>
      <c r="Q57" s="28">
        <f>Q58+Q59+Q60+Q61</f>
        <v/>
      </c>
      <c r="R57" s="27">
        <f>IF(J57-D57&lt;0,0,J57-D57)</f>
        <v/>
      </c>
      <c r="S57" s="4">
        <f>IF(D57-J57&lt;0,0,D57-J57)</f>
        <v/>
      </c>
      <c r="T57" s="28">
        <f>T58+T59+T60+T61</f>
        <v/>
      </c>
      <c r="U57" s="47">
        <f>SUM(D57:T57)</f>
        <v/>
      </c>
    </row>
    <row r="58" ht="34.5" customHeight="1">
      <c r="A58" s="38" t="n"/>
      <c r="B58" s="5" t="inlineStr">
        <is>
          <t>Кип'ятильники переносні ПНК-2</t>
        </is>
      </c>
      <c r="C58" s="39" t="inlineStr">
        <is>
          <t>к-т</t>
        </is>
      </c>
      <c r="D58" s="58">
        <f>F58+H58</f>
        <v/>
      </c>
      <c r="E58" s="60">
        <f>G58+I58</f>
        <v/>
      </c>
      <c r="F58" s="12" t="n"/>
      <c r="G58" s="12" t="n"/>
      <c r="H58" s="12" t="n"/>
      <c r="I58" s="31" t="n"/>
      <c r="J58" s="58">
        <f>SUM(K58:Q58)</f>
        <v/>
      </c>
      <c r="K58" s="12" t="n"/>
      <c r="L58" s="12" t="n"/>
      <c r="M58" s="12" t="n"/>
      <c r="N58" s="12" t="n"/>
      <c r="O58" s="12" t="n"/>
      <c r="P58" s="12" t="n"/>
      <c r="Q58" s="31" t="n"/>
      <c r="R58" s="58">
        <f>IF(J58-D58&lt;0,0,J58-D58)</f>
        <v/>
      </c>
      <c r="S58" s="60">
        <f>IF(D58-J58&lt;0,0,D58-J58)</f>
        <v/>
      </c>
      <c r="T58" s="31" t="n"/>
      <c r="U58" s="47">
        <f>SUM(D58:T58)</f>
        <v/>
      </c>
    </row>
    <row r="59" ht="34.5" customHeight="1">
      <c r="A59" s="38" t="n"/>
      <c r="B59" s="5" t="inlineStr">
        <is>
          <t>кип'ятильник на твердому паливі КН-60</t>
        </is>
      </c>
      <c r="C59" s="39" t="inlineStr">
        <is>
          <t>к-т</t>
        </is>
      </c>
      <c r="D59" s="58">
        <f>F59+H59</f>
        <v/>
      </c>
      <c r="E59" s="60">
        <f>G59+I59</f>
        <v/>
      </c>
      <c r="F59" s="6" t="n"/>
      <c r="G59" s="6" t="n"/>
      <c r="H59" s="6" t="n"/>
      <c r="I59" s="29" t="n"/>
      <c r="J59" s="58">
        <f>SUM(K59:Q59)</f>
        <v/>
      </c>
      <c r="K59" s="6" t="n"/>
      <c r="L59" s="6" t="n"/>
      <c r="M59" s="6" t="n"/>
      <c r="N59" s="6" t="n"/>
      <c r="O59" s="6" t="n"/>
      <c r="P59" s="6" t="n"/>
      <c r="Q59" s="29" t="n"/>
      <c r="R59" s="58">
        <f>IF(J59-D59&lt;0,0,J59-D59)</f>
        <v/>
      </c>
      <c r="S59" s="60">
        <f>IF(D59-J59&lt;0,0,D59-J59)</f>
        <v/>
      </c>
      <c r="T59" s="29" t="n"/>
      <c r="U59" s="47">
        <f>SUM(D59:T59)</f>
        <v/>
      </c>
    </row>
    <row r="60" ht="34.5" customHeight="1">
      <c r="A60" s="38" t="n"/>
      <c r="B60" s="7" t="n"/>
      <c r="C60" s="32" t="n"/>
      <c r="D60" s="58">
        <f>F60+H60</f>
        <v/>
      </c>
      <c r="E60" s="60">
        <f>G60+I60</f>
        <v/>
      </c>
      <c r="F60" s="6" t="n"/>
      <c r="G60" s="6" t="n"/>
      <c r="H60" s="6" t="n"/>
      <c r="I60" s="29" t="n"/>
      <c r="J60" s="58">
        <f>SUM(K60:Q60)</f>
        <v/>
      </c>
      <c r="K60" s="6" t="n"/>
      <c r="L60" s="6" t="n"/>
      <c r="M60" s="6" t="n"/>
      <c r="N60" s="6" t="n"/>
      <c r="O60" s="6" t="n"/>
      <c r="P60" s="6" t="n"/>
      <c r="Q60" s="29" t="n"/>
      <c r="R60" s="58">
        <f>IF(J60-D60&lt;0,0,J60-D60)</f>
        <v/>
      </c>
      <c r="S60" s="60">
        <f>IF(D60-J60&lt;0,0,D60-J60)</f>
        <v/>
      </c>
      <c r="T60" s="29" t="n"/>
      <c r="U60" s="47">
        <f>SUM(D60:T60)</f>
        <v/>
      </c>
    </row>
    <row r="61" ht="34.5" customHeight="1">
      <c r="A61" s="38" t="n"/>
      <c r="B61" s="7" t="n"/>
      <c r="C61" s="32" t="n"/>
      <c r="D61" s="58">
        <f>F61+H61</f>
        <v/>
      </c>
      <c r="E61" s="60">
        <f>G61+I61</f>
        <v/>
      </c>
      <c r="F61" s="6" t="n"/>
      <c r="G61" s="6" t="n"/>
      <c r="H61" s="6" t="n"/>
      <c r="I61" s="29" t="n"/>
      <c r="J61" s="58">
        <f>SUM(K61:Q61)</f>
        <v/>
      </c>
      <c r="K61" s="6" t="n"/>
      <c r="L61" s="6" t="n"/>
      <c r="M61" s="6" t="n"/>
      <c r="N61" s="6" t="n"/>
      <c r="O61" s="6" t="n"/>
      <c r="P61" s="6" t="n"/>
      <c r="Q61" s="29" t="n"/>
      <c r="R61" s="58">
        <f>IF(J61-D61&lt;0,0,J61-D61)</f>
        <v/>
      </c>
      <c r="S61" s="60">
        <f>IF(D61-J61&lt;0,0,D61-J61)</f>
        <v/>
      </c>
      <c r="T61" s="29" t="n"/>
      <c r="U61" s="47">
        <f>SUM(D61:T61)</f>
        <v/>
      </c>
    </row>
    <row r="62" ht="34.5" customHeight="1">
      <c r="A62" s="37" t="n">
        <v>7</v>
      </c>
      <c r="B62" s="3" t="inlineStr">
        <is>
          <t>Плити переносні:</t>
        </is>
      </c>
      <c r="C62" s="28" t="inlineStr">
        <is>
          <t>к-т</t>
        </is>
      </c>
      <c r="D62" s="27">
        <f>F62+H62</f>
        <v/>
      </c>
      <c r="E62" s="4">
        <f>G62+I62</f>
        <v/>
      </c>
      <c r="F62" s="4">
        <f>F63+F64+F65+F66+F67+F68+F69</f>
        <v/>
      </c>
      <c r="G62" s="4">
        <f>G63+G64+G65+G66+G67+G68+G69</f>
        <v/>
      </c>
      <c r="H62" s="4">
        <f>H63+H64+H65+H66+H67+H68+H69</f>
        <v/>
      </c>
      <c r="I62" s="28">
        <f>I63+I64+I65+I66+I67+I68+I69</f>
        <v/>
      </c>
      <c r="J62" s="27">
        <f>SUM(K62:Q62)</f>
        <v/>
      </c>
      <c r="K62" s="4">
        <f>K63+K64+K65+K66+K67+K68+K69</f>
        <v/>
      </c>
      <c r="L62" s="4">
        <f>L63+L64+L65+L66+L67+L68+L69</f>
        <v/>
      </c>
      <c r="M62" s="4">
        <f>M63+M64+M65+M66+M67+M68+M69</f>
        <v/>
      </c>
      <c r="N62" s="4">
        <f>N63+N64+N65+N66+N67+N68+N69</f>
        <v/>
      </c>
      <c r="O62" s="4">
        <f>O63+O64+O65+O66+O67+O68+O69</f>
        <v/>
      </c>
      <c r="P62" s="4">
        <f>P63+P64+P65+P66+P67+P68+P69</f>
        <v/>
      </c>
      <c r="Q62" s="28">
        <f>Q63+Q64+Q65+Q66+Q67+Q68+Q69</f>
        <v/>
      </c>
      <c r="R62" s="27">
        <f>IF(J62-D62&lt;0,0,J62-D62)</f>
        <v/>
      </c>
      <c r="S62" s="4">
        <f>IF(D62-J62&lt;0,0,D62-J62)</f>
        <v/>
      </c>
      <c r="T62" s="28">
        <f>T63+T64+T65+T66+T67+T68+T69</f>
        <v/>
      </c>
      <c r="U62" s="47">
        <f>SUM(D62:T62)</f>
        <v/>
      </c>
    </row>
    <row r="63" ht="34.5" customHeight="1">
      <c r="A63" s="38" t="n"/>
      <c r="B63" s="5" t="inlineStr">
        <is>
          <t>плита переносна ПП-1</t>
        </is>
      </c>
      <c r="C63" s="39" t="inlineStr">
        <is>
          <t>к-т</t>
        </is>
      </c>
      <c r="D63" s="58">
        <f>F63+H63</f>
        <v/>
      </c>
      <c r="E63" s="60">
        <f>G63+I63</f>
        <v/>
      </c>
      <c r="F63" s="6" t="n"/>
      <c r="G63" s="6" t="n"/>
      <c r="H63" s="6" t="n"/>
      <c r="I63" s="29" t="n"/>
      <c r="J63" s="58">
        <f>SUM(K63:Q63)</f>
        <v/>
      </c>
      <c r="K63" s="6" t="n"/>
      <c r="L63" s="6" t="n"/>
      <c r="M63" s="6" t="n"/>
      <c r="N63" s="6" t="n"/>
      <c r="O63" s="6" t="n"/>
      <c r="P63" s="6" t="n"/>
      <c r="Q63" s="29" t="n"/>
      <c r="R63" s="58">
        <f>IF(J63-D63&lt;0,0,J63-D63)</f>
        <v/>
      </c>
      <c r="S63" s="60">
        <f>IF(D63-J63&lt;0,0,D63-J63)</f>
        <v/>
      </c>
      <c r="T63" s="29" t="n"/>
      <c r="U63" s="47">
        <f>SUM(D63:T63)</f>
        <v/>
      </c>
    </row>
    <row r="64" ht="34.5" customHeight="1">
      <c r="A64" s="38" t="n"/>
      <c r="B64" s="5" t="inlineStr">
        <is>
          <t>плита переносна ПК-1</t>
        </is>
      </c>
      <c r="C64" s="39" t="inlineStr">
        <is>
          <t>к-т</t>
        </is>
      </c>
      <c r="D64" s="58">
        <f>F64+H64</f>
        <v/>
      </c>
      <c r="E64" s="60">
        <f>G64+I64</f>
        <v/>
      </c>
      <c r="F64" s="6" t="n"/>
      <c r="G64" s="6" t="n"/>
      <c r="H64" s="6" t="n"/>
      <c r="I64" s="29" t="n"/>
      <c r="J64" s="58">
        <f>SUM(K64:Q64)</f>
        <v/>
      </c>
      <c r="K64" s="6" t="n"/>
      <c r="L64" s="6" t="n"/>
      <c r="M64" s="6" t="n"/>
      <c r="N64" s="6" t="n"/>
      <c r="O64" s="6" t="n"/>
      <c r="P64" s="6" t="n"/>
      <c r="Q64" s="29" t="n"/>
      <c r="R64" s="58">
        <f>IF(J64-D64&lt;0,0,J64-D64)</f>
        <v/>
      </c>
      <c r="S64" s="60">
        <f>IF(D64-J64&lt;0,0,D64-J64)</f>
        <v/>
      </c>
      <c r="T64" s="29" t="n"/>
      <c r="U64" s="47">
        <f>SUM(D64:T64)</f>
        <v/>
      </c>
    </row>
    <row r="65" ht="34.5" customHeight="1">
      <c r="A65" s="38" t="n"/>
      <c r="B65" s="5" t="inlineStr">
        <is>
          <t>плита переносна ПП-40</t>
        </is>
      </c>
      <c r="C65" s="39" t="inlineStr">
        <is>
          <t>к-т</t>
        </is>
      </c>
      <c r="D65" s="58">
        <f>F65+H65</f>
        <v/>
      </c>
      <c r="E65" s="60">
        <f>G65+I65</f>
        <v/>
      </c>
      <c r="F65" s="6" t="n"/>
      <c r="G65" s="6" t="n"/>
      <c r="H65" s="6" t="n"/>
      <c r="I65" s="29" t="n"/>
      <c r="J65" s="58">
        <f>SUM(K65:Q65)</f>
        <v/>
      </c>
      <c r="K65" s="6" t="n"/>
      <c r="L65" s="6" t="n"/>
      <c r="M65" s="6" t="n"/>
      <c r="N65" s="6" t="n"/>
      <c r="O65" s="6" t="n"/>
      <c r="P65" s="6" t="n"/>
      <c r="Q65" s="29" t="n"/>
      <c r="R65" s="58">
        <f>IF(J65-D65&lt;0,0,J65-D65)</f>
        <v/>
      </c>
      <c r="S65" s="60">
        <f>IF(D65-J65&lt;0,0,D65-J65)</f>
        <v/>
      </c>
      <c r="T65" s="29" t="n"/>
      <c r="U65" s="47">
        <f>SUM(D65:T65)</f>
        <v/>
      </c>
    </row>
    <row r="66" ht="34.5" customHeight="1">
      <c r="A66" s="38" t="n"/>
      <c r="B66" s="5" t="inlineStr">
        <is>
          <t>плита переносна ПП-40-01</t>
        </is>
      </c>
      <c r="C66" s="39" t="inlineStr">
        <is>
          <t>к-т</t>
        </is>
      </c>
      <c r="D66" s="58">
        <f>F66+H66</f>
        <v/>
      </c>
      <c r="E66" s="60">
        <f>G66+I66</f>
        <v/>
      </c>
      <c r="F66" s="6" t="n"/>
      <c r="G66" s="6" t="n"/>
      <c r="H66" s="6" t="n"/>
      <c r="I66" s="29" t="n"/>
      <c r="J66" s="58">
        <f>SUM(K66:Q66)</f>
        <v/>
      </c>
      <c r="K66" s="6" t="n"/>
      <c r="L66" s="6" t="n"/>
      <c r="M66" s="6" t="n"/>
      <c r="N66" s="6" t="n"/>
      <c r="O66" s="6" t="n"/>
      <c r="P66" s="6" t="n"/>
      <c r="Q66" s="29" t="n"/>
      <c r="R66" s="58">
        <f>IF(J66-D66&lt;0,0,J66-D66)</f>
        <v/>
      </c>
      <c r="S66" s="60">
        <f>IF(D66-J66&lt;0,0,D66-J66)</f>
        <v/>
      </c>
      <c r="T66" s="29" t="n"/>
      <c r="U66" s="47">
        <f>SUM(D66:T66)</f>
        <v/>
      </c>
    </row>
    <row r="67" ht="34.5" customHeight="1">
      <c r="A67" s="38" t="n"/>
      <c r="B67" s="5" t="inlineStr">
        <is>
          <t>плита дизельна (переносна) Wallas</t>
        </is>
      </c>
      <c r="C67" s="39" t="inlineStr">
        <is>
          <t>к-т</t>
        </is>
      </c>
      <c r="D67" s="58">
        <f>F67+H67</f>
        <v/>
      </c>
      <c r="E67" s="60">
        <f>G67+I67</f>
        <v/>
      </c>
      <c r="F67" s="6" t="n"/>
      <c r="G67" s="6" t="n"/>
      <c r="H67" s="6" t="n"/>
      <c r="I67" s="29" t="n"/>
      <c r="J67" s="58">
        <f>SUM(K67:Q67)</f>
        <v/>
      </c>
      <c r="K67" s="6" t="n"/>
      <c r="L67" s="6" t="n"/>
      <c r="M67" s="6" t="n"/>
      <c r="N67" s="6" t="n"/>
      <c r="O67" s="6" t="n"/>
      <c r="P67" s="6" t="n"/>
      <c r="Q67" s="29" t="n"/>
      <c r="R67" s="58">
        <f>IF(J67-D67&lt;0,0,J67-D67)</f>
        <v/>
      </c>
      <c r="S67" s="60">
        <f>IF(D67-J67&lt;0,0,D67-J67)</f>
        <v/>
      </c>
      <c r="T67" s="29" t="n"/>
      <c r="U67" s="47">
        <f>SUM(D67:T67)</f>
        <v/>
      </c>
    </row>
    <row r="68" ht="34.5" customHeight="1">
      <c r="A68" s="38" t="n"/>
      <c r="B68" s="7" t="n"/>
      <c r="C68" s="32" t="n"/>
      <c r="D68" s="58">
        <f>F68+H68</f>
        <v/>
      </c>
      <c r="E68" s="60">
        <f>G68+I68</f>
        <v/>
      </c>
      <c r="F68" s="6" t="n"/>
      <c r="G68" s="6" t="n"/>
      <c r="H68" s="6" t="n"/>
      <c r="I68" s="29" t="n"/>
      <c r="J68" s="58">
        <f>SUM(K68:Q68)</f>
        <v/>
      </c>
      <c r="K68" s="6" t="n"/>
      <c r="L68" s="6" t="n"/>
      <c r="M68" s="6" t="n"/>
      <c r="N68" s="6" t="n"/>
      <c r="O68" s="6" t="n"/>
      <c r="P68" s="6" t="n"/>
      <c r="Q68" s="29" t="n"/>
      <c r="R68" s="58">
        <f>IF(J68-D68&lt;0,0,J68-D68)</f>
        <v/>
      </c>
      <c r="S68" s="60">
        <f>IF(D68-J68&lt;0,0,D68-J68)</f>
        <v/>
      </c>
      <c r="T68" s="29" t="n"/>
      <c r="U68" s="47">
        <f>SUM(D68:T68)</f>
        <v/>
      </c>
    </row>
    <row r="69" ht="34.5" customHeight="1">
      <c r="A69" s="38" t="n"/>
      <c r="B69" s="7" t="n"/>
      <c r="C69" s="32" t="n"/>
      <c r="D69" s="58">
        <f>F69+H69</f>
        <v/>
      </c>
      <c r="E69" s="60">
        <f>G69+I69</f>
        <v/>
      </c>
      <c r="F69" s="6" t="n"/>
      <c r="G69" s="6" t="n"/>
      <c r="H69" s="6" t="n"/>
      <c r="I69" s="29" t="n"/>
      <c r="J69" s="58">
        <f>SUM(K69:Q69)</f>
        <v/>
      </c>
      <c r="K69" s="6" t="n"/>
      <c r="L69" s="6" t="n"/>
      <c r="M69" s="6" t="n"/>
      <c r="N69" s="6" t="n"/>
      <c r="O69" s="6" t="n"/>
      <c r="P69" s="6" t="n"/>
      <c r="Q69" s="29" t="n"/>
      <c r="R69" s="58">
        <f>IF(J69-D69&lt;0,0,J69-D69)</f>
        <v/>
      </c>
      <c r="S69" s="60">
        <f>IF(D69-J69&lt;0,0,D69-J69)</f>
        <v/>
      </c>
      <c r="T69" s="29" t="n"/>
      <c r="U69" s="47">
        <f>SUM(D69:T69)</f>
        <v/>
      </c>
    </row>
    <row r="70" ht="34.5" customHeight="1">
      <c r="A70" s="37" t="n">
        <v>8</v>
      </c>
      <c r="B70" s="3" t="inlineStr">
        <is>
          <t>Плити причіпні:</t>
        </is>
      </c>
      <c r="C70" s="28" t="inlineStr">
        <is>
          <t>к-т</t>
        </is>
      </c>
      <c r="D70" s="27">
        <f>F70+H70</f>
        <v/>
      </c>
      <c r="E70" s="4">
        <f>G70+I70</f>
        <v/>
      </c>
      <c r="F70" s="4">
        <f>F71</f>
        <v/>
      </c>
      <c r="G70" s="4">
        <f>G71</f>
        <v/>
      </c>
      <c r="H70" s="4">
        <f>H71</f>
        <v/>
      </c>
      <c r="I70" s="28">
        <f>I71</f>
        <v/>
      </c>
      <c r="J70" s="27">
        <f>SUM(K70:Q70)</f>
        <v/>
      </c>
      <c r="K70" s="4">
        <f>K71</f>
        <v/>
      </c>
      <c r="L70" s="4">
        <f>L71</f>
        <v/>
      </c>
      <c r="M70" s="4">
        <f>M71</f>
        <v/>
      </c>
      <c r="N70" s="4">
        <f>N71</f>
        <v/>
      </c>
      <c r="O70" s="4">
        <f>O71</f>
        <v/>
      </c>
      <c r="P70" s="4">
        <f>P71</f>
        <v/>
      </c>
      <c r="Q70" s="28">
        <f>Q71</f>
        <v/>
      </c>
      <c r="R70" s="27">
        <f>IF(J70-D70&lt;0,0,J70-D70)</f>
        <v/>
      </c>
      <c r="S70" s="4">
        <f>IF(D70-J70&lt;0,0,D70-J70)</f>
        <v/>
      </c>
      <c r="T70" s="28">
        <f>T71</f>
        <v/>
      </c>
      <c r="U70" s="47">
        <f>SUM(D70:T70)</f>
        <v/>
      </c>
    </row>
    <row r="71" ht="34.5" customHeight="1">
      <c r="A71" s="38" t="n"/>
      <c r="B71" s="5" t="inlineStr">
        <is>
          <t>плита причіпна ПП-170</t>
        </is>
      </c>
      <c r="C71" s="39" t="inlineStr">
        <is>
          <t>к-т</t>
        </is>
      </c>
      <c r="D71" s="58">
        <f>F71+H71</f>
        <v/>
      </c>
      <c r="E71" s="60">
        <f>G71+I71</f>
        <v/>
      </c>
      <c r="F71" s="6" t="n"/>
      <c r="G71" s="6" t="n"/>
      <c r="H71" s="6" t="n"/>
      <c r="I71" s="29" t="n"/>
      <c r="J71" s="58">
        <f>SUM(K71:Q71)</f>
        <v/>
      </c>
      <c r="K71" s="6" t="n"/>
      <c r="L71" s="6" t="n"/>
      <c r="M71" s="6" t="n"/>
      <c r="N71" s="6" t="n"/>
      <c r="O71" s="6" t="n"/>
      <c r="P71" s="6" t="n"/>
      <c r="Q71" s="29" t="n"/>
      <c r="R71" s="58">
        <f>IF(J71-D71&lt;0,0,J71-D71)</f>
        <v/>
      </c>
      <c r="S71" s="60">
        <f>IF(D71-J71&lt;0,0,D71-J71)</f>
        <v/>
      </c>
      <c r="T71" s="29" t="n"/>
      <c r="U71" s="47">
        <f>SUM(D71:T71)</f>
        <v/>
      </c>
    </row>
    <row r="72" ht="34.5" customHeight="1">
      <c r="A72" s="37" t="n">
        <v>9</v>
      </c>
      <c r="B72" s="3" t="inlineStr">
        <is>
          <t>Термоса:</t>
        </is>
      </c>
      <c r="C72" s="28" t="inlineStr">
        <is>
          <t>к-т</t>
        </is>
      </c>
      <c r="D72" s="27">
        <f>F72+H72</f>
        <v/>
      </c>
      <c r="E72" s="4">
        <f>G72+I72</f>
        <v/>
      </c>
      <c r="F72" s="4">
        <f>F73+F74+F75+F76+F77+F78+F79+F80+F85+F86</f>
        <v/>
      </c>
      <c r="G72" s="4">
        <f>G73+G74+G75+G76+G77+G78+G79+G80+G85+G86</f>
        <v/>
      </c>
      <c r="H72" s="4">
        <f>H73+H74+H75+H76+H77+H78+H79+H80+H85+H86</f>
        <v/>
      </c>
      <c r="I72" s="28">
        <f>I73+I74+I75+I76+I77+I78+I79+I80+I85+I86</f>
        <v/>
      </c>
      <c r="J72" s="27">
        <f>SUM(K72:Q72)</f>
        <v/>
      </c>
      <c r="K72" s="4">
        <f>K73+K74+K75+K76+K77+K78+K79+K80+K85+K86</f>
        <v/>
      </c>
      <c r="L72" s="4">
        <f>L73+L74+L75+L76+L77+L78+L79+L80+L85+L86</f>
        <v/>
      </c>
      <c r="M72" s="4">
        <f>M73+M74+M75+M76+M77+M78+M79+M80+M85+M86</f>
        <v/>
      </c>
      <c r="N72" s="4">
        <f>N73+N74+N75+N76+N77+N78+N79+N80+N85+N86</f>
        <v/>
      </c>
      <c r="O72" s="4">
        <f>O73+O74+O75+O76+O77+O78+O79+O80+O85+O86</f>
        <v/>
      </c>
      <c r="P72" s="4">
        <f>P73+P74+P75+P76+P77+P78+P79+P80+P85+P86</f>
        <v/>
      </c>
      <c r="Q72" s="28">
        <f>Q73+Q74+Q75+Q76+Q77+Q78+Q79+Q80+Q85+Q86</f>
        <v/>
      </c>
      <c r="R72" s="27">
        <f>IF(J72-D72&lt;0,0,J72-D72)</f>
        <v/>
      </c>
      <c r="S72" s="4">
        <f>IF(D72-J72&lt;0,0,D72-J72)</f>
        <v/>
      </c>
      <c r="T72" s="28">
        <f>T73+T74+T75+T76+T77+T78+T79+T80+T85+T86</f>
        <v/>
      </c>
      <c r="U72" s="47">
        <f>SUM(D72:T72)</f>
        <v/>
      </c>
    </row>
    <row r="73" ht="34.5" customHeight="1">
      <c r="A73" s="38" t="n"/>
      <c r="B73" s="13" t="inlineStr">
        <is>
          <t>термос ТВН-12</t>
        </is>
      </c>
      <c r="C73" s="39" t="inlineStr">
        <is>
          <t>к-т</t>
        </is>
      </c>
      <c r="D73" s="58">
        <f>F73+H73</f>
        <v/>
      </c>
      <c r="E73" s="60">
        <f>G73+I73</f>
        <v/>
      </c>
      <c r="F73" s="6" t="n"/>
      <c r="G73" s="6" t="n"/>
      <c r="H73" s="6" t="n"/>
      <c r="I73" s="29" t="n"/>
      <c r="J73" s="58">
        <f>SUM(K73:Q73)</f>
        <v/>
      </c>
      <c r="K73" s="6" t="n"/>
      <c r="L73" s="6" t="n"/>
      <c r="M73" s="6" t="n"/>
      <c r="N73" s="6" t="n"/>
      <c r="O73" s="6" t="n"/>
      <c r="P73" s="6" t="n"/>
      <c r="Q73" s="29" t="n"/>
      <c r="R73" s="58">
        <f>IF(J73-D73&lt;0,0,J73-D73)</f>
        <v/>
      </c>
      <c r="S73" s="60">
        <f>IF(D73-J73&lt;0,0,D73-J73)</f>
        <v/>
      </c>
      <c r="T73" s="29" t="n"/>
      <c r="U73" s="47">
        <f>SUM(D73:T73)</f>
        <v/>
      </c>
    </row>
    <row r="74" ht="34.5" customHeight="1">
      <c r="A74" s="38" t="n"/>
      <c r="B74" s="13" t="inlineStr">
        <is>
          <t>термос ТН-36</t>
        </is>
      </c>
      <c r="C74" s="39" t="inlineStr">
        <is>
          <t>к-т</t>
        </is>
      </c>
      <c r="D74" s="58">
        <f>F74+H74</f>
        <v/>
      </c>
      <c r="E74" s="60">
        <f>G74+I74</f>
        <v/>
      </c>
      <c r="F74" s="6" t="n"/>
      <c r="G74" s="6" t="n"/>
      <c r="H74" s="6" t="n"/>
      <c r="I74" s="29" t="n"/>
      <c r="J74" s="58">
        <f>SUM(K74:Q74)</f>
        <v/>
      </c>
      <c r="K74" s="6" t="n"/>
      <c r="L74" s="6" t="n"/>
      <c r="M74" s="6" t="n"/>
      <c r="N74" s="6" t="n"/>
      <c r="O74" s="6" t="n"/>
      <c r="P74" s="6" t="n"/>
      <c r="Q74" s="29" t="n"/>
      <c r="R74" s="58">
        <f>IF(J74-D74&lt;0,0,J74-D74)</f>
        <v/>
      </c>
      <c r="S74" s="60">
        <f>IF(D74-J74&lt;0,0,D74-J74)</f>
        <v/>
      </c>
      <c r="T74" s="29" t="n"/>
      <c r="U74" s="47">
        <f>SUM(D74:T74)</f>
        <v/>
      </c>
    </row>
    <row r="75" ht="34.5" customHeight="1">
      <c r="A75" s="38" t="n"/>
      <c r="B75" s="5" t="inlineStr">
        <is>
          <t>термос-ящик Т-15 (Т-15М)</t>
        </is>
      </c>
      <c r="C75" s="39" t="inlineStr">
        <is>
          <t>к-т</t>
        </is>
      </c>
      <c r="D75" s="58">
        <f>F75+H75</f>
        <v/>
      </c>
      <c r="E75" s="60">
        <f>G75+I75</f>
        <v/>
      </c>
      <c r="F75" s="6" t="n"/>
      <c r="G75" s="6" t="n"/>
      <c r="H75" s="6" t="n"/>
      <c r="I75" s="29" t="n"/>
      <c r="J75" s="58">
        <f>SUM(K75:Q75)</f>
        <v/>
      </c>
      <c r="K75" s="6" t="n"/>
      <c r="L75" s="6" t="n"/>
      <c r="M75" s="6" t="n"/>
      <c r="N75" s="6" t="n"/>
      <c r="O75" s="6" t="n"/>
      <c r="P75" s="6" t="n"/>
      <c r="Q75" s="29" t="n"/>
      <c r="R75" s="58">
        <f>IF(J75-D75&lt;0,0,J75-D75)</f>
        <v/>
      </c>
      <c r="S75" s="60">
        <f>IF(D75-J75&lt;0,0,D75-J75)</f>
        <v/>
      </c>
      <c r="T75" s="29" t="n"/>
      <c r="U75" s="47">
        <f>SUM(D75:T75)</f>
        <v/>
      </c>
    </row>
    <row r="76" ht="34.5" customHeight="1">
      <c r="A76" s="38" t="n"/>
      <c r="B76" s="5" t="inlineStr">
        <is>
          <t>термос Т-4 (Т-4К)</t>
        </is>
      </c>
      <c r="C76" s="39" t="inlineStr">
        <is>
          <t>к-т</t>
        </is>
      </c>
      <c r="D76" s="58">
        <f>F76+H76</f>
        <v/>
      </c>
      <c r="E76" s="60">
        <f>G76+I76</f>
        <v/>
      </c>
      <c r="F76" s="6" t="n"/>
      <c r="G76" s="6" t="n"/>
      <c r="H76" s="6" t="n"/>
      <c r="I76" s="29" t="n"/>
      <c r="J76" s="58">
        <f>SUM(K76:Q76)</f>
        <v/>
      </c>
      <c r="K76" s="6" t="n"/>
      <c r="L76" s="6" t="n"/>
      <c r="M76" s="6" t="n"/>
      <c r="N76" s="6" t="n"/>
      <c r="O76" s="6" t="n"/>
      <c r="P76" s="6" t="n"/>
      <c r="Q76" s="29" t="n"/>
      <c r="R76" s="58">
        <f>IF(J76-D76&lt;0,0,J76-D76)</f>
        <v/>
      </c>
      <c r="S76" s="60">
        <f>IF(D76-J76&lt;0,0,D76-J76)</f>
        <v/>
      </c>
      <c r="T76" s="29" t="n"/>
      <c r="U76" s="47">
        <f>SUM(D76:T76)</f>
        <v/>
      </c>
    </row>
    <row r="77" ht="34.5" customHeight="1">
      <c r="A77" s="38" t="n"/>
      <c r="B77" s="5" t="inlineStr">
        <is>
          <t>Контейнер ізотермічний КІ-50</t>
        </is>
      </c>
      <c r="C77" s="39" t="inlineStr">
        <is>
          <t>шт</t>
        </is>
      </c>
      <c r="D77" s="58">
        <f>F77+H77</f>
        <v/>
      </c>
      <c r="E77" s="60">
        <f>G77+I77</f>
        <v/>
      </c>
      <c r="F77" s="6" t="n"/>
      <c r="G77" s="6" t="n"/>
      <c r="H77" s="6" t="n"/>
      <c r="I77" s="29" t="n"/>
      <c r="J77" s="58">
        <f>SUM(K77:Q77)</f>
        <v/>
      </c>
      <c r="K77" s="6" t="n"/>
      <c r="L77" s="6" t="n"/>
      <c r="M77" s="6" t="n"/>
      <c r="N77" s="6" t="n"/>
      <c r="O77" s="6" t="n"/>
      <c r="P77" s="6" t="n"/>
      <c r="Q77" s="29" t="n"/>
      <c r="R77" s="58">
        <f>IF(J77-D77&lt;0,0,J77-D77)</f>
        <v/>
      </c>
      <c r="S77" s="60">
        <f>IF(D77-J77&lt;0,0,D77-J77)</f>
        <v/>
      </c>
      <c r="T77" s="29" t="n"/>
      <c r="U77" s="47">
        <f>SUM(D77:T77)</f>
        <v/>
      </c>
    </row>
    <row r="78" ht="34.5" customHeight="1">
      <c r="A78" s="38" t="n"/>
      <c r="B78" s="5" t="inlineStr">
        <is>
          <t>Термос Т-12</t>
        </is>
      </c>
      <c r="C78" s="39" t="inlineStr">
        <is>
          <t>шт</t>
        </is>
      </c>
      <c r="D78" s="58">
        <f>F78+H78</f>
        <v/>
      </c>
      <c r="E78" s="60">
        <f>G78+I78</f>
        <v/>
      </c>
      <c r="F78" s="6" t="n"/>
      <c r="G78" s="6" t="n"/>
      <c r="H78" s="6" t="n"/>
      <c r="I78" s="29" t="n"/>
      <c r="J78" s="58">
        <f>SUM(K78:Q78)</f>
        <v/>
      </c>
      <c r="K78" s="6" t="n"/>
      <c r="L78" s="6" t="n"/>
      <c r="M78" s="6" t="n"/>
      <c r="N78" s="6" t="n"/>
      <c r="O78" s="6" t="n"/>
      <c r="P78" s="6" t="n"/>
      <c r="Q78" s="29" t="n"/>
      <c r="R78" s="58">
        <f>IF(J78-D78&lt;0,0,J78-D78)</f>
        <v/>
      </c>
      <c r="S78" s="60">
        <f>IF(D78-J78&lt;0,0,D78-J78)</f>
        <v/>
      </c>
      <c r="T78" s="29" t="n"/>
      <c r="U78" s="47">
        <f>SUM(D78:T78)</f>
        <v/>
      </c>
    </row>
    <row r="79" ht="34.5" customHeight="1">
      <c r="A79" s="38" t="n"/>
      <c r="B79" s="5" t="inlineStr">
        <is>
          <t>Термос Т-13</t>
        </is>
      </c>
      <c r="C79" s="39" t="inlineStr">
        <is>
          <t>шт</t>
        </is>
      </c>
      <c r="D79" s="58">
        <f>F79+H79</f>
        <v/>
      </c>
      <c r="E79" s="60">
        <f>G79+I79</f>
        <v/>
      </c>
      <c r="F79" s="6" t="n"/>
      <c r="G79" s="6" t="n"/>
      <c r="H79" s="6" t="n"/>
      <c r="I79" s="29" t="n"/>
      <c r="J79" s="58">
        <f>SUM(K79:Q79)</f>
        <v/>
      </c>
      <c r="K79" s="6" t="n"/>
      <c r="L79" s="6" t="n"/>
      <c r="M79" s="6" t="n"/>
      <c r="N79" s="6" t="n"/>
      <c r="O79" s="6" t="n"/>
      <c r="P79" s="6" t="n"/>
      <c r="Q79" s="29" t="n"/>
      <c r="R79" s="58">
        <f>IF(J79-D79&lt;0,0,J79-D79)</f>
        <v/>
      </c>
      <c r="S79" s="60">
        <f>IF(D79-J79&lt;0,0,D79-J79)</f>
        <v/>
      </c>
      <c r="T79" s="29" t="n"/>
      <c r="U79" s="47">
        <f>SUM(D79:T79)</f>
        <v/>
      </c>
    </row>
    <row r="80" ht="34.5" customHeight="1">
      <c r="A80" s="38" t="n"/>
      <c r="B80" s="5" t="inlineStr">
        <is>
          <t>Термос-бачок 3-5 л.</t>
        </is>
      </c>
      <c r="C80" s="39" t="inlineStr">
        <is>
          <t>шт</t>
        </is>
      </c>
      <c r="D80" s="58">
        <f>F80+H80</f>
        <v/>
      </c>
      <c r="E80" s="60">
        <f>G80+I80</f>
        <v/>
      </c>
      <c r="F80" s="6" t="n"/>
      <c r="G80" s="6" t="n"/>
      <c r="H80" s="6" t="n"/>
      <c r="I80" s="29" t="n"/>
      <c r="J80" s="58">
        <f>SUM(K80:Q80)</f>
        <v/>
      </c>
      <c r="K80" s="6" t="n"/>
      <c r="L80" s="6" t="n"/>
      <c r="M80" s="6" t="n"/>
      <c r="N80" s="6" t="n"/>
      <c r="O80" s="6" t="n"/>
      <c r="P80" s="6" t="n"/>
      <c r="Q80" s="29" t="n"/>
      <c r="R80" s="58">
        <f>IF(J80-D80&lt;0,0,J80-D80)</f>
        <v/>
      </c>
      <c r="S80" s="60">
        <f>IF(D80-J80&lt;0,0,D80-J80)</f>
        <v/>
      </c>
      <c r="T80" s="29" t="n"/>
      <c r="U80" s="47">
        <f>SUM(D80:T80)</f>
        <v/>
      </c>
    </row>
    <row r="81" ht="34.5" customHeight="1">
      <c r="A81" s="38" t="n"/>
      <c r="B81" s="74" t="inlineStr">
        <is>
          <t>Термоконтейнер ТСВ-600</t>
        </is>
      </c>
      <c r="C81" s="32" t="n"/>
      <c r="D81" s="58">
        <f>F81+H81</f>
        <v/>
      </c>
      <c r="E81" s="60">
        <f>G81+I81</f>
        <v/>
      </c>
      <c r="F81" s="6" t="n"/>
      <c r="G81" s="6" t="n"/>
      <c r="H81" s="6" t="n"/>
      <c r="I81" s="29" t="n"/>
      <c r="J81" s="58">
        <f>SUM(K81:Q81)</f>
        <v/>
      </c>
      <c r="K81" s="6" t="n"/>
      <c r="L81" s="6" t="n"/>
      <c r="M81" s="6" t="n"/>
      <c r="N81" s="6" t="n"/>
      <c r="O81" s="6" t="n"/>
      <c r="P81" s="6" t="n"/>
      <c r="Q81" s="29" t="n"/>
      <c r="R81" s="58">
        <f>IF(J81-D81&lt;0,0,J81-D81)</f>
        <v/>
      </c>
      <c r="S81" s="60">
        <f>IF(D81-J81&lt;0,0,D81-J81)</f>
        <v/>
      </c>
      <c r="T81" s="29" t="n"/>
      <c r="U81" s="47">
        <f>SUM(D81:T81)</f>
        <v/>
      </c>
    </row>
    <row r="82" ht="34.5" customHeight="1">
      <c r="A82" s="38" t="n"/>
      <c r="B82" s="73" t="inlineStr">
        <is>
          <t xml:space="preserve">Термос з н\ст 20л </t>
        </is>
      </c>
      <c r="C82" s="32" t="n"/>
      <c r="D82" s="58">
        <f>F82+H82</f>
        <v/>
      </c>
      <c r="E82" s="60">
        <f>G82+I82</f>
        <v/>
      </c>
      <c r="F82" s="6" t="n"/>
      <c r="G82" s="6" t="n"/>
      <c r="H82" s="6" t="n"/>
      <c r="I82" s="29" t="n"/>
      <c r="J82" s="58">
        <f>SUM(K82:Q82)</f>
        <v/>
      </c>
      <c r="K82" s="6" t="n"/>
      <c r="L82" s="6" t="n"/>
      <c r="M82" s="6" t="n"/>
      <c r="N82" s="6" t="n"/>
      <c r="O82" s="6" t="n"/>
      <c r="P82" s="6" t="n"/>
      <c r="Q82" s="29" t="n"/>
      <c r="R82" s="58">
        <f>IF(J82-D82&lt;0,0,J82-D82)</f>
        <v/>
      </c>
      <c r="S82" s="60">
        <f>IF(D82-J82&lt;0,0,D82-J82)</f>
        <v/>
      </c>
      <c r="T82" s="29" t="n"/>
      <c r="U82" s="47">
        <f>SUM(D82:T82)</f>
        <v/>
      </c>
    </row>
    <row r="83" ht="34.5" customHeight="1">
      <c r="A83" s="38" t="n"/>
      <c r="B83" s="74" t="inlineStr">
        <is>
          <t>термос металевий 1,2л.</t>
        </is>
      </c>
      <c r="C83" s="32" t="n"/>
      <c r="D83" s="58">
        <f>F83+H83</f>
        <v/>
      </c>
      <c r="E83" s="60">
        <f>G83+I83</f>
        <v/>
      </c>
      <c r="F83" s="6" t="n"/>
      <c r="G83" s="6" t="n"/>
      <c r="H83" s="6" t="n"/>
      <c r="I83" s="29" t="n"/>
      <c r="J83" s="58">
        <f>SUM(K83:Q83)</f>
        <v/>
      </c>
      <c r="K83" s="6" t="n"/>
      <c r="L83" s="6" t="n"/>
      <c r="M83" s="6" t="n"/>
      <c r="N83" s="6" t="n"/>
      <c r="O83" s="6" t="n"/>
      <c r="P83" s="6" t="n"/>
      <c r="Q83" s="29" t="n"/>
      <c r="R83" s="58">
        <f>IF(J83-D83&lt;0,0,J83-D83)</f>
        <v/>
      </c>
      <c r="S83" s="60">
        <f>IF(D83-J83&lt;0,0,D83-J83)</f>
        <v/>
      </c>
      <c r="T83" s="29" t="n"/>
      <c r="U83" s="47">
        <f>SUM(D83:T83)</f>
        <v/>
      </c>
    </row>
    <row r="84" ht="34.5" customHeight="1">
      <c r="A84" s="38" t="n"/>
      <c r="B84" s="74" t="inlineStr">
        <is>
          <t>термос продовольчий МТД</t>
        </is>
      </c>
      <c r="C84" s="32" t="n"/>
      <c r="D84" s="58">
        <f>F84+H84</f>
        <v/>
      </c>
      <c r="E84" s="60">
        <f>G84+I84</f>
        <v/>
      </c>
      <c r="F84" s="6" t="n"/>
      <c r="G84" s="6" t="n"/>
      <c r="H84" s="6" t="n"/>
      <c r="I84" s="29" t="n"/>
      <c r="J84" s="58">
        <f>SUM(K84:Q84)</f>
        <v/>
      </c>
      <c r="K84" s="6" t="n"/>
      <c r="L84" s="6" t="n"/>
      <c r="M84" s="6" t="n"/>
      <c r="N84" s="6" t="n"/>
      <c r="O84" s="6" t="n"/>
      <c r="P84" s="6" t="n"/>
      <c r="Q84" s="29" t="n"/>
      <c r="R84" s="58">
        <f>IF(J84-D84&lt;0,0,J84-D84)</f>
        <v/>
      </c>
      <c r="S84" s="60">
        <f>IF(D84-J84&lt;0,0,D84-J84)</f>
        <v/>
      </c>
      <c r="T84" s="29" t="n"/>
      <c r="U84" s="47">
        <f>SUM(D84:T84)</f>
        <v/>
      </c>
    </row>
    <row r="85" ht="34.5" customHeight="1">
      <c r="A85" s="38" t="n"/>
      <c r="B85" s="7" t="n"/>
      <c r="C85" s="32" t="n"/>
      <c r="D85" s="58">
        <f>F85+H85</f>
        <v/>
      </c>
      <c r="E85" s="60">
        <f>G85+I85</f>
        <v/>
      </c>
      <c r="F85" s="6" t="n"/>
      <c r="G85" s="6" t="n"/>
      <c r="H85" s="6" t="n"/>
      <c r="I85" s="29" t="n"/>
      <c r="J85" s="58">
        <f>SUM(K85:Q85)</f>
        <v/>
      </c>
      <c r="K85" s="6" t="n"/>
      <c r="L85" s="6" t="n"/>
      <c r="M85" s="6" t="n"/>
      <c r="N85" s="6" t="n"/>
      <c r="O85" s="6" t="n"/>
      <c r="P85" s="6" t="n"/>
      <c r="Q85" s="29" t="n"/>
      <c r="R85" s="58">
        <f>IF(J85-D85&lt;0,0,J85-D85)</f>
        <v/>
      </c>
      <c r="S85" s="60">
        <f>IF(D85-J85&lt;0,0,D85-J85)</f>
        <v/>
      </c>
      <c r="T85" s="29" t="n"/>
      <c r="U85" s="47">
        <f>SUM(D85:T85)</f>
        <v/>
      </c>
    </row>
    <row r="86" ht="34.5" customHeight="1">
      <c r="A86" s="38" t="n"/>
      <c r="B86" s="7" t="n"/>
      <c r="C86" s="32" t="n"/>
      <c r="D86" s="58">
        <f>F86+H86</f>
        <v/>
      </c>
      <c r="E86" s="60">
        <f>G86+I86</f>
        <v/>
      </c>
      <c r="F86" s="6" t="n"/>
      <c r="G86" s="6" t="n"/>
      <c r="H86" s="6" t="n"/>
      <c r="I86" s="29" t="n"/>
      <c r="J86" s="58">
        <f>SUM(K86:Q86)</f>
        <v/>
      </c>
      <c r="K86" s="6" t="n"/>
      <c r="L86" s="6" t="n"/>
      <c r="M86" s="6" t="n"/>
      <c r="N86" s="6" t="n"/>
      <c r="O86" s="6" t="n"/>
      <c r="P86" s="6" t="n"/>
      <c r="Q86" s="29" t="n"/>
      <c r="R86" s="58">
        <f>IF(J86-D86&lt;0,0,J86-D86)</f>
        <v/>
      </c>
      <c r="S86" s="60">
        <f>IF(D86-J86&lt;0,0,D86-J86)</f>
        <v/>
      </c>
      <c r="T86" s="29" t="n"/>
      <c r="U86" s="47">
        <f>SUM(D86:T86)</f>
        <v/>
      </c>
    </row>
    <row r="87" ht="34.5" customHeight="1">
      <c r="A87" s="37" t="n">
        <v>10</v>
      </c>
      <c r="B87" s="3" t="inlineStr">
        <is>
          <t>Засоби польового хлібопечення:</t>
        </is>
      </c>
      <c r="C87" s="28" t="inlineStr">
        <is>
          <t>к-т</t>
        </is>
      </c>
      <c r="D87" s="27">
        <f>F87+H87</f>
        <v/>
      </c>
      <c r="E87" s="4">
        <f>G87+I87</f>
        <v/>
      </c>
      <c r="F87" s="4">
        <f>F88+F89+F90+F91+F92</f>
        <v/>
      </c>
      <c r="G87" s="4">
        <f>G88+G89+G90+G91+G92</f>
        <v/>
      </c>
      <c r="H87" s="4">
        <f>H88+H89+H90+H91+H92</f>
        <v/>
      </c>
      <c r="I87" s="28">
        <f>I88+I89+I90+I91+I92</f>
        <v/>
      </c>
      <c r="J87" s="27">
        <f>SUM(K87:Q87)</f>
        <v/>
      </c>
      <c r="K87" s="4">
        <f>K88+K89+K90+K91+K92</f>
        <v/>
      </c>
      <c r="L87" s="4">
        <f>L88+L89+L90+L91+L92</f>
        <v/>
      </c>
      <c r="M87" s="4">
        <f>M88+M89+M90+M91+M92</f>
        <v/>
      </c>
      <c r="N87" s="4">
        <f>N88+N89+N90+N91+N92</f>
        <v/>
      </c>
      <c r="O87" s="4">
        <f>O88+O89+O90+O91+O92</f>
        <v/>
      </c>
      <c r="P87" s="4">
        <f>P88+P89+P90+P91+P92</f>
        <v/>
      </c>
      <c r="Q87" s="28">
        <f>Q88+Q89+Q90+Q91+Q92</f>
        <v/>
      </c>
      <c r="R87" s="27">
        <f>IF(J87-D87&lt;0,0,J87-D87)</f>
        <v/>
      </c>
      <c r="S87" s="4">
        <f>IF(D87-J87&lt;0,0,D87-J87)</f>
        <v/>
      </c>
      <c r="T87" s="28">
        <f>T88+T89+T90+T91+T92</f>
        <v/>
      </c>
      <c r="U87" s="47">
        <f>SUM(D87:T87)</f>
        <v/>
      </c>
    </row>
    <row r="88" ht="34.5" customHeight="1">
      <c r="A88" s="38" t="n"/>
      <c r="B88" s="5" t="inlineStr">
        <is>
          <t>польовий механізований хлібзавод ПХЗ</t>
        </is>
      </c>
      <c r="C88" s="39" t="inlineStr">
        <is>
          <t>к-т</t>
        </is>
      </c>
      <c r="D88" s="58">
        <f>F88+H88</f>
        <v/>
      </c>
      <c r="E88" s="60">
        <f>G88+I88</f>
        <v/>
      </c>
      <c r="F88" s="6" t="n"/>
      <c r="G88" s="6" t="n"/>
      <c r="H88" s="6" t="n"/>
      <c r="I88" s="29" t="n"/>
      <c r="J88" s="58">
        <f>SUM(K88:Q88)</f>
        <v/>
      </c>
      <c r="K88" s="6" t="n"/>
      <c r="L88" s="6" t="n"/>
      <c r="M88" s="6" t="n"/>
      <c r="N88" s="6" t="n"/>
      <c r="O88" s="6" t="n"/>
      <c r="P88" s="6" t="n"/>
      <c r="Q88" s="29" t="n"/>
      <c r="R88" s="58">
        <f>IF(J88-D88&lt;0,0,J88-D88)</f>
        <v/>
      </c>
      <c r="S88" s="60">
        <f>IF(D88-J88&lt;0,0,D88-J88)</f>
        <v/>
      </c>
      <c r="T88" s="29" t="n"/>
      <c r="U88" s="47">
        <f>SUM(D88:T88)</f>
        <v/>
      </c>
    </row>
    <row r="89" ht="34.5" customHeight="1">
      <c r="A89" s="38" t="n"/>
      <c r="B89" s="5" t="inlineStr">
        <is>
          <t>польовий механізований хлібзавод ПМХ</t>
        </is>
      </c>
      <c r="C89" s="39" t="inlineStr">
        <is>
          <t>к-т</t>
        </is>
      </c>
      <c r="D89" s="58">
        <f>F89+H89</f>
        <v/>
      </c>
      <c r="E89" s="60">
        <f>G89+I89</f>
        <v/>
      </c>
      <c r="F89" s="6" t="n"/>
      <c r="G89" s="6" t="n"/>
      <c r="H89" s="6" t="n"/>
      <c r="I89" s="29" t="n"/>
      <c r="J89" s="58">
        <f>SUM(K89:Q89)</f>
        <v/>
      </c>
      <c r="K89" s="6" t="n"/>
      <c r="L89" s="6" t="n"/>
      <c r="M89" s="6" t="n"/>
      <c r="N89" s="6" t="n"/>
      <c r="O89" s="6" t="n"/>
      <c r="P89" s="6" t="n"/>
      <c r="Q89" s="29" t="n"/>
      <c r="R89" s="58">
        <f>IF(J89-D89&lt;0,0,J89-D89)</f>
        <v/>
      </c>
      <c r="S89" s="60">
        <f>IF(D89-J89&lt;0,0,D89-J89)</f>
        <v/>
      </c>
      <c r="T89" s="29" t="n"/>
      <c r="U89" s="47">
        <f>SUM(D89:T89)</f>
        <v/>
      </c>
    </row>
    <row r="90" ht="34.5" customHeight="1">
      <c r="A90" s="38" t="n"/>
      <c r="B90" s="5" t="inlineStr">
        <is>
          <t>хлібопекарні з 1-ю піччю ХПК-50</t>
        </is>
      </c>
      <c r="C90" s="39" t="inlineStr">
        <is>
          <t>к-т</t>
        </is>
      </c>
      <c r="D90" s="58">
        <f>F90+H90</f>
        <v/>
      </c>
      <c r="E90" s="60">
        <f>G90+I90</f>
        <v/>
      </c>
      <c r="F90" s="6" t="n"/>
      <c r="G90" s="6" t="n"/>
      <c r="H90" s="6" t="n"/>
      <c r="I90" s="29" t="n"/>
      <c r="J90" s="58">
        <f>SUM(K90:Q90)</f>
        <v/>
      </c>
      <c r="K90" s="6" t="n"/>
      <c r="L90" s="6" t="n"/>
      <c r="M90" s="6" t="n"/>
      <c r="N90" s="6" t="n"/>
      <c r="O90" s="6" t="n"/>
      <c r="P90" s="6" t="n"/>
      <c r="Q90" s="29" t="n"/>
      <c r="R90" s="58">
        <f>IF(J90-D90&lt;0,0,J90-D90)</f>
        <v/>
      </c>
      <c r="S90" s="60">
        <f>IF(D90-J90&lt;0,0,D90-J90)</f>
        <v/>
      </c>
      <c r="T90" s="29" t="n"/>
      <c r="U90" s="47">
        <f>SUM(D90:T90)</f>
        <v/>
      </c>
    </row>
    <row r="91" ht="34.5" customHeight="1">
      <c r="A91" s="38" t="n"/>
      <c r="B91" s="5" t="inlineStr">
        <is>
          <t>хлібопекарський блок ПХП-0,4</t>
        </is>
      </c>
      <c r="C91" s="39" t="inlineStr">
        <is>
          <t>к-т</t>
        </is>
      </c>
      <c r="D91" s="58">
        <f>F91+H91</f>
        <v/>
      </c>
      <c r="E91" s="60">
        <f>G91+I91</f>
        <v/>
      </c>
      <c r="F91" s="6" t="n"/>
      <c r="G91" s="6" t="n"/>
      <c r="H91" s="6" t="n"/>
      <c r="I91" s="29" t="n"/>
      <c r="J91" s="58">
        <f>SUM(K91:Q91)</f>
        <v/>
      </c>
      <c r="K91" s="6" t="n"/>
      <c r="L91" s="6" t="n"/>
      <c r="M91" s="6" t="n"/>
      <c r="N91" s="6" t="n"/>
      <c r="O91" s="6" t="n"/>
      <c r="P91" s="6" t="n"/>
      <c r="Q91" s="29" t="n"/>
      <c r="R91" s="58">
        <f>IF(J91-D91&lt;0,0,J91-D91)</f>
        <v/>
      </c>
      <c r="S91" s="60">
        <f>IF(D91-J91&lt;0,0,D91-J91)</f>
        <v/>
      </c>
      <c r="T91" s="29" t="n"/>
      <c r="U91" s="47">
        <f>SUM(D91:T91)</f>
        <v/>
      </c>
    </row>
    <row r="92" ht="34.5" customHeight="1">
      <c r="A92" s="38" t="n"/>
      <c r="B92" s="5" t="inlineStr">
        <is>
          <t>блоки хлібопекарські ПХБ-1</t>
        </is>
      </c>
      <c r="C92" s="39" t="inlineStr">
        <is>
          <t>к-т</t>
        </is>
      </c>
      <c r="D92" s="58">
        <f>F92+H92</f>
        <v/>
      </c>
      <c r="E92" s="60">
        <f>G92+I92</f>
        <v/>
      </c>
      <c r="F92" s="6" t="n"/>
      <c r="G92" s="6" t="n"/>
      <c r="H92" s="6" t="n"/>
      <c r="I92" s="29" t="n"/>
      <c r="J92" s="58">
        <f>SUM(K92:Q92)</f>
        <v/>
      </c>
      <c r="K92" s="6" t="n"/>
      <c r="L92" s="6" t="n"/>
      <c r="M92" s="6" t="n"/>
      <c r="N92" s="6" t="n"/>
      <c r="O92" s="6" t="n"/>
      <c r="P92" s="6" t="n"/>
      <c r="Q92" s="29" t="n"/>
      <c r="R92" s="58">
        <f>IF(J92-D92&lt;0,0,J92-D92)</f>
        <v/>
      </c>
      <c r="S92" s="60">
        <f>IF(D92-J92&lt;0,0,D92-J92)</f>
        <v/>
      </c>
      <c r="T92" s="29" t="n"/>
      <c r="U92" s="47">
        <f>SUM(D92:T92)</f>
        <v/>
      </c>
    </row>
    <row r="93" ht="34.5" customHeight="1">
      <c r="A93" s="37" t="n">
        <v>11</v>
      </c>
      <c r="B93" s="3" t="inlineStr">
        <is>
          <t>Засоби підвозу продовольства автомобільні:</t>
        </is>
      </c>
      <c r="C93" s="28" t="inlineStr">
        <is>
          <t>к-т</t>
        </is>
      </c>
      <c r="D93" s="27">
        <f>F93+H93</f>
        <v/>
      </c>
      <c r="E93" s="4">
        <f>G93+I93</f>
        <v/>
      </c>
      <c r="F93" s="4">
        <f>F107+F108+F109+F110+F111+F112+F113+F128+F129+F130+F131+F132+F133+F134+F135+F136+F137+F138+F139+F140+F141+F106+F105+F104+F103+F102+F101+F100+F99+F98+F97+F96+F95+F94+F114+F115+F116+F117+F118+F119+F120+F121+F122+F123+F124+F125+F126+F127</f>
        <v/>
      </c>
      <c r="G93" s="4">
        <f>G107+G108+G109+G110+G111+G112+G113+G128+G129+G130+G131+G132+G133+G134+G135+G136+G137+G138+G139+G140+G141+G106+G105+G104+G103+G102+G101+G100+G99+G98+G97+G96+G95+G94+G114+G115+G116+G117+G118+G119+G120+G121+G122+G123+G124+G125+G126+G127</f>
        <v/>
      </c>
      <c r="H93" s="4">
        <f>H107+H108+H109+H110+H111+H112+H113+H128+H129+H130+H131+H132+H133+H134+H135+H136+H137+H138+H139+H140+H141+H106+H105+H104+H103+H102+H101+H100+H99+H98+H97+H96+H95+H94+H114+H115+H116+H117+H118+H119+H120+H121+H122+H123+H124+H125+H126+H127</f>
        <v/>
      </c>
      <c r="I93" s="28">
        <f>I107+I108+I109+I110+I111+I112+I113+I128+I129+I130+I131+I132+I133+I134+I135+I136+I137+I138+I139+I140+I141+I106+I105+I104+I103+I102+I101+I100+I99+I98+I97+I96+I95+I94+I114+I115+I116+I117+I118+I119+I120+I121+I122+I123+I124+I125+I126+I127</f>
        <v/>
      </c>
      <c r="J93" s="27">
        <f>SUM(K93:Q93)</f>
        <v/>
      </c>
      <c r="K93" s="4">
        <f>K107+K108+K109+K110+K111+K112+K113+K128+K129+K130+K131+K132+K133+K134+K135+K136+K137+K138+K139+K140+K141+K106+K105+K104+K103+K102+K101+K100+K99+K98+K97+K96+K95+K94+K114+K115+K116+K117+K118+K119+K120+K121+K122+K123+K124+K125+K126+K127</f>
        <v/>
      </c>
      <c r="L93" s="4">
        <f>L107+L108+L109+L110+L111+L112+L113+L128+L129+L130+L131+L132+L133+L134+L135+L136+L137+L138+L139+L140+L141+L106+L105+L104+L103+L102+L101+L100+L99+L98+L97+L96+L95+L94+L114+L115+L116+L117+L118+L119+L120+L121+L122+L123+L124+L125+L126+L127</f>
        <v/>
      </c>
      <c r="M93" s="4">
        <f>M107+M108+M109+M110+M111+M112+M113+M128+M129+M130+M131+M132+M133+M134+M135+M136+M137+M138+M139+M140+M141+M106+M105+M104+M103+M102+M101+M100+M99+M98+M97+M96+M95+M94+M114+M115+M116+M117+M118+M119+M120+M121+M122+M123+M124+M125+M126+M127</f>
        <v/>
      </c>
      <c r="N93" s="4">
        <f>N107+N108+N109+N110+N111+N112+N113+N128+N129+N130+N131+N132+N133+N134+N135+N136+N137+N138+N139+N140+N141+N106+N105+N104+N103+N102+N101+N100+N99+N98+N97+N96+N95+N94+N114+N115+N116+N117+N118+N119+N120+N121+N122+N123+N124+N125+N126+N127</f>
        <v/>
      </c>
      <c r="O93" s="4">
        <f>O107+O108+O109+O110+O111+O112+O113+O128+O129+O130+O131+O132+O133+O134+O135+O136+O137+O138+O139+O140+O141+O106+O105+O104+O103+O102+O101+O100+O99+O98+O97+O96+O95+O94+O114+O115+O116+O117+O118+O119+O120+O121+O122+O123+O124+O125+O126+O127</f>
        <v/>
      </c>
      <c r="P93" s="4">
        <f>P107+P108+P109+P110+P111+P112+P113+P128+P129+P130+P131+P132+P133+P134+P135+P136+P137+P138+P139+P140+P141+P106+P105+P104+P103+P102+P101+P100+P99+P98+P97+P96+P95+P94+P114+P115+P116+P117+P118+P119+P120+P121+P122+P123+P124+P125+P126+P127</f>
        <v/>
      </c>
      <c r="Q93" s="28">
        <f>Q107+Q108+Q109+Q110+Q111+Q112+Q113+Q128+Q129+Q130+Q131+Q132+Q133+Q134+Q135+Q136+Q137+Q138+Q139+Q140+Q141+Q106+Q105+Q104+Q103+Q102+Q101+Q100+Q99+Q98+Q97+Q96+Q95+Q94+Q114+Q115+Q116+Q117+Q118+Q119+Q120+Q121+Q122+Q123+Q124+Q125+Q126+Q127</f>
        <v/>
      </c>
      <c r="R93" s="27">
        <f>IF(J93-D93&lt;0,0,J93-D93)</f>
        <v/>
      </c>
      <c r="S93" s="4">
        <f>IF(D93-J93&lt;0,0,D93-J93)</f>
        <v/>
      </c>
      <c r="T93" s="28">
        <f>T107+T108+T109+T110+T111+T112+T113+T128+T129+T130+T131+T132+T133+T134+T135+T136+T137+T138+T139+T140+T141+T106+T105+T104+T103+T102+T101+T100+T99+T98+T97+T96+T95+T94+T114+T115+T116+T117+T118+T119+T120+T121+T122+T123+T124+T125+T126+T127</f>
        <v/>
      </c>
      <c r="U93" s="47">
        <f>SUM(D93:T93)</f>
        <v/>
      </c>
    </row>
    <row r="94" ht="34.5" customHeight="1">
      <c r="A94" s="38" t="n"/>
      <c r="B94" s="5" t="inlineStr">
        <is>
          <t>автомобіль-фургон ізотермічний АФР</t>
        </is>
      </c>
      <c r="C94" s="39" t="inlineStr">
        <is>
          <t>к-т</t>
        </is>
      </c>
      <c r="D94" s="58">
        <f>F94+H94</f>
        <v/>
      </c>
      <c r="E94" s="60">
        <f>G94+I94</f>
        <v/>
      </c>
      <c r="F94" s="6" t="n"/>
      <c r="G94" s="6" t="n"/>
      <c r="H94" s="6" t="n"/>
      <c r="I94" s="29" t="n"/>
      <c r="J94" s="58">
        <f>SUM(K94:Q94)</f>
        <v/>
      </c>
      <c r="K94" s="6" t="n"/>
      <c r="L94" s="6" t="n"/>
      <c r="M94" s="6" t="n"/>
      <c r="N94" s="6" t="n"/>
      <c r="O94" s="6" t="n"/>
      <c r="P94" s="6" t="n"/>
      <c r="Q94" s="29" t="n"/>
      <c r="R94" s="58">
        <f>IF(J94-D94&lt;0,0,J94-D94)</f>
        <v/>
      </c>
      <c r="S94" s="60">
        <f>IF(D94-J94&lt;0,0,D94-J94)</f>
        <v/>
      </c>
      <c r="T94" s="29" t="n"/>
      <c r="U94" s="47">
        <f>SUM(D94:T94)</f>
        <v/>
      </c>
    </row>
    <row r="95" ht="34.5" customHeight="1">
      <c r="A95" s="38" t="n"/>
      <c r="B95" s="5" t="inlineStr">
        <is>
          <t>автомобіль-фургон ізотермічний АФІ-53</t>
        </is>
      </c>
      <c r="C95" s="39" t="inlineStr">
        <is>
          <t>к-т</t>
        </is>
      </c>
      <c r="D95" s="58">
        <f>F95+H95</f>
        <v/>
      </c>
      <c r="E95" s="60">
        <f>G95+I95</f>
        <v/>
      </c>
      <c r="F95" s="6" t="n"/>
      <c r="G95" s="6" t="n"/>
      <c r="H95" s="6" t="n"/>
      <c r="I95" s="29" t="n"/>
      <c r="J95" s="58">
        <f>SUM(K95:Q95)</f>
        <v/>
      </c>
      <c r="K95" s="6" t="n"/>
      <c r="L95" s="6" t="n"/>
      <c r="M95" s="6" t="n"/>
      <c r="N95" s="6" t="n"/>
      <c r="O95" s="6" t="n"/>
      <c r="P95" s="6" t="n"/>
      <c r="Q95" s="29" t="n"/>
      <c r="R95" s="58">
        <f>IF(J95-D95&lt;0,0,J95-D95)</f>
        <v/>
      </c>
      <c r="S95" s="60">
        <f>IF(D95-J95&lt;0,0,D95-J95)</f>
        <v/>
      </c>
      <c r="T95" s="29" t="n"/>
      <c r="U95" s="47">
        <f>SUM(D95:T95)</f>
        <v/>
      </c>
    </row>
    <row r="96" ht="34.5" customHeight="1">
      <c r="A96" s="38" t="n"/>
      <c r="B96" s="5" t="inlineStr">
        <is>
          <t>автомобіль-фургон ізотермічний АФІ-66</t>
        </is>
      </c>
      <c r="C96" s="39" t="inlineStr">
        <is>
          <t>к-т</t>
        </is>
      </c>
      <c r="D96" s="58">
        <f>F96+H96</f>
        <v/>
      </c>
      <c r="E96" s="60">
        <f>G96+I96</f>
        <v/>
      </c>
      <c r="F96" s="6" t="n"/>
      <c r="G96" s="6" t="n"/>
      <c r="H96" s="6" t="n"/>
      <c r="I96" s="29" t="n"/>
      <c r="J96" s="58">
        <f>SUM(K96:Q96)</f>
        <v/>
      </c>
      <c r="K96" s="6" t="n"/>
      <c r="L96" s="6" t="n"/>
      <c r="M96" s="6" t="n"/>
      <c r="N96" s="6" t="n"/>
      <c r="O96" s="6" t="n"/>
      <c r="P96" s="6" t="n"/>
      <c r="Q96" s="29" t="n"/>
      <c r="R96" s="58">
        <f>IF(J96-D96&lt;0,0,J96-D96)</f>
        <v/>
      </c>
      <c r="S96" s="60">
        <f>IF(D96-J96&lt;0,0,D96-J96)</f>
        <v/>
      </c>
      <c r="T96" s="29" t="n"/>
      <c r="U96" s="47">
        <f>SUM(D96:T96)</f>
        <v/>
      </c>
    </row>
    <row r="97" ht="34.5" customHeight="1">
      <c r="A97" s="38" t="n"/>
      <c r="B97" s="5" t="inlineStr">
        <is>
          <t>автомобіль-фургон ізотермічний АФІ-130</t>
        </is>
      </c>
      <c r="C97" s="39" t="inlineStr">
        <is>
          <t>к-т</t>
        </is>
      </c>
      <c r="D97" s="58">
        <f>F97+H97</f>
        <v/>
      </c>
      <c r="E97" s="60">
        <f>G97+I97</f>
        <v/>
      </c>
      <c r="F97" s="6" t="n"/>
      <c r="G97" s="6" t="n"/>
      <c r="H97" s="6" t="n"/>
      <c r="I97" s="29" t="n"/>
      <c r="J97" s="58">
        <f>SUM(K97:Q97)</f>
        <v/>
      </c>
      <c r="K97" s="6" t="n"/>
      <c r="L97" s="6" t="n"/>
      <c r="M97" s="6" t="n"/>
      <c r="N97" s="6" t="n"/>
      <c r="O97" s="6" t="n"/>
      <c r="P97" s="6" t="n"/>
      <c r="Q97" s="29" t="n"/>
      <c r="R97" s="58">
        <f>IF(J97-D97&lt;0,0,J97-D97)</f>
        <v/>
      </c>
      <c r="S97" s="60">
        <f>IF(D97-J97&lt;0,0,D97-J97)</f>
        <v/>
      </c>
      <c r="T97" s="29" t="n"/>
      <c r="U97" s="47">
        <f>SUM(D97:T97)</f>
        <v/>
      </c>
    </row>
    <row r="98" ht="34.5" customHeight="1">
      <c r="A98" s="38" t="n"/>
      <c r="B98" s="5" t="inlineStr">
        <is>
          <t>автомобіль-фургон ізотермічний АФІ-131</t>
        </is>
      </c>
      <c r="C98" s="39" t="inlineStr">
        <is>
          <t>к-т</t>
        </is>
      </c>
      <c r="D98" s="58">
        <f>F98+H98</f>
        <v/>
      </c>
      <c r="E98" s="60">
        <f>G98+I98</f>
        <v/>
      </c>
      <c r="F98" s="6" t="n"/>
      <c r="G98" s="6" t="n"/>
      <c r="H98" s="6" t="n"/>
      <c r="I98" s="29" t="n"/>
      <c r="J98" s="58">
        <f>SUM(K98:Q98)</f>
        <v/>
      </c>
      <c r="K98" s="6" t="n"/>
      <c r="L98" s="6" t="n"/>
      <c r="M98" s="6" t="n"/>
      <c r="N98" s="6" t="n"/>
      <c r="O98" s="6" t="n"/>
      <c r="P98" s="6" t="n"/>
      <c r="Q98" s="29" t="n"/>
      <c r="R98" s="58">
        <f>IF(J98-D98&lt;0,0,J98-D98)</f>
        <v/>
      </c>
      <c r="S98" s="60">
        <f>IF(D98-J98&lt;0,0,D98-J98)</f>
        <v/>
      </c>
      <c r="T98" s="29" t="n"/>
      <c r="U98" s="47">
        <f>SUM(D98:T98)</f>
        <v/>
      </c>
    </row>
    <row r="99" ht="34.5" customHeight="1">
      <c r="A99" s="38" t="n"/>
      <c r="B99" s="5" t="inlineStr">
        <is>
          <t>автомобіль-фургон хлібний АФХ-53</t>
        </is>
      </c>
      <c r="C99" s="39" t="inlineStr">
        <is>
          <t>к-т</t>
        </is>
      </c>
      <c r="D99" s="58">
        <f>F99+H99</f>
        <v/>
      </c>
      <c r="E99" s="60">
        <f>G99+I99</f>
        <v/>
      </c>
      <c r="F99" s="6" t="n"/>
      <c r="G99" s="6" t="n"/>
      <c r="H99" s="6" t="n"/>
      <c r="I99" s="29" t="n"/>
      <c r="J99" s="58">
        <f>SUM(K99:Q99)</f>
        <v/>
      </c>
      <c r="K99" s="6" t="n"/>
      <c r="L99" s="6" t="n"/>
      <c r="M99" s="6" t="n"/>
      <c r="N99" s="6" t="n"/>
      <c r="O99" s="6" t="n"/>
      <c r="P99" s="6" t="n"/>
      <c r="Q99" s="29" t="n"/>
      <c r="R99" s="58">
        <f>IF(J99-D99&lt;0,0,J99-D99)</f>
        <v/>
      </c>
      <c r="S99" s="60">
        <f>IF(D99-J99&lt;0,0,D99-J99)</f>
        <v/>
      </c>
      <c r="T99" s="29" t="n"/>
      <c r="U99" s="47">
        <f>SUM(D99:T99)</f>
        <v/>
      </c>
    </row>
    <row r="100" ht="34.5" customHeight="1">
      <c r="A100" s="38" t="n"/>
      <c r="B100" s="5" t="inlineStr">
        <is>
          <t>автомобіль-фургон хлібний АФХ-66</t>
        </is>
      </c>
      <c r="C100" s="39" t="inlineStr">
        <is>
          <t>к-т</t>
        </is>
      </c>
      <c r="D100" s="58">
        <f>F100+H100</f>
        <v/>
      </c>
      <c r="E100" s="60">
        <f>G100+I100</f>
        <v/>
      </c>
      <c r="F100" s="6" t="n"/>
      <c r="G100" s="6" t="n"/>
      <c r="H100" s="6" t="n"/>
      <c r="I100" s="29" t="n"/>
      <c r="J100" s="58">
        <f>SUM(K100:Q100)</f>
        <v/>
      </c>
      <c r="K100" s="6" t="n"/>
      <c r="L100" s="6" t="n"/>
      <c r="M100" s="6" t="n"/>
      <c r="N100" s="6" t="n"/>
      <c r="O100" s="6" t="n"/>
      <c r="P100" s="6" t="n"/>
      <c r="Q100" s="29" t="n"/>
      <c r="R100" s="58">
        <f>IF(J100-D100&lt;0,0,J100-D100)</f>
        <v/>
      </c>
      <c r="S100" s="60">
        <f>IF(D100-J100&lt;0,0,D100-J100)</f>
        <v/>
      </c>
      <c r="T100" s="29" t="n"/>
      <c r="U100" s="47">
        <f>SUM(D100:T100)</f>
        <v/>
      </c>
    </row>
    <row r="101" ht="34.5" customHeight="1">
      <c r="A101" s="38" t="n"/>
      <c r="B101" s="5" t="inlineStr">
        <is>
          <t>автомобіль-фургон хлібний АФХ-130</t>
        </is>
      </c>
      <c r="C101" s="39" t="inlineStr">
        <is>
          <t>к-т</t>
        </is>
      </c>
      <c r="D101" s="58">
        <f>F101+H101</f>
        <v/>
      </c>
      <c r="E101" s="60">
        <f>G101+I101</f>
        <v/>
      </c>
      <c r="F101" s="6" t="n"/>
      <c r="G101" s="6" t="n"/>
      <c r="H101" s="6" t="n"/>
      <c r="I101" s="29" t="n"/>
      <c r="J101" s="58">
        <f>SUM(K101:Q101)</f>
        <v/>
      </c>
      <c r="K101" s="6" t="n"/>
      <c r="L101" s="6" t="n"/>
      <c r="M101" s="6" t="n"/>
      <c r="N101" s="6" t="n"/>
      <c r="O101" s="6" t="n"/>
      <c r="P101" s="6" t="n"/>
      <c r="Q101" s="29" t="n"/>
      <c r="R101" s="58">
        <f>IF(J101-D101&lt;0,0,J101-D101)</f>
        <v/>
      </c>
      <c r="S101" s="60">
        <f>IF(D101-J101&lt;0,0,D101-J101)</f>
        <v/>
      </c>
      <c r="T101" s="29" t="n"/>
      <c r="U101" s="47">
        <f>SUM(D101:T101)</f>
        <v/>
      </c>
    </row>
    <row r="102" ht="34.5" customHeight="1">
      <c r="A102" s="38" t="n"/>
      <c r="B102" s="5" t="inlineStr">
        <is>
          <t>автомобіль-фургон хлібний АФХ-131</t>
        </is>
      </c>
      <c r="C102" s="39" t="inlineStr">
        <is>
          <t>к-т</t>
        </is>
      </c>
      <c r="D102" s="58">
        <f>F102+H102</f>
        <v/>
      </c>
      <c r="E102" s="60">
        <f>G102+I102</f>
        <v/>
      </c>
      <c r="F102" s="6" t="n"/>
      <c r="G102" s="6" t="n"/>
      <c r="H102" s="6" t="n"/>
      <c r="I102" s="29" t="n"/>
      <c r="J102" s="58">
        <f>SUM(K102:Q102)</f>
        <v/>
      </c>
      <c r="K102" s="6" t="n"/>
      <c r="L102" s="6" t="n"/>
      <c r="M102" s="6" t="n"/>
      <c r="N102" s="6" t="n"/>
      <c r="O102" s="6" t="n"/>
      <c r="P102" s="6" t="n"/>
      <c r="Q102" s="29" t="n"/>
      <c r="R102" s="58">
        <f>IF(J102-D102&lt;0,0,J102-D102)</f>
        <v/>
      </c>
      <c r="S102" s="60">
        <f>IF(D102-J102&lt;0,0,D102-J102)</f>
        <v/>
      </c>
      <c r="T102" s="29" t="n"/>
      <c r="U102" s="47">
        <f>SUM(D102:T102)</f>
        <v/>
      </c>
    </row>
    <row r="103" ht="34.5" customHeight="1">
      <c r="A103" s="38" t="n"/>
      <c r="B103" s="5" t="inlineStr">
        <is>
          <t>автомобіль-фургон хлібний АФХО-131</t>
        </is>
      </c>
      <c r="C103" s="39" t="inlineStr">
        <is>
          <t>к-т</t>
        </is>
      </c>
      <c r="D103" s="58">
        <f>F103+H103</f>
        <v/>
      </c>
      <c r="E103" s="60">
        <f>G103+I103</f>
        <v/>
      </c>
      <c r="F103" s="6" t="n"/>
      <c r="G103" s="6" t="n"/>
      <c r="H103" s="6" t="n"/>
      <c r="I103" s="29" t="n"/>
      <c r="J103" s="58">
        <f>SUM(K103:Q103)</f>
        <v/>
      </c>
      <c r="K103" s="6" t="n"/>
      <c r="L103" s="6" t="n"/>
      <c r="M103" s="6" t="n"/>
      <c r="N103" s="6" t="n"/>
      <c r="O103" s="6" t="n"/>
      <c r="P103" s="6" t="n"/>
      <c r="Q103" s="29" t="n"/>
      <c r="R103" s="58">
        <f>IF(J103-D103&lt;0,0,J103-D103)</f>
        <v/>
      </c>
      <c r="S103" s="60">
        <f>IF(D103-J103&lt;0,0,D103-J103)</f>
        <v/>
      </c>
      <c r="T103" s="29" t="n"/>
      <c r="U103" s="47">
        <f>SUM(D103:T103)</f>
        <v/>
      </c>
    </row>
    <row r="104" ht="34.5" customHeight="1">
      <c r="A104" s="38" t="n"/>
      <c r="B104" s="5" t="inlineStr">
        <is>
          <t>автомобіль-фургон комбінований АФК-53</t>
        </is>
      </c>
      <c r="C104" s="39" t="inlineStr">
        <is>
          <t>к-т</t>
        </is>
      </c>
      <c r="D104" s="58">
        <f>F104+H104</f>
        <v/>
      </c>
      <c r="E104" s="60">
        <f>G104+I104</f>
        <v/>
      </c>
      <c r="F104" s="6" t="n"/>
      <c r="G104" s="6" t="n"/>
      <c r="H104" s="6" t="n"/>
      <c r="I104" s="29" t="n"/>
      <c r="J104" s="58">
        <f>SUM(K104:Q104)</f>
        <v/>
      </c>
      <c r="K104" s="6" t="n"/>
      <c r="L104" s="6" t="n"/>
      <c r="M104" s="6" t="n"/>
      <c r="N104" s="6" t="n"/>
      <c r="O104" s="6" t="n"/>
      <c r="P104" s="6" t="n"/>
      <c r="Q104" s="29" t="n"/>
      <c r="R104" s="58">
        <f>IF(J104-D104&lt;0,0,J104-D104)</f>
        <v/>
      </c>
      <c r="S104" s="60">
        <f>IF(D104-J104&lt;0,0,D104-J104)</f>
        <v/>
      </c>
      <c r="T104" s="29" t="n"/>
      <c r="U104" s="47">
        <f>SUM(D104:T104)</f>
        <v/>
      </c>
    </row>
    <row r="105" ht="34.5" customHeight="1">
      <c r="A105" s="38" t="n"/>
      <c r="B105" s="5" t="inlineStr">
        <is>
          <t>автомобіль-фургон комбінований АФК-66</t>
        </is>
      </c>
      <c r="C105" s="39" t="inlineStr">
        <is>
          <t>к-т</t>
        </is>
      </c>
      <c r="D105" s="58">
        <f>F105+H105</f>
        <v/>
      </c>
      <c r="E105" s="60">
        <f>G105+I105</f>
        <v/>
      </c>
      <c r="F105" s="6" t="n"/>
      <c r="G105" s="6" t="n"/>
      <c r="H105" s="6" t="n"/>
      <c r="I105" s="29" t="n"/>
      <c r="J105" s="58">
        <f>SUM(K105:Q105)</f>
        <v/>
      </c>
      <c r="K105" s="6" t="n"/>
      <c r="L105" s="6" t="n"/>
      <c r="M105" s="6" t="n"/>
      <c r="N105" s="6" t="n"/>
      <c r="O105" s="6" t="n"/>
      <c r="P105" s="6" t="n"/>
      <c r="Q105" s="29" t="n"/>
      <c r="R105" s="58">
        <f>IF(J105-D105&lt;0,0,J105-D105)</f>
        <v/>
      </c>
      <c r="S105" s="60">
        <f>IF(D105-J105&lt;0,0,D105-J105)</f>
        <v/>
      </c>
      <c r="T105" s="29" t="n"/>
      <c r="U105" s="47">
        <f>SUM(D105:T105)</f>
        <v/>
      </c>
    </row>
    <row r="106" ht="34.5" customHeight="1">
      <c r="A106" s="38" t="n"/>
      <c r="B106" s="5" t="inlineStr">
        <is>
          <t>автомобіль-фургон комбінований АФК-131</t>
        </is>
      </c>
      <c r="C106" s="39" t="inlineStr">
        <is>
          <t>к-т</t>
        </is>
      </c>
      <c r="D106" s="58">
        <f>F106+H106</f>
        <v/>
      </c>
      <c r="E106" s="60">
        <f>G106+I106</f>
        <v/>
      </c>
      <c r="F106" s="6" t="n"/>
      <c r="G106" s="6" t="n"/>
      <c r="H106" s="6" t="n"/>
      <c r="I106" s="29" t="n"/>
      <c r="J106" s="58">
        <f>SUM(K106:Q106)</f>
        <v/>
      </c>
      <c r="K106" s="6" t="n"/>
      <c r="L106" s="6" t="n"/>
      <c r="M106" s="6" t="n"/>
      <c r="N106" s="6" t="n"/>
      <c r="O106" s="6" t="n"/>
      <c r="P106" s="6" t="n"/>
      <c r="Q106" s="29" t="n"/>
      <c r="R106" s="58">
        <f>IF(J106-D106&lt;0,0,J106-D106)</f>
        <v/>
      </c>
      <c r="S106" s="60">
        <f>IF(D106-J106&lt;0,0,D106-J106)</f>
        <v/>
      </c>
      <c r="T106" s="29" t="n"/>
      <c r="U106" s="47">
        <f>SUM(D106:T106)</f>
        <v/>
      </c>
    </row>
    <row r="107" ht="34.5" customHeight="1">
      <c r="A107" s="38" t="n"/>
      <c r="B107" s="5" t="inlineStr">
        <is>
          <t>ЛУМЗ-960</t>
        </is>
      </c>
      <c r="C107" s="39" t="inlineStr">
        <is>
          <t>к-т</t>
        </is>
      </c>
      <c r="D107" s="58">
        <f>F107+H107</f>
        <v/>
      </c>
      <c r="E107" s="60">
        <f>G107+I107</f>
        <v/>
      </c>
      <c r="F107" s="6" t="n"/>
      <c r="G107" s="6" t="n"/>
      <c r="H107" s="6" t="n"/>
      <c r="I107" s="29" t="n"/>
      <c r="J107" s="58">
        <f>SUM(K107:Q107)</f>
        <v/>
      </c>
      <c r="K107" s="6" t="n"/>
      <c r="L107" s="6" t="n"/>
      <c r="M107" s="6" t="n"/>
      <c r="N107" s="6" t="n"/>
      <c r="O107" s="6" t="n"/>
      <c r="P107" s="6" t="n"/>
      <c r="Q107" s="29" t="n"/>
      <c r="R107" s="58">
        <f>IF(J107-D107&lt;0,0,J107-D107)</f>
        <v/>
      </c>
      <c r="S107" s="60">
        <f>IF(D107-J107&lt;0,0,D107-J107)</f>
        <v/>
      </c>
      <c r="T107" s="29" t="n"/>
      <c r="U107" s="47">
        <f>SUM(D107:T107)</f>
        <v/>
      </c>
    </row>
    <row r="108" ht="34.5" customHeight="1">
      <c r="A108" s="38" t="n"/>
      <c r="B108" s="5" t="inlineStr">
        <is>
          <t>БОГДАН-33711</t>
        </is>
      </c>
      <c r="C108" s="39" t="inlineStr">
        <is>
          <t>к-т</t>
        </is>
      </c>
      <c r="D108" s="58">
        <f>F108+H108</f>
        <v/>
      </c>
      <c r="E108" s="60">
        <f>G108+I108</f>
        <v/>
      </c>
      <c r="F108" s="6" t="n"/>
      <c r="G108" s="6" t="n"/>
      <c r="H108" s="6" t="n"/>
      <c r="I108" s="29" t="n"/>
      <c r="J108" s="58">
        <f>SUM(K108:Q108)</f>
        <v/>
      </c>
      <c r="K108" s="6" t="n"/>
      <c r="L108" s="6" t="n"/>
      <c r="M108" s="6" t="n"/>
      <c r="N108" s="6" t="n"/>
      <c r="O108" s="6" t="n"/>
      <c r="P108" s="6" t="n"/>
      <c r="Q108" s="29" t="n"/>
      <c r="R108" s="58">
        <f>IF(J108-D108&lt;0,0,J108-D108)</f>
        <v/>
      </c>
      <c r="S108" s="60">
        <f>IF(D108-J108&lt;0,0,D108-J108)</f>
        <v/>
      </c>
      <c r="T108" s="29" t="n"/>
      <c r="U108" s="47">
        <f>SUM(D108:T108)</f>
        <v/>
      </c>
    </row>
    <row r="109" ht="34.5" customHeight="1">
      <c r="A109" s="38" t="n"/>
      <c r="B109" s="5" t="inlineStr">
        <is>
          <t>ГАЗ-3307 спец. хлібний 4,5 т.</t>
        </is>
      </c>
      <c r="C109" s="39" t="inlineStr">
        <is>
          <t>к-т</t>
        </is>
      </c>
      <c r="D109" s="58">
        <f>F109+H109</f>
        <v/>
      </c>
      <c r="E109" s="60">
        <f>G109+I109</f>
        <v/>
      </c>
      <c r="F109" s="6" t="n"/>
      <c r="G109" s="6" t="n"/>
      <c r="H109" s="6" t="n"/>
      <c r="I109" s="29" t="n"/>
      <c r="J109" s="58">
        <f>SUM(K109:Q109)</f>
        <v/>
      </c>
      <c r="K109" s="6" t="n"/>
      <c r="L109" s="6" t="n"/>
      <c r="M109" s="6" t="n"/>
      <c r="N109" s="6" t="n"/>
      <c r="O109" s="6" t="n"/>
      <c r="P109" s="6" t="n"/>
      <c r="Q109" s="29" t="n"/>
      <c r="R109" s="58">
        <f>IF(J109-D109&lt;0,0,J109-D109)</f>
        <v/>
      </c>
      <c r="S109" s="60">
        <f>IF(D109-J109&lt;0,0,D109-J109)</f>
        <v/>
      </c>
      <c r="T109" s="29" t="n"/>
      <c r="U109" s="47">
        <f>SUM(D109:T109)</f>
        <v/>
      </c>
    </row>
    <row r="110" ht="34.5" customHeight="1">
      <c r="A110" s="38" t="n"/>
      <c r="B110" s="13" t="inlineStr">
        <is>
          <t>автомобіль-рефрежератор Skania (Mersedes Benz)</t>
        </is>
      </c>
      <c r="C110" s="39" t="inlineStr">
        <is>
          <t>к-т</t>
        </is>
      </c>
      <c r="D110" s="58">
        <f>F110+H110</f>
        <v/>
      </c>
      <c r="E110" s="60">
        <f>G110+I110</f>
        <v/>
      </c>
      <c r="F110" s="6" t="n"/>
      <c r="G110" s="6" t="n"/>
      <c r="H110" s="6" t="n"/>
      <c r="I110" s="29" t="n"/>
      <c r="J110" s="58">
        <f>SUM(K110:Q110)</f>
        <v/>
      </c>
      <c r="K110" s="6" t="n"/>
      <c r="L110" s="6" t="n"/>
      <c r="M110" s="6" t="n"/>
      <c r="N110" s="6" t="n"/>
      <c r="O110" s="6" t="n"/>
      <c r="P110" s="6" t="n"/>
      <c r="Q110" s="29" t="n"/>
      <c r="R110" s="58">
        <f>IF(J110-D110&lt;0,0,J110-D110)</f>
        <v/>
      </c>
      <c r="S110" s="60">
        <f>IF(D110-J110&lt;0,0,D110-J110)</f>
        <v/>
      </c>
      <c r="T110" s="29" t="n"/>
      <c r="U110" s="47">
        <f>SUM(D110:T110)</f>
        <v/>
      </c>
    </row>
    <row r="111" ht="34.5" customHeight="1">
      <c r="A111" s="38" t="n"/>
      <c r="B111" s="5" t="inlineStr">
        <is>
          <t>автомобіль спеціальний вантажний до 20 т.</t>
        </is>
      </c>
      <c r="C111" s="39" t="inlineStr">
        <is>
          <t>к-т</t>
        </is>
      </c>
      <c r="D111" s="58">
        <f>F111+H111</f>
        <v/>
      </c>
      <c r="E111" s="60">
        <f>G111+I111</f>
        <v/>
      </c>
      <c r="F111" s="6" t="n"/>
      <c r="G111" s="6" t="n"/>
      <c r="H111" s="6" t="n"/>
      <c r="I111" s="29" t="n"/>
      <c r="J111" s="58">
        <f>SUM(K111:Q111)</f>
        <v/>
      </c>
      <c r="K111" s="6" t="n"/>
      <c r="L111" s="6" t="n"/>
      <c r="M111" s="6" t="n"/>
      <c r="N111" s="6" t="n"/>
      <c r="O111" s="6" t="n"/>
      <c r="P111" s="6" t="n"/>
      <c r="Q111" s="29" t="n"/>
      <c r="R111" s="58">
        <f>IF(J111-D111&lt;0,0,J111-D111)</f>
        <v/>
      </c>
      <c r="S111" s="60">
        <f>IF(D111-J111&lt;0,0,D111-J111)</f>
        <v/>
      </c>
      <c r="T111" s="29" t="n"/>
      <c r="U111" s="47">
        <f>SUM(D111:T111)</f>
        <v/>
      </c>
    </row>
    <row r="112" ht="34.5" customHeight="1">
      <c r="A112" s="38" t="n"/>
      <c r="B112" s="5" t="inlineStr">
        <is>
          <t>сидільний тягач (DAF, MAN, TITAN)</t>
        </is>
      </c>
      <c r="C112" s="39" t="inlineStr">
        <is>
          <t>к-т</t>
        </is>
      </c>
      <c r="D112" s="58">
        <f>F112+H112</f>
        <v/>
      </c>
      <c r="E112" s="60">
        <f>G112+I112</f>
        <v/>
      </c>
      <c r="F112" s="6" t="n"/>
      <c r="G112" s="6" t="n"/>
      <c r="H112" s="6" t="n"/>
      <c r="I112" s="29" t="n"/>
      <c r="J112" s="58">
        <f>SUM(K112:Q112)</f>
        <v/>
      </c>
      <c r="K112" s="6" t="n"/>
      <c r="L112" s="6" t="n"/>
      <c r="M112" s="6" t="n"/>
      <c r="N112" s="6" t="n"/>
      <c r="O112" s="6" t="n"/>
      <c r="P112" s="6" t="n"/>
      <c r="Q112" s="29" t="n"/>
      <c r="R112" s="58">
        <f>IF(J112-D112&lt;0,0,J112-D112)</f>
        <v/>
      </c>
      <c r="S112" s="60">
        <f>IF(D112-J112&lt;0,0,D112-J112)</f>
        <v/>
      </c>
      <c r="T112" s="29" t="n"/>
      <c r="U112" s="47">
        <f>SUM(D112:T112)</f>
        <v/>
      </c>
    </row>
    <row r="113" ht="34.5" customHeight="1">
      <c r="A113" s="38" t="n"/>
      <c r="B113" s="5" t="inlineStr">
        <is>
          <t>спеціальний вантажний фургон</t>
        </is>
      </c>
      <c r="C113" s="39" t="inlineStr">
        <is>
          <t>к-т</t>
        </is>
      </c>
      <c r="D113" s="58">
        <f>F113+H113</f>
        <v/>
      </c>
      <c r="E113" s="60">
        <f>G113+I113</f>
        <v/>
      </c>
      <c r="F113" s="6" t="n"/>
      <c r="G113" s="6" t="n"/>
      <c r="H113" s="6" t="n"/>
      <c r="I113" s="29" t="n"/>
      <c r="J113" s="58">
        <f>SUM(K113:Q113)</f>
        <v/>
      </c>
      <c r="K113" s="6" t="n"/>
      <c r="L113" s="6" t="n"/>
      <c r="M113" s="6" t="n"/>
      <c r="N113" s="6" t="n"/>
      <c r="O113" s="6" t="n"/>
      <c r="P113" s="6" t="n"/>
      <c r="Q113" s="29" t="n"/>
      <c r="R113" s="58">
        <f>IF(J113-D113&lt;0,0,J113-D113)</f>
        <v/>
      </c>
      <c r="S113" s="60">
        <f>IF(D113-J113&lt;0,0,D113-J113)</f>
        <v/>
      </c>
      <c r="T113" s="29" t="n"/>
      <c r="U113" s="47">
        <f>SUM(D113:T113)</f>
        <v/>
      </c>
    </row>
    <row r="114" ht="34.5" customHeight="1">
      <c r="A114" s="38" t="n"/>
      <c r="B114" s="75" t="inlineStr">
        <is>
          <t>автомобіль-фургон ізотермічний</t>
        </is>
      </c>
      <c r="C114" s="32" t="n"/>
      <c r="D114" s="58">
        <f>F114+H114</f>
        <v/>
      </c>
      <c r="E114" s="60">
        <f>G114+I114</f>
        <v/>
      </c>
      <c r="F114" s="6" t="n"/>
      <c r="G114" s="6" t="n"/>
      <c r="H114" s="6" t="n"/>
      <c r="I114" s="29" t="n"/>
      <c r="J114" s="58">
        <f>SUM(K114:Q114)</f>
        <v/>
      </c>
      <c r="K114" s="6" t="n"/>
      <c r="L114" s="6" t="n"/>
      <c r="M114" s="6" t="n"/>
      <c r="N114" s="6" t="n"/>
      <c r="O114" s="6" t="n"/>
      <c r="P114" s="6" t="n"/>
      <c r="Q114" s="29" t="n"/>
      <c r="R114" s="58">
        <f>IF(J114-D114&lt;0,0,J114-D114)</f>
        <v/>
      </c>
      <c r="S114" s="60">
        <f>IF(D114-J114&lt;0,0,D114-J114)</f>
        <v/>
      </c>
      <c r="T114" s="29" t="n"/>
      <c r="U114" s="47">
        <f>SUM(D114:T114)</f>
        <v/>
      </c>
    </row>
    <row r="115" ht="34.5" customHeight="1">
      <c r="A115" s="38" t="n"/>
      <c r="B115" s="75" t="inlineStr">
        <is>
          <t>автомобіль-фургон хлібний</t>
        </is>
      </c>
      <c r="C115" s="32" t="n"/>
      <c r="D115" s="58">
        <f>F115+H115</f>
        <v/>
      </c>
      <c r="E115" s="60">
        <f>G115+I115</f>
        <v/>
      </c>
      <c r="F115" s="6" t="n"/>
      <c r="G115" s="6" t="n"/>
      <c r="H115" s="6" t="n"/>
      <c r="I115" s="29" t="n"/>
      <c r="J115" s="58">
        <f>SUM(K115:Q115)</f>
        <v/>
      </c>
      <c r="K115" s="6" t="n"/>
      <c r="L115" s="6" t="n"/>
      <c r="M115" s="6" t="n"/>
      <c r="N115" s="6" t="n"/>
      <c r="O115" s="6" t="n"/>
      <c r="P115" s="6" t="n"/>
      <c r="Q115" s="29" t="n"/>
      <c r="R115" s="58">
        <f>IF(J115-D115&lt;0,0,J115-D115)</f>
        <v/>
      </c>
      <c r="S115" s="60">
        <f>IF(D115-J115&lt;0,0,D115-J115)</f>
        <v/>
      </c>
      <c r="T115" s="29" t="n"/>
      <c r="U115" s="47">
        <f>SUM(D115:T115)</f>
        <v/>
      </c>
    </row>
    <row r="116" ht="34.5" customHeight="1">
      <c r="A116" s="38" t="n"/>
      <c r="B116" s="75" t="inlineStr">
        <is>
          <t>автомобіль-фургон комбінований</t>
        </is>
      </c>
      <c r="C116" s="32" t="n"/>
      <c r="D116" s="58">
        <f>F116+H116</f>
        <v/>
      </c>
      <c r="E116" s="60">
        <f>G116+I116</f>
        <v/>
      </c>
      <c r="F116" s="6" t="n"/>
      <c r="G116" s="6" t="n"/>
      <c r="H116" s="6" t="n"/>
      <c r="I116" s="29" t="n"/>
      <c r="J116" s="58">
        <f>SUM(K116:Q116)</f>
        <v/>
      </c>
      <c r="K116" s="6" t="n"/>
      <c r="L116" s="6" t="n"/>
      <c r="M116" s="6" t="n"/>
      <c r="N116" s="6" t="n"/>
      <c r="O116" s="6" t="n"/>
      <c r="P116" s="6" t="n"/>
      <c r="Q116" s="29" t="n"/>
      <c r="R116" s="58">
        <f>IF(J116-D116&lt;0,0,J116-D116)</f>
        <v/>
      </c>
      <c r="S116" s="60">
        <f>IF(D116-J116&lt;0,0,D116-J116)</f>
        <v/>
      </c>
      <c r="T116" s="29" t="n"/>
      <c r="U116" s="47">
        <f>SUM(D116:T116)</f>
        <v/>
      </c>
    </row>
    <row r="117" ht="34.5" customHeight="1">
      <c r="A117" s="38" t="n"/>
      <c r="B117" s="76" t="inlineStr">
        <is>
          <t>автомобіль-рефрежератор</t>
        </is>
      </c>
      <c r="C117" s="32" t="n"/>
      <c r="D117" s="58">
        <f>F117+H117</f>
        <v/>
      </c>
      <c r="E117" s="60">
        <f>G117+I117</f>
        <v/>
      </c>
      <c r="F117" s="6" t="n"/>
      <c r="G117" s="6" t="n"/>
      <c r="H117" s="6" t="n"/>
      <c r="I117" s="29" t="n"/>
      <c r="J117" s="58">
        <f>SUM(K117:Q117)</f>
        <v/>
      </c>
      <c r="K117" s="6" t="n"/>
      <c r="L117" s="6" t="n"/>
      <c r="M117" s="6" t="n"/>
      <c r="N117" s="6" t="n"/>
      <c r="O117" s="6" t="n"/>
      <c r="P117" s="6" t="n"/>
      <c r="Q117" s="29" t="n"/>
      <c r="R117" s="58">
        <f>IF(J117-D117&lt;0,0,J117-D117)</f>
        <v/>
      </c>
      <c r="S117" s="60">
        <f>IF(D117-J117&lt;0,0,D117-J117)</f>
        <v/>
      </c>
      <c r="T117" s="29" t="n"/>
      <c r="U117" s="47">
        <f>SUM(D117:T117)</f>
        <v/>
      </c>
    </row>
    <row r="118" ht="34.5" customHeight="1">
      <c r="A118" s="38" t="n"/>
      <c r="B118" s="76" t="inlineStr">
        <is>
          <t>ЛУМЗ-890Б</t>
        </is>
      </c>
      <c r="C118" s="32" t="n"/>
      <c r="D118" s="58">
        <f>F118+H118</f>
        <v/>
      </c>
      <c r="E118" s="60">
        <f>G118+I118</f>
        <v/>
      </c>
      <c r="F118" s="6" t="n"/>
      <c r="G118" s="6" t="n"/>
      <c r="H118" s="6" t="n"/>
      <c r="I118" s="29" t="n"/>
      <c r="J118" s="58">
        <f>SUM(K118:Q118)</f>
        <v/>
      </c>
      <c r="K118" s="6" t="n"/>
      <c r="L118" s="6" t="n"/>
      <c r="M118" s="6" t="n"/>
      <c r="N118" s="6" t="n"/>
      <c r="O118" s="6" t="n"/>
      <c r="P118" s="6" t="n"/>
      <c r="Q118" s="29" t="n"/>
      <c r="R118" s="58">
        <f>IF(J118-D118&lt;0,0,J118-D118)</f>
        <v/>
      </c>
      <c r="S118" s="60">
        <f>IF(D118-J118&lt;0,0,D118-J118)</f>
        <v/>
      </c>
      <c r="T118" s="29" t="n"/>
      <c r="U118" s="47">
        <f>SUM(D118:T118)</f>
        <v/>
      </c>
    </row>
    <row r="119" ht="34.5" customHeight="1">
      <c r="A119" s="38" t="n"/>
      <c r="B119" s="77" t="inlineStr">
        <is>
          <t>АФХ-52</t>
        </is>
      </c>
      <c r="C119" s="32" t="n"/>
      <c r="D119" s="58">
        <f>F119+H119</f>
        <v/>
      </c>
      <c r="E119" s="60">
        <f>G119+I119</f>
        <v/>
      </c>
      <c r="F119" s="6" t="n"/>
      <c r="G119" s="6" t="n"/>
      <c r="H119" s="6" t="n"/>
      <c r="I119" s="29" t="n"/>
      <c r="J119" s="58">
        <f>SUM(K119:Q119)</f>
        <v/>
      </c>
      <c r="K119" s="6" t="n"/>
      <c r="L119" s="6" t="n"/>
      <c r="M119" s="6" t="n"/>
      <c r="N119" s="6" t="n"/>
      <c r="O119" s="6" t="n"/>
      <c r="P119" s="6" t="n"/>
      <c r="Q119" s="29" t="n"/>
      <c r="R119" s="58">
        <f>IF(J119-D119&lt;0,0,J119-D119)</f>
        <v/>
      </c>
      <c r="S119" s="60">
        <f>IF(D119-J119&lt;0,0,D119-J119)</f>
        <v/>
      </c>
      <c r="T119" s="29" t="n"/>
      <c r="U119" s="47">
        <f>SUM(D119:T119)</f>
        <v/>
      </c>
    </row>
    <row r="120" ht="34.5" customHeight="1">
      <c r="A120" s="38" t="n"/>
      <c r="B120" s="76" t="inlineStr">
        <is>
          <t>ВФІ ГАЗ 3302</t>
        </is>
      </c>
      <c r="C120" s="32" t="n"/>
      <c r="D120" s="58">
        <f>F120+H120</f>
        <v/>
      </c>
      <c r="E120" s="60">
        <f>G120+I120</f>
        <v/>
      </c>
      <c r="F120" s="6" t="n"/>
      <c r="G120" s="6" t="n"/>
      <c r="H120" s="6" t="n"/>
      <c r="I120" s="29" t="n"/>
      <c r="J120" s="58">
        <f>SUM(K120:Q120)</f>
        <v/>
      </c>
      <c r="K120" s="6" t="n"/>
      <c r="L120" s="6" t="n"/>
      <c r="M120" s="6" t="n"/>
      <c r="N120" s="6" t="n"/>
      <c r="O120" s="6" t="n"/>
      <c r="P120" s="6" t="n"/>
      <c r="Q120" s="29" t="n"/>
      <c r="R120" s="58">
        <f>IF(J120-D120&lt;0,0,J120-D120)</f>
        <v/>
      </c>
      <c r="S120" s="60">
        <f>IF(D120-J120&lt;0,0,D120-J120)</f>
        <v/>
      </c>
      <c r="T120" s="29" t="n"/>
      <c r="U120" s="47">
        <f>SUM(D120:T120)</f>
        <v/>
      </c>
    </row>
    <row r="121" ht="34.5" customHeight="1">
      <c r="A121" s="38" t="n"/>
      <c r="B121" s="77" t="inlineStr">
        <is>
          <t>АФІ-52</t>
        </is>
      </c>
      <c r="C121" s="32" t="n"/>
      <c r="D121" s="58">
        <f>F121+H121</f>
        <v/>
      </c>
      <c r="E121" s="60">
        <f>G121+I121</f>
        <v/>
      </c>
      <c r="F121" s="6" t="n"/>
      <c r="G121" s="6" t="n"/>
      <c r="H121" s="6" t="n"/>
      <c r="I121" s="29" t="n"/>
      <c r="J121" s="58">
        <f>SUM(K121:Q121)</f>
        <v/>
      </c>
      <c r="K121" s="6" t="n"/>
      <c r="L121" s="6" t="n"/>
      <c r="M121" s="6" t="n"/>
      <c r="N121" s="6" t="n"/>
      <c r="O121" s="6" t="n"/>
      <c r="P121" s="6" t="n"/>
      <c r="Q121" s="29" t="n"/>
      <c r="R121" s="58">
        <f>IF(J121-D121&lt;0,0,J121-D121)</f>
        <v/>
      </c>
      <c r="S121" s="60">
        <f>IF(D121-J121&lt;0,0,D121-J121)</f>
        <v/>
      </c>
      <c r="T121" s="29" t="n"/>
      <c r="U121" s="47">
        <f>SUM(D121:T121)</f>
        <v/>
      </c>
    </row>
    <row r="122" ht="34.5" customHeight="1">
      <c r="A122" s="38" t="n"/>
      <c r="B122" s="75" t="inlineStr">
        <is>
          <t>АФІ-4331</t>
        </is>
      </c>
      <c r="C122" s="32" t="n"/>
      <c r="D122" s="58">
        <f>F122+H122</f>
        <v/>
      </c>
      <c r="E122" s="60">
        <f>G122+I122</f>
        <v/>
      </c>
      <c r="F122" s="6" t="n"/>
      <c r="G122" s="6" t="n"/>
      <c r="H122" s="6" t="n"/>
      <c r="I122" s="29" t="n"/>
      <c r="J122" s="58">
        <f>SUM(K122:Q122)</f>
        <v/>
      </c>
      <c r="K122" s="6" t="n"/>
      <c r="L122" s="6" t="n"/>
      <c r="M122" s="6" t="n"/>
      <c r="N122" s="6" t="n"/>
      <c r="O122" s="6" t="n"/>
      <c r="P122" s="6" t="n"/>
      <c r="Q122" s="29" t="n"/>
      <c r="R122" s="58">
        <f>IF(J122-D122&lt;0,0,J122-D122)</f>
        <v/>
      </c>
      <c r="S122" s="60">
        <f>IF(D122-J122&lt;0,0,D122-J122)</f>
        <v/>
      </c>
      <c r="T122" s="29" t="n"/>
      <c r="U122" s="47">
        <f>SUM(D122:T122)</f>
        <v/>
      </c>
    </row>
    <row r="123" ht="34.5" customHeight="1">
      <c r="A123" s="38" t="n"/>
      <c r="B123" s="78" t="inlineStr">
        <is>
          <t>Холодильна установка UMKA-200 (MB Sprinter)</t>
        </is>
      </c>
      <c r="C123" s="32" t="n"/>
      <c r="D123" s="58">
        <f>F123+H123</f>
        <v/>
      </c>
      <c r="E123" s="60">
        <f>G123+I123</f>
        <v/>
      </c>
      <c r="F123" s="6" t="n"/>
      <c r="G123" s="6" t="n"/>
      <c r="H123" s="6" t="n"/>
      <c r="I123" s="29" t="n"/>
      <c r="J123" s="58">
        <f>SUM(K123:Q123)</f>
        <v/>
      </c>
      <c r="K123" s="6" t="n"/>
      <c r="L123" s="6" t="n"/>
      <c r="M123" s="6" t="n"/>
      <c r="N123" s="6" t="n"/>
      <c r="O123" s="6" t="n"/>
      <c r="P123" s="6" t="n"/>
      <c r="Q123" s="29" t="n"/>
      <c r="R123" s="58">
        <f>IF(J123-D123&lt;0,0,J123-D123)</f>
        <v/>
      </c>
      <c r="S123" s="60">
        <f>IF(D123-J123&lt;0,0,D123-J123)</f>
        <v/>
      </c>
      <c r="T123" s="29" t="n"/>
      <c r="U123" s="47">
        <f>SUM(D123:T123)</f>
        <v/>
      </c>
    </row>
    <row r="124" ht="34.5" customHeight="1">
      <c r="A124" s="38" t="n"/>
      <c r="B124" s="78" t="inlineStr">
        <is>
          <t>Автомобіль-фургон  ГАЗ-53</t>
        </is>
      </c>
      <c r="C124" s="32" t="n"/>
      <c r="D124" s="58">
        <f>F124+H124</f>
        <v/>
      </c>
      <c r="E124" s="60">
        <f>G124+I124</f>
        <v/>
      </c>
      <c r="F124" s="6" t="n"/>
      <c r="G124" s="6" t="n"/>
      <c r="H124" s="6" t="n"/>
      <c r="I124" s="29" t="n"/>
      <c r="J124" s="58">
        <f>SUM(K124:Q124)</f>
        <v/>
      </c>
      <c r="K124" s="6" t="n"/>
      <c r="L124" s="6" t="n"/>
      <c r="M124" s="6" t="n"/>
      <c r="N124" s="6" t="n"/>
      <c r="O124" s="6" t="n"/>
      <c r="P124" s="6" t="n"/>
      <c r="Q124" s="29" t="n"/>
      <c r="R124" s="58">
        <f>IF(J124-D124&lt;0,0,J124-D124)</f>
        <v/>
      </c>
      <c r="S124" s="60">
        <f>IF(D124-J124&lt;0,0,D124-J124)</f>
        <v/>
      </c>
      <c r="T124" s="29" t="n"/>
      <c r="U124" s="47">
        <f>SUM(D124:T124)</f>
        <v/>
      </c>
    </row>
    <row r="125" ht="34.5" customHeight="1">
      <c r="A125" s="38" t="n"/>
      <c r="B125" s="76" t="inlineStr">
        <is>
          <t>Фургон ізотермічний-C Hyundai HD72</t>
        </is>
      </c>
      <c r="C125" s="32" t="n"/>
      <c r="D125" s="58">
        <f>F125+H125</f>
        <v/>
      </c>
      <c r="E125" s="60">
        <f>G125+I125</f>
        <v/>
      </c>
      <c r="F125" s="6" t="n"/>
      <c r="G125" s="6" t="n"/>
      <c r="H125" s="6" t="n"/>
      <c r="I125" s="29" t="n"/>
      <c r="J125" s="58">
        <f>SUM(K125:Q125)</f>
        <v/>
      </c>
      <c r="K125" s="6" t="n"/>
      <c r="L125" s="6" t="n"/>
      <c r="M125" s="6" t="n"/>
      <c r="N125" s="6" t="n"/>
      <c r="O125" s="6" t="n"/>
      <c r="P125" s="6" t="n"/>
      <c r="Q125" s="29" t="n"/>
      <c r="R125" s="58">
        <f>IF(J125-D125&lt;0,0,J125-D125)</f>
        <v/>
      </c>
      <c r="S125" s="60">
        <f>IF(D125-J125&lt;0,0,D125-J125)</f>
        <v/>
      </c>
      <c r="T125" s="29" t="n"/>
      <c r="U125" s="47">
        <f>SUM(D125:T125)</f>
        <v/>
      </c>
    </row>
    <row r="126" ht="34.5" customHeight="1">
      <c r="A126" s="38" t="n"/>
      <c r="B126" s="76" t="inlineStr">
        <is>
          <t>Автофургон  Mersedes Benz SPRINT 313 CDI</t>
        </is>
      </c>
      <c r="C126" s="32" t="n"/>
      <c r="D126" s="58">
        <f>F126+H126</f>
        <v/>
      </c>
      <c r="E126" s="60">
        <f>G126+I126</f>
        <v/>
      </c>
      <c r="F126" s="6" t="n"/>
      <c r="G126" s="6" t="n"/>
      <c r="H126" s="6" t="n"/>
      <c r="I126" s="29" t="n"/>
      <c r="J126" s="58">
        <f>SUM(K126:Q126)</f>
        <v/>
      </c>
      <c r="K126" s="6" t="n"/>
      <c r="L126" s="6" t="n"/>
      <c r="M126" s="6" t="n"/>
      <c r="N126" s="6" t="n"/>
      <c r="O126" s="6" t="n"/>
      <c r="P126" s="6" t="n"/>
      <c r="Q126" s="29" t="n"/>
      <c r="R126" s="58">
        <f>IF(J126-D126&lt;0,0,J126-D126)</f>
        <v/>
      </c>
      <c r="S126" s="60">
        <f>IF(D126-J126&lt;0,0,D126-J126)</f>
        <v/>
      </c>
      <c r="T126" s="29" t="n"/>
      <c r="U126" s="47">
        <f>SUM(D126:T126)</f>
        <v/>
      </c>
    </row>
    <row r="127" ht="34.5" customHeight="1">
      <c r="A127" s="38" t="n"/>
      <c r="B127" s="76" t="inlineStr">
        <is>
          <t>Автофургон  IVECO 66 C15</t>
        </is>
      </c>
      <c r="C127" s="32" t="n"/>
      <c r="D127" s="58">
        <f>F127+H127</f>
        <v/>
      </c>
      <c r="E127" s="60">
        <f>G127+I127</f>
        <v/>
      </c>
      <c r="F127" s="6" t="n"/>
      <c r="G127" s="6" t="n"/>
      <c r="H127" s="6" t="n"/>
      <c r="I127" s="29" t="n"/>
      <c r="J127" s="58">
        <f>SUM(K127:Q127)</f>
        <v/>
      </c>
      <c r="K127" s="6" t="n"/>
      <c r="L127" s="6" t="n"/>
      <c r="M127" s="6" t="n"/>
      <c r="N127" s="6" t="n"/>
      <c r="O127" s="6" t="n"/>
      <c r="P127" s="6" t="n"/>
      <c r="Q127" s="29" t="n"/>
      <c r="R127" s="58">
        <f>IF(J127-D127&lt;0,0,J127-D127)</f>
        <v/>
      </c>
      <c r="S127" s="60">
        <f>IF(D127-J127&lt;0,0,D127-J127)</f>
        <v/>
      </c>
      <c r="T127" s="29" t="n"/>
      <c r="U127" s="47">
        <f>SUM(D127:T127)</f>
        <v/>
      </c>
    </row>
    <row r="128" ht="34.5" customHeight="1">
      <c r="A128" s="38" t="n"/>
      <c r="B128" s="76" t="inlineStr">
        <is>
          <t>ГАЗ-3307 спеціалізований вантажний фургон хлібний 4,5 т</t>
        </is>
      </c>
      <c r="C128" s="32" t="n"/>
      <c r="D128" s="58">
        <f>F128+H128</f>
        <v/>
      </c>
      <c r="E128" s="60">
        <f>G128+I128</f>
        <v/>
      </c>
      <c r="F128" s="6" t="n"/>
      <c r="G128" s="6" t="n"/>
      <c r="H128" s="6" t="n"/>
      <c r="I128" s="29" t="n"/>
      <c r="J128" s="58">
        <f>SUM(K128:Q128)</f>
        <v/>
      </c>
      <c r="K128" s="6" t="n"/>
      <c r="L128" s="6" t="n"/>
      <c r="M128" s="6" t="n"/>
      <c r="N128" s="6" t="n"/>
      <c r="O128" s="6" t="n"/>
      <c r="P128" s="6" t="n"/>
      <c r="Q128" s="29" t="n"/>
      <c r="R128" s="58">
        <f>IF(J128-D128&lt;0,0,J128-D128)</f>
        <v/>
      </c>
      <c r="S128" s="60">
        <f>IF(D128-J128&lt;0,0,D128-J128)</f>
        <v/>
      </c>
      <c r="T128" s="29" t="n"/>
      <c r="U128" s="47">
        <f>SUM(D128:T128)</f>
        <v/>
      </c>
    </row>
    <row r="129" ht="34.5" customHeight="1">
      <c r="A129" s="38" t="n"/>
      <c r="B129" s="73" t="inlineStr">
        <is>
          <t xml:space="preserve">Рено мастер </t>
        </is>
      </c>
      <c r="C129" s="32" t="n"/>
      <c r="D129" s="58">
        <f>F129+H129</f>
        <v/>
      </c>
      <c r="E129" s="60">
        <f>G129+I129</f>
        <v/>
      </c>
      <c r="F129" s="6" t="n"/>
      <c r="G129" s="6" t="n"/>
      <c r="H129" s="6" t="n"/>
      <c r="I129" s="29" t="n"/>
      <c r="J129" s="58">
        <f>SUM(K129:Q129)</f>
        <v/>
      </c>
      <c r="K129" s="6" t="n"/>
      <c r="L129" s="6" t="n"/>
      <c r="M129" s="6" t="n"/>
      <c r="N129" s="6" t="n"/>
      <c r="O129" s="6" t="n"/>
      <c r="P129" s="6" t="n"/>
      <c r="Q129" s="29" t="n"/>
      <c r="R129" s="58">
        <f>IF(J129-D129&lt;0,0,J129-D129)</f>
        <v/>
      </c>
      <c r="S129" s="60">
        <f>IF(D129-J129&lt;0,0,D129-J129)</f>
        <v/>
      </c>
      <c r="T129" s="29" t="n"/>
      <c r="U129" s="47">
        <f>SUM(D129:T129)</f>
        <v/>
      </c>
    </row>
    <row r="130" ht="34.5" customHeight="1">
      <c r="A130" s="38" t="n"/>
      <c r="B130" s="74" t="inlineStr">
        <is>
          <t>ГАЗ-3302-14 фургон ізотермічний</t>
        </is>
      </c>
      <c r="C130" s="32" t="n"/>
      <c r="D130" s="58">
        <f>F130+H130</f>
        <v/>
      </c>
      <c r="E130" s="60">
        <f>G130+I130</f>
        <v/>
      </c>
      <c r="F130" s="6" t="n"/>
      <c r="G130" s="6" t="n"/>
      <c r="H130" s="6" t="n"/>
      <c r="I130" s="29" t="n"/>
      <c r="J130" s="58">
        <f>SUM(K130:Q130)</f>
        <v/>
      </c>
      <c r="K130" s="6" t="n"/>
      <c r="L130" s="6" t="n"/>
      <c r="M130" s="6" t="n"/>
      <c r="N130" s="6" t="n"/>
      <c r="O130" s="6" t="n"/>
      <c r="P130" s="6" t="n"/>
      <c r="Q130" s="29" t="n"/>
      <c r="R130" s="58">
        <f>IF(J130-D130&lt;0,0,J130-D130)</f>
        <v/>
      </c>
      <c r="S130" s="60">
        <f>IF(D130-J130&lt;0,0,D130-J130)</f>
        <v/>
      </c>
      <c r="T130" s="29" t="n"/>
      <c r="U130" s="47">
        <f>SUM(D130:T130)</f>
        <v/>
      </c>
    </row>
    <row r="131" ht="34.5" customHeight="1">
      <c r="A131" s="38" t="n"/>
      <c r="B131" s="74" t="inlineStr">
        <is>
          <t>Iveco 50C15 спеціальний вантажний фургон ізотермічний</t>
        </is>
      </c>
      <c r="C131" s="32" t="n"/>
      <c r="D131" s="58">
        <f>F131+H131</f>
        <v/>
      </c>
      <c r="E131" s="60">
        <f>G131+I131</f>
        <v/>
      </c>
      <c r="F131" s="6" t="n"/>
      <c r="G131" s="6" t="n"/>
      <c r="H131" s="6" t="n"/>
      <c r="I131" s="29" t="n"/>
      <c r="J131" s="58">
        <f>SUM(K131:Q131)</f>
        <v/>
      </c>
      <c r="K131" s="6" t="n"/>
      <c r="L131" s="6" t="n"/>
      <c r="M131" s="6" t="n"/>
      <c r="N131" s="6" t="n"/>
      <c r="O131" s="6" t="n"/>
      <c r="P131" s="6" t="n"/>
      <c r="Q131" s="29" t="n"/>
      <c r="R131" s="58">
        <f>IF(J131-D131&lt;0,0,J131-D131)</f>
        <v/>
      </c>
      <c r="S131" s="60">
        <f>IF(D131-J131&lt;0,0,D131-J131)</f>
        <v/>
      </c>
      <c r="T131" s="29" t="n"/>
      <c r="U131" s="47">
        <f>SUM(D131:T131)</f>
        <v/>
      </c>
    </row>
    <row r="132" ht="34.5" customHeight="1">
      <c r="A132" s="38" t="n"/>
      <c r="B132" s="74" t="inlineStr">
        <is>
          <t>Пландек ізотермічний IVECO M752</t>
        </is>
      </c>
      <c r="C132" s="32" t="n"/>
      <c r="D132" s="58">
        <f>F132+H132</f>
        <v/>
      </c>
      <c r="E132" s="60">
        <f>G132+I132</f>
        <v/>
      </c>
      <c r="F132" s="6" t="n"/>
      <c r="G132" s="6" t="n"/>
      <c r="H132" s="6" t="n"/>
      <c r="I132" s="29" t="n"/>
      <c r="J132" s="58">
        <f>SUM(K132:Q132)</f>
        <v/>
      </c>
      <c r="K132" s="6" t="n"/>
      <c r="L132" s="6" t="n"/>
      <c r="M132" s="6" t="n"/>
      <c r="N132" s="6" t="n"/>
      <c r="O132" s="6" t="n"/>
      <c r="P132" s="6" t="n"/>
      <c r="Q132" s="29" t="n"/>
      <c r="R132" s="58">
        <f>IF(J132-D132&lt;0,0,J132-D132)</f>
        <v/>
      </c>
      <c r="S132" s="60">
        <f>IF(D132-J132&lt;0,0,D132-J132)</f>
        <v/>
      </c>
      <c r="T132" s="29" t="n"/>
      <c r="U132" s="47">
        <f>SUM(D132:T132)</f>
        <v/>
      </c>
    </row>
    <row r="133" ht="34.5" customHeight="1">
      <c r="A133" s="38" t="n"/>
      <c r="B133" s="74" t="inlineStr">
        <is>
          <t>Автомобіль-рефрижератор (прим 200)</t>
        </is>
      </c>
      <c r="C133" s="32" t="n"/>
      <c r="D133" s="58">
        <f>F133+H133</f>
        <v/>
      </c>
      <c r="E133" s="60">
        <f>G133+I133</f>
        <v/>
      </c>
      <c r="F133" s="6" t="n"/>
      <c r="G133" s="6" t="n"/>
      <c r="H133" s="6" t="n"/>
      <c r="I133" s="29" t="n"/>
      <c r="J133" s="58">
        <f>SUM(K133:Q133)</f>
        <v/>
      </c>
      <c r="K133" s="6" t="n"/>
      <c r="L133" s="6" t="n"/>
      <c r="M133" s="6" t="n"/>
      <c r="N133" s="6" t="n"/>
      <c r="O133" s="6" t="n"/>
      <c r="P133" s="6" t="n"/>
      <c r="Q133" s="29" t="n"/>
      <c r="R133" s="58">
        <f>IF(J133-D133&lt;0,0,J133-D133)</f>
        <v/>
      </c>
      <c r="S133" s="60">
        <f>IF(D133-J133&lt;0,0,D133-J133)</f>
        <v/>
      </c>
      <c r="T133" s="29" t="n"/>
      <c r="U133" s="47">
        <f>SUM(D133:T133)</f>
        <v/>
      </c>
    </row>
    <row r="134" ht="34.5" customHeight="1">
      <c r="A134" s="38" t="n"/>
      <c r="B134" s="74" t="inlineStr">
        <is>
          <t>спеціальний вантажний фургон рефрижератор FIAT DOBLO</t>
        </is>
      </c>
      <c r="C134" s="32" t="n"/>
      <c r="D134" s="58">
        <f>F134+H134</f>
        <v/>
      </c>
      <c r="E134" s="60">
        <f>G134+I134</f>
        <v/>
      </c>
      <c r="F134" s="6" t="n"/>
      <c r="G134" s="6" t="n"/>
      <c r="H134" s="6" t="n"/>
      <c r="I134" s="29" t="n"/>
      <c r="J134" s="58">
        <f>SUM(K134:Q134)</f>
        <v/>
      </c>
      <c r="K134" s="6" t="n"/>
      <c r="L134" s="6" t="n"/>
      <c r="M134" s="6" t="n"/>
      <c r="N134" s="6" t="n"/>
      <c r="O134" s="6" t="n"/>
      <c r="P134" s="6" t="n"/>
      <c r="Q134" s="29" t="n"/>
      <c r="R134" s="58">
        <f>IF(J134-D134&lt;0,0,J134-D134)</f>
        <v/>
      </c>
      <c r="S134" s="60">
        <f>IF(D134-J134&lt;0,0,D134-J134)</f>
        <v/>
      </c>
      <c r="T134" s="29" t="n"/>
      <c r="U134" s="47">
        <f>SUM(D134:T134)</f>
        <v/>
      </c>
    </row>
    <row r="135" ht="34.5" customHeight="1">
      <c r="A135" s="38" t="n"/>
      <c r="B135" s="74" t="inlineStr">
        <is>
          <t>спеціальний вантажний фургон ізотермічний Mersedes Benz Atego-915</t>
        </is>
      </c>
      <c r="C135" s="32" t="n"/>
      <c r="D135" s="58">
        <f>F135+H135</f>
        <v/>
      </c>
      <c r="E135" s="60">
        <f>G135+I135</f>
        <v/>
      </c>
      <c r="F135" s="6" t="n"/>
      <c r="G135" s="6" t="n"/>
      <c r="H135" s="6" t="n"/>
      <c r="I135" s="29" t="n"/>
      <c r="J135" s="58">
        <f>SUM(K135:Q135)</f>
        <v/>
      </c>
      <c r="K135" s="6" t="n"/>
      <c r="L135" s="6" t="n"/>
      <c r="M135" s="6" t="n"/>
      <c r="N135" s="6" t="n"/>
      <c r="O135" s="6" t="n"/>
      <c r="P135" s="6" t="n"/>
      <c r="Q135" s="29" t="n"/>
      <c r="R135" s="58">
        <f>IF(J135-D135&lt;0,0,J135-D135)</f>
        <v/>
      </c>
      <c r="S135" s="60">
        <f>IF(D135-J135&lt;0,0,D135-J135)</f>
        <v/>
      </c>
      <c r="T135" s="29" t="n"/>
      <c r="U135" s="47">
        <f>SUM(D135:T135)</f>
        <v/>
      </c>
    </row>
    <row r="136" ht="34.5" customHeight="1">
      <c r="A136" s="38" t="n"/>
      <c r="B136" s="74" t="inlineStr">
        <is>
          <t>автомобіль кунг ЗІЛ-433102</t>
        </is>
      </c>
      <c r="C136" s="32" t="n"/>
      <c r="D136" s="58">
        <f>F136+H136</f>
        <v/>
      </c>
      <c r="E136" s="60">
        <f>G136+I136</f>
        <v/>
      </c>
      <c r="F136" s="6" t="n"/>
      <c r="G136" s="6" t="n"/>
      <c r="H136" s="6" t="n"/>
      <c r="I136" s="29" t="n"/>
      <c r="J136" s="58">
        <f>SUM(K136:Q136)</f>
        <v/>
      </c>
      <c r="K136" s="6" t="n"/>
      <c r="L136" s="6" t="n"/>
      <c r="M136" s="6" t="n"/>
      <c r="N136" s="6" t="n"/>
      <c r="O136" s="6" t="n"/>
      <c r="P136" s="6" t="n"/>
      <c r="Q136" s="29" t="n"/>
      <c r="R136" s="58">
        <f>IF(J136-D136&lt;0,0,J136-D136)</f>
        <v/>
      </c>
      <c r="S136" s="60">
        <f>IF(D136-J136&lt;0,0,D136-J136)</f>
        <v/>
      </c>
      <c r="T136" s="29" t="n"/>
      <c r="U136" s="47">
        <f>SUM(D136:T136)</f>
        <v/>
      </c>
    </row>
    <row r="137" ht="34.5" customHeight="1">
      <c r="A137" s="38" t="n"/>
      <c r="B137" s="74" t="inlineStr">
        <is>
          <t>автомобіль рефрижератор Volkswagen LT46</t>
        </is>
      </c>
      <c r="C137" s="32" t="n"/>
      <c r="D137" s="58">
        <f>F137+H137</f>
        <v/>
      </c>
      <c r="E137" s="60">
        <f>G137+I137</f>
        <v/>
      </c>
      <c r="F137" s="6" t="n"/>
      <c r="G137" s="6" t="n"/>
      <c r="H137" s="6" t="n"/>
      <c r="I137" s="29" t="n"/>
      <c r="J137" s="58">
        <f>SUM(K137:Q137)</f>
        <v/>
      </c>
      <c r="K137" s="6" t="n"/>
      <c r="L137" s="6" t="n"/>
      <c r="M137" s="6" t="n"/>
      <c r="N137" s="6" t="n"/>
      <c r="O137" s="6" t="n"/>
      <c r="P137" s="6" t="n"/>
      <c r="Q137" s="29" t="n"/>
      <c r="R137" s="58">
        <f>IF(J137-D137&lt;0,0,J137-D137)</f>
        <v/>
      </c>
      <c r="S137" s="60">
        <f>IF(D137-J137&lt;0,0,D137-J137)</f>
        <v/>
      </c>
      <c r="T137" s="29" t="n"/>
      <c r="U137" s="47">
        <f>SUM(D137:T137)</f>
        <v/>
      </c>
    </row>
    <row r="138" ht="34.5" customHeight="1">
      <c r="A138" s="38" t="n"/>
      <c r="B138" s="74" t="inlineStr">
        <is>
          <t>спеціальний вантажний фургон малолітражний В ГАЗ-Т95-3302</t>
        </is>
      </c>
      <c r="C138" s="32" t="n"/>
      <c r="D138" s="58">
        <f>F138+H138</f>
        <v/>
      </c>
      <c r="E138" s="60">
        <f>G138+I138</f>
        <v/>
      </c>
      <c r="F138" s="6" t="n"/>
      <c r="G138" s="6" t="n"/>
      <c r="H138" s="6" t="n"/>
      <c r="I138" s="29" t="n"/>
      <c r="J138" s="58">
        <f>SUM(K138:Q138)</f>
        <v/>
      </c>
      <c r="K138" s="6" t="n"/>
      <c r="L138" s="6" t="n"/>
      <c r="M138" s="6" t="n"/>
      <c r="N138" s="6" t="n"/>
      <c r="O138" s="6" t="n"/>
      <c r="P138" s="6" t="n"/>
      <c r="Q138" s="29" t="n"/>
      <c r="R138" s="58">
        <f>IF(J138-D138&lt;0,0,J138-D138)</f>
        <v/>
      </c>
      <c r="S138" s="60">
        <f>IF(D138-J138&lt;0,0,D138-J138)</f>
        <v/>
      </c>
      <c r="T138" s="29" t="n"/>
      <c r="U138" s="47">
        <f>SUM(D138:T138)</f>
        <v/>
      </c>
    </row>
    <row r="139" ht="34.5" customHeight="1">
      <c r="A139" s="38" t="n"/>
      <c r="B139" s="74" t="inlineStr">
        <is>
          <t>вантажний фургон CITROEN 1000 HDI з холодильником</t>
        </is>
      </c>
      <c r="C139" s="32" t="n"/>
      <c r="D139" s="58">
        <f>F139+H139</f>
        <v/>
      </c>
      <c r="E139" s="60">
        <f>G139+I139</f>
        <v/>
      </c>
      <c r="F139" s="6" t="n"/>
      <c r="G139" s="6" t="n"/>
      <c r="H139" s="6" t="n"/>
      <c r="I139" s="29" t="n"/>
      <c r="J139" s="58">
        <f>SUM(K139:Q139)</f>
        <v/>
      </c>
      <c r="K139" s="6" t="n"/>
      <c r="L139" s="6" t="n"/>
      <c r="M139" s="6" t="n"/>
      <c r="N139" s="6" t="n"/>
      <c r="O139" s="6" t="n"/>
      <c r="P139" s="6" t="n"/>
      <c r="Q139" s="29" t="n"/>
      <c r="R139" s="58">
        <f>IF(J139-D139&lt;0,0,J139-D139)</f>
        <v/>
      </c>
      <c r="S139" s="60">
        <f>IF(D139-J139&lt;0,0,D139-J139)</f>
        <v/>
      </c>
      <c r="T139" s="29" t="n"/>
      <c r="U139" s="47">
        <f>SUM(D139:T139)</f>
        <v/>
      </c>
    </row>
    <row r="140" ht="34.5" customHeight="1">
      <c r="A140" s="38" t="n"/>
      <c r="B140" s="74" t="inlineStr">
        <is>
          <t>спеціалізований вантажний фургон FAW CA 1041 ізотермічний</t>
        </is>
      </c>
      <c r="C140" s="32" t="n"/>
      <c r="D140" s="58">
        <f>F140+H140</f>
        <v/>
      </c>
      <c r="E140" s="60">
        <f>G140+I140</f>
        <v/>
      </c>
      <c r="F140" s="6" t="n"/>
      <c r="G140" s="6" t="n"/>
      <c r="H140" s="6" t="n"/>
      <c r="I140" s="29" t="n"/>
      <c r="J140" s="58">
        <f>SUM(K140:Q140)</f>
        <v/>
      </c>
      <c r="K140" s="6" t="n"/>
      <c r="L140" s="6" t="n"/>
      <c r="M140" s="6" t="n"/>
      <c r="N140" s="6" t="n"/>
      <c r="O140" s="6" t="n"/>
      <c r="P140" s="6" t="n"/>
      <c r="Q140" s="29" t="n"/>
      <c r="R140" s="58">
        <f>IF(J140-D140&lt;0,0,J140-D140)</f>
        <v/>
      </c>
      <c r="S140" s="60">
        <f>IF(D140-J140&lt;0,0,D140-J140)</f>
        <v/>
      </c>
      <c r="T140" s="29" t="n"/>
      <c r="U140" s="47">
        <f>SUM(D140:T140)</f>
        <v/>
      </c>
    </row>
    <row r="141" ht="34.5" customHeight="1">
      <c r="A141" s="38" t="n"/>
      <c r="B141" s="7" t="n"/>
      <c r="C141" s="32" t="n"/>
      <c r="D141" s="58">
        <f>F141+H141</f>
        <v/>
      </c>
      <c r="E141" s="60">
        <f>G141+I141</f>
        <v/>
      </c>
      <c r="F141" s="6" t="n"/>
      <c r="G141" s="6" t="n"/>
      <c r="H141" s="6" t="n"/>
      <c r="I141" s="29" t="n"/>
      <c r="J141" s="58">
        <f>SUM(K141:Q141)</f>
        <v/>
      </c>
      <c r="K141" s="6" t="n"/>
      <c r="L141" s="6" t="n"/>
      <c r="M141" s="6" t="n"/>
      <c r="N141" s="6" t="n"/>
      <c r="O141" s="6" t="n"/>
      <c r="P141" s="6" t="n"/>
      <c r="Q141" s="29" t="n"/>
      <c r="R141" s="58">
        <f>IF(J141-D141&lt;0,0,J141-D141)</f>
        <v/>
      </c>
      <c r="S141" s="60">
        <f>IF(D141-J141&lt;0,0,D141-J141)</f>
        <v/>
      </c>
      <c r="T141" s="29" t="n"/>
      <c r="U141" s="47">
        <f>SUM(D141:T141)</f>
        <v/>
      </c>
    </row>
    <row r="142" ht="34.5" customHeight="1">
      <c r="A142" s="37" t="n">
        <v>12</v>
      </c>
      <c r="B142" s="3" t="inlineStr">
        <is>
          <t>Засоби підвозу продовольства причіпні:</t>
        </is>
      </c>
      <c r="C142" s="28" t="inlineStr">
        <is>
          <t>к-т</t>
        </is>
      </c>
      <c r="D142" s="27">
        <f>F142+H142</f>
        <v/>
      </c>
      <c r="E142" s="4">
        <f>G142+I142</f>
        <v/>
      </c>
      <c r="F142" s="4">
        <f>F143+F144+F145+F146+F147+F148+F149+F150+F151+F152+F153+F154+F155</f>
        <v/>
      </c>
      <c r="G142" s="4">
        <f>G143+G144+G145+G146+G147+G148+G149+G150+G151+G152+G153+G154+G155</f>
        <v/>
      </c>
      <c r="H142" s="4">
        <f>H143+H144+H145+H146+H147+H148+H149+H150+H151+H152+H153+H154+H155</f>
        <v/>
      </c>
      <c r="I142" s="28">
        <f>I143+I144+I145+I146+I147+I148+I149+I150+I151+I152+I153+I154+I155</f>
        <v/>
      </c>
      <c r="J142" s="27">
        <f>SUM(K142:Q142)</f>
        <v/>
      </c>
      <c r="K142" s="4">
        <f>K143+K144+K145+K146+K147+K148+K149+K150+K151+K152+K153+K154+K155</f>
        <v/>
      </c>
      <c r="L142" s="4">
        <f>L143+L144+L145+L146+L147+L148+L149+L150+L151+L152+L153+L154+L155</f>
        <v/>
      </c>
      <c r="M142" s="4">
        <f>M143+M144+M145+M146+M147+M148+M149+M150+M151+M152+M153+M154+M155</f>
        <v/>
      </c>
      <c r="N142" s="4">
        <f>N143+N144+N145+N146+N147+N148+N149+N150+N151+N152+N153+N154+N155</f>
        <v/>
      </c>
      <c r="O142" s="4">
        <f>O143+O144+O145+O146+O147+O148+O149+O150+O151+O152+O153+O154+O155</f>
        <v/>
      </c>
      <c r="P142" s="4">
        <f>P143+P144+P145+P146+P147+P148+P149+P150+P151+P152+P153+P154+P155</f>
        <v/>
      </c>
      <c r="Q142" s="28">
        <f>Q143+Q144+Q145+Q146+Q147+Q148+Q149+Q150+Q151+Q152+Q153+Q154+Q155</f>
        <v/>
      </c>
      <c r="R142" s="27">
        <f>IF(J142-D142&lt;0,0,J142-D142)</f>
        <v/>
      </c>
      <c r="S142" s="4">
        <f>IF(D142-J142&lt;0,0,D142-J142)</f>
        <v/>
      </c>
      <c r="T142" s="28">
        <f>T143+T144+T145+T146+T147+T148+T149+T150+T151+T152+T153+T154+T155</f>
        <v/>
      </c>
      <c r="U142" s="47">
        <f>SUM(D142:T142)</f>
        <v/>
      </c>
    </row>
    <row r="143" ht="34.5" customHeight="1">
      <c r="A143" s="38" t="n"/>
      <c r="B143" s="5" t="inlineStr">
        <is>
          <t>причіп-фургон ізотермічний ГЗСА-896 (ОАР-2)</t>
        </is>
      </c>
      <c r="C143" s="39" t="inlineStr">
        <is>
          <t>к-т</t>
        </is>
      </c>
      <c r="D143" s="58">
        <f>F143+H143</f>
        <v/>
      </c>
      <c r="E143" s="60">
        <f>G143+I143</f>
        <v/>
      </c>
      <c r="F143" s="6" t="n"/>
      <c r="G143" s="6" t="n">
        <v>0</v>
      </c>
      <c r="H143" s="6" t="n"/>
      <c r="I143" s="29" t="n"/>
      <c r="J143" s="58">
        <f>SUM(K143:Q143)</f>
        <v/>
      </c>
      <c r="K143" s="6" t="n"/>
      <c r="L143" s="6" t="n"/>
      <c r="M143" s="6" t="n"/>
      <c r="N143" s="6" t="n"/>
      <c r="O143" s="6" t="n"/>
      <c r="P143" s="6" t="n"/>
      <c r="Q143" s="29" t="n"/>
      <c r="R143" s="58">
        <f>IF(J143-D143&lt;0,0,J143-D143)</f>
        <v/>
      </c>
      <c r="S143" s="60">
        <f>IF(D143-J143&lt;0,0,D143-J143)</f>
        <v/>
      </c>
      <c r="T143" s="29" t="n"/>
      <c r="U143" s="47">
        <f>SUM(D143:T143)</f>
        <v/>
      </c>
    </row>
    <row r="144" ht="34.5" customHeight="1">
      <c r="A144" s="38" t="n"/>
      <c r="B144" s="5" t="inlineStr">
        <is>
          <t>причіп-склад ПС-2</t>
        </is>
      </c>
      <c r="C144" s="39" t="inlineStr">
        <is>
          <t>к-т</t>
        </is>
      </c>
      <c r="D144" s="58">
        <f>F144+H144</f>
        <v/>
      </c>
      <c r="E144" s="60">
        <f>G144+I144</f>
        <v/>
      </c>
      <c r="F144" s="6" t="n"/>
      <c r="G144" s="6" t="n"/>
      <c r="H144" s="6" t="n"/>
      <c r="I144" s="29" t="n"/>
      <c r="J144" s="58">
        <f>SUM(K144:Q144)</f>
        <v/>
      </c>
      <c r="K144" s="6" t="n"/>
      <c r="L144" s="6" t="n"/>
      <c r="M144" s="6" t="n"/>
      <c r="N144" s="6" t="n"/>
      <c r="O144" s="6" t="n"/>
      <c r="P144" s="6" t="n"/>
      <c r="Q144" s="29" t="n"/>
      <c r="R144" s="58">
        <f>IF(J144-D144&lt;0,0,J144-D144)</f>
        <v/>
      </c>
      <c r="S144" s="60">
        <f>IF(D144-J144&lt;0,0,D144-J144)</f>
        <v/>
      </c>
      <c r="T144" s="29" t="n"/>
      <c r="U144" s="47">
        <f>SUM(D144:T144)</f>
        <v/>
      </c>
    </row>
    <row r="145" ht="34.5" customHeight="1">
      <c r="A145" s="38" t="n"/>
      <c r="B145" s="5" t="inlineStr">
        <is>
          <t>причіп-склад ПС-4У</t>
        </is>
      </c>
      <c r="C145" s="39" t="inlineStr">
        <is>
          <t>к-т</t>
        </is>
      </c>
      <c r="D145" s="58">
        <f>F145+H145</f>
        <v/>
      </c>
      <c r="E145" s="60">
        <f>G145+I145</f>
        <v/>
      </c>
      <c r="F145" s="6" t="n"/>
      <c r="G145" s="6" t="n"/>
      <c r="H145" s="6" t="n"/>
      <c r="I145" s="29" t="n"/>
      <c r="J145" s="58">
        <f>SUM(K145:Q145)</f>
        <v/>
      </c>
      <c r="K145" s="6" t="n"/>
      <c r="L145" s="6" t="n"/>
      <c r="M145" s="6" t="n"/>
      <c r="N145" s="6" t="n"/>
      <c r="O145" s="6" t="n"/>
      <c r="P145" s="6" t="n"/>
      <c r="Q145" s="29" t="n"/>
      <c r="R145" s="58">
        <f>IF(J145-D145&lt;0,0,J145-D145)</f>
        <v/>
      </c>
      <c r="S145" s="60">
        <f>IF(D145-J145&lt;0,0,D145-J145)</f>
        <v/>
      </c>
      <c r="T145" s="29" t="n"/>
      <c r="U145" s="47">
        <f>SUM(D145:T145)</f>
        <v/>
      </c>
    </row>
    <row r="146" ht="34.5" customHeight="1">
      <c r="A146" s="38" t="n"/>
      <c r="B146" s="5" t="inlineStr">
        <is>
          <t>причіп-фургон хлібний ПФХ-1</t>
        </is>
      </c>
      <c r="C146" s="39" t="inlineStr">
        <is>
          <t>к-т</t>
        </is>
      </c>
      <c r="D146" s="58">
        <f>F146+H146</f>
        <v/>
      </c>
      <c r="E146" s="60">
        <f>G146+I146</f>
        <v/>
      </c>
      <c r="F146" s="6" t="n"/>
      <c r="G146" s="6" t="n"/>
      <c r="H146" s="6" t="n"/>
      <c r="I146" s="29" t="n"/>
      <c r="J146" s="58">
        <f>SUM(K146:Q146)</f>
        <v/>
      </c>
      <c r="K146" s="6" t="n"/>
      <c r="L146" s="6" t="n"/>
      <c r="M146" s="6" t="n"/>
      <c r="N146" s="6" t="n"/>
      <c r="O146" s="6" t="n"/>
      <c r="P146" s="6" t="n"/>
      <c r="Q146" s="29" t="n"/>
      <c r="R146" s="58">
        <f>IF(J146-D146&lt;0,0,J146-D146)</f>
        <v/>
      </c>
      <c r="S146" s="60">
        <f>IF(D146-J146&lt;0,0,D146-J146)</f>
        <v/>
      </c>
      <c r="T146" s="29" t="n"/>
      <c r="U146" s="47">
        <f>SUM(D146:T146)</f>
        <v/>
      </c>
    </row>
    <row r="147" ht="34.5" customHeight="1">
      <c r="A147" s="38" t="n"/>
      <c r="B147" s="5" t="inlineStr">
        <is>
          <t>причіп-рефрижератор РМ-П</t>
        </is>
      </c>
      <c r="C147" s="39" t="inlineStr">
        <is>
          <t>к-т</t>
        </is>
      </c>
      <c r="D147" s="58">
        <f>F147+H147</f>
        <v/>
      </c>
      <c r="E147" s="60">
        <f>G147+I147</f>
        <v/>
      </c>
      <c r="F147" s="6" t="n"/>
      <c r="G147" s="6" t="n"/>
      <c r="H147" s="6" t="n"/>
      <c r="I147" s="29" t="n"/>
      <c r="J147" s="58">
        <f>SUM(K147:Q147)</f>
        <v/>
      </c>
      <c r="K147" s="6" t="n"/>
      <c r="L147" s="6" t="n"/>
      <c r="M147" s="6" t="n"/>
      <c r="N147" s="6" t="n"/>
      <c r="O147" s="6" t="n"/>
      <c r="P147" s="6" t="n"/>
      <c r="Q147" s="29" t="n"/>
      <c r="R147" s="58">
        <f>IF(J147-D147&lt;0,0,J147-D147)</f>
        <v/>
      </c>
      <c r="S147" s="60">
        <f>IF(D147-J147&lt;0,0,D147-J147)</f>
        <v/>
      </c>
      <c r="T147" s="29" t="n"/>
      <c r="U147" s="47">
        <f>SUM(D147:T147)</f>
        <v/>
      </c>
    </row>
    <row r="148" ht="34.5" customHeight="1">
      <c r="A148" s="38" t="n"/>
      <c r="B148" s="5" t="inlineStr">
        <is>
          <t>напівпричіп “АЛКА”</t>
        </is>
      </c>
      <c r="C148" s="39" t="inlineStr">
        <is>
          <t>к-т</t>
        </is>
      </c>
      <c r="D148" s="58">
        <f>F148+H148</f>
        <v/>
      </c>
      <c r="E148" s="60">
        <f>G148+I148</f>
        <v/>
      </c>
      <c r="F148" s="6" t="n"/>
      <c r="G148" s="6" t="n"/>
      <c r="H148" s="6" t="n"/>
      <c r="I148" s="29" t="n"/>
      <c r="J148" s="58">
        <f>SUM(K148:Q148)</f>
        <v/>
      </c>
      <c r="K148" s="6" t="n"/>
      <c r="L148" s="6" t="n"/>
      <c r="M148" s="6" t="n"/>
      <c r="N148" s="6" t="n"/>
      <c r="O148" s="6" t="n"/>
      <c r="P148" s="6" t="n"/>
      <c r="Q148" s="29" t="n"/>
      <c r="R148" s="58">
        <f>IF(J148-D148&lt;0,0,J148-D148)</f>
        <v/>
      </c>
      <c r="S148" s="60">
        <f>IF(D148-J148&lt;0,0,D148-J148)</f>
        <v/>
      </c>
      <c r="T148" s="29" t="n"/>
      <c r="U148" s="47">
        <f>SUM(D148:T148)</f>
        <v/>
      </c>
    </row>
    <row r="149" ht="34.5" customHeight="1">
      <c r="A149" s="38" t="n"/>
      <c r="B149" s="13" t="inlineStr">
        <is>
          <t>контейнер ізотермічний (кузов універсальний негабаритний)</t>
        </is>
      </c>
      <c r="C149" s="39" t="inlineStr">
        <is>
          <t>к-т</t>
        </is>
      </c>
      <c r="D149" s="58">
        <f>F149+H149</f>
        <v/>
      </c>
      <c r="E149" s="60">
        <f>G149+I149</f>
        <v/>
      </c>
      <c r="F149" s="6" t="n"/>
      <c r="G149" s="6" t="n"/>
      <c r="H149" s="6" t="n"/>
      <c r="I149" s="29" t="n"/>
      <c r="J149" s="58">
        <f>SUM(K149:Q149)</f>
        <v/>
      </c>
      <c r="K149" s="6" t="n"/>
      <c r="L149" s="6" t="n"/>
      <c r="M149" s="6" t="n"/>
      <c r="N149" s="6" t="n"/>
      <c r="O149" s="6" t="n"/>
      <c r="P149" s="6" t="n"/>
      <c r="Q149" s="29" t="n"/>
      <c r="R149" s="58">
        <f>IF(J149-D149&lt;0,0,J149-D149)</f>
        <v/>
      </c>
      <c r="S149" s="60">
        <f>IF(D149-J149&lt;0,0,D149-J149)</f>
        <v/>
      </c>
      <c r="T149" s="29" t="n"/>
      <c r="U149" s="47">
        <f>SUM(D149:T149)</f>
        <v/>
      </c>
    </row>
    <row r="150" ht="34.5" customHeight="1">
      <c r="A150" s="38" t="n"/>
      <c r="B150" s="5" t="inlineStr">
        <is>
          <t>причіп бортовий</t>
        </is>
      </c>
      <c r="C150" s="39" t="inlineStr">
        <is>
          <t>к-т</t>
        </is>
      </c>
      <c r="D150" s="58">
        <f>F150+H150</f>
        <v/>
      </c>
      <c r="E150" s="60">
        <f>G150+I150</f>
        <v/>
      </c>
      <c r="F150" s="6" t="n"/>
      <c r="G150" s="6" t="n"/>
      <c r="H150" s="6" t="n"/>
      <c r="I150" s="29" t="n"/>
      <c r="J150" s="58">
        <f>SUM(K150:Q150)</f>
        <v/>
      </c>
      <c r="K150" s="6" t="n"/>
      <c r="L150" s="6" t="n"/>
      <c r="M150" s="6" t="n"/>
      <c r="N150" s="6" t="n"/>
      <c r="O150" s="6" t="n"/>
      <c r="P150" s="6" t="n"/>
      <c r="Q150" s="29" t="n"/>
      <c r="R150" s="58">
        <f>IF(J150-D150&lt;0,0,J150-D150)</f>
        <v/>
      </c>
      <c r="S150" s="60">
        <f>IF(D150-J150&lt;0,0,D150-J150)</f>
        <v/>
      </c>
      <c r="T150" s="29" t="n"/>
      <c r="U150" s="47">
        <f>SUM(D150:T150)</f>
        <v/>
      </c>
    </row>
    <row r="151" ht="34.5" customHeight="1">
      <c r="A151" s="38" t="n"/>
      <c r="B151" s="5" t="inlineStr">
        <is>
          <t>причіп ізотермічний</t>
        </is>
      </c>
      <c r="C151" s="39" t="inlineStr">
        <is>
          <t>к-т</t>
        </is>
      </c>
      <c r="D151" s="58">
        <f>F151+H151</f>
        <v/>
      </c>
      <c r="E151" s="60">
        <f>G151+I151</f>
        <v/>
      </c>
      <c r="F151" s="6" t="n"/>
      <c r="G151" s="6" t="n"/>
      <c r="H151" s="6" t="n"/>
      <c r="I151" s="29" t="n"/>
      <c r="J151" s="58">
        <f>SUM(K151:Q151)</f>
        <v/>
      </c>
      <c r="K151" s="6" t="n"/>
      <c r="L151" s="6" t="n"/>
      <c r="M151" s="6" t="n"/>
      <c r="N151" s="6" t="n"/>
      <c r="O151" s="6" t="n"/>
      <c r="P151" s="6" t="n"/>
      <c r="Q151" s="29" t="n"/>
      <c r="R151" s="58">
        <f>IF(J151-D151&lt;0,0,J151-D151)</f>
        <v/>
      </c>
      <c r="S151" s="60">
        <f>IF(D151-J151&lt;0,0,D151-J151)</f>
        <v/>
      </c>
      <c r="T151" s="29" t="n"/>
      <c r="U151" s="47">
        <f>SUM(D151:T151)</f>
        <v/>
      </c>
    </row>
    <row r="152" ht="34.5" customHeight="1">
      <c r="A152" s="38" t="n"/>
      <c r="B152" s="7" t="n"/>
      <c r="C152" s="32" t="n"/>
      <c r="D152" s="58">
        <f>F152+H152</f>
        <v/>
      </c>
      <c r="E152" s="60">
        <f>G152+I152</f>
        <v/>
      </c>
      <c r="F152" s="6" t="n"/>
      <c r="G152" s="6" t="n"/>
      <c r="H152" s="6" t="n"/>
      <c r="I152" s="29" t="n"/>
      <c r="J152" s="58">
        <f>SUM(K152:Q152)</f>
        <v/>
      </c>
      <c r="K152" s="6" t="n"/>
      <c r="L152" s="6" t="n"/>
      <c r="M152" s="6" t="n"/>
      <c r="N152" s="6" t="n"/>
      <c r="O152" s="6" t="n"/>
      <c r="P152" s="6" t="n"/>
      <c r="Q152" s="29" t="n"/>
      <c r="R152" s="58">
        <f>IF(J152-D152&lt;0,0,J152-D152)</f>
        <v/>
      </c>
      <c r="S152" s="60">
        <f>IF(D152-J152&lt;0,0,D152-J152)</f>
        <v/>
      </c>
      <c r="T152" s="29" t="n"/>
      <c r="U152" s="47">
        <f>SUM(D152:T152)</f>
        <v/>
      </c>
    </row>
    <row r="153" ht="34.5" customHeight="1">
      <c r="A153" s="38" t="n"/>
      <c r="B153" s="7" t="n"/>
      <c r="C153" s="32" t="n"/>
      <c r="D153" s="58">
        <f>F153+H153</f>
        <v/>
      </c>
      <c r="E153" s="60">
        <f>G153+I153</f>
        <v/>
      </c>
      <c r="F153" s="6" t="n"/>
      <c r="G153" s="6" t="n"/>
      <c r="H153" s="6" t="n"/>
      <c r="I153" s="29" t="n"/>
      <c r="J153" s="58">
        <f>SUM(K153:Q153)</f>
        <v/>
      </c>
      <c r="K153" s="6" t="n"/>
      <c r="L153" s="6" t="n"/>
      <c r="M153" s="6" t="n"/>
      <c r="N153" s="6" t="n"/>
      <c r="O153" s="6" t="n"/>
      <c r="P153" s="6" t="n"/>
      <c r="Q153" s="29" t="n"/>
      <c r="R153" s="58">
        <f>IF(J153-D153&lt;0,0,J153-D153)</f>
        <v/>
      </c>
      <c r="S153" s="60">
        <f>IF(D153-J153&lt;0,0,D153-J153)</f>
        <v/>
      </c>
      <c r="T153" s="29" t="n"/>
      <c r="U153" s="47">
        <f>SUM(D153:T153)</f>
        <v/>
      </c>
    </row>
    <row r="154" ht="34.5" customHeight="1">
      <c r="A154" s="38" t="n"/>
      <c r="B154" s="7" t="n"/>
      <c r="C154" s="32" t="n"/>
      <c r="D154" s="58">
        <f>F154+H154</f>
        <v/>
      </c>
      <c r="E154" s="60">
        <f>G154+I154</f>
        <v/>
      </c>
      <c r="F154" s="6" t="n"/>
      <c r="G154" s="6" t="n"/>
      <c r="H154" s="6" t="n"/>
      <c r="I154" s="29" t="n"/>
      <c r="J154" s="58">
        <f>SUM(K154:Q154)</f>
        <v/>
      </c>
      <c r="K154" s="6" t="n"/>
      <c r="L154" s="6" t="n"/>
      <c r="M154" s="6" t="n"/>
      <c r="N154" s="6" t="n"/>
      <c r="O154" s="6" t="n"/>
      <c r="P154" s="6" t="n"/>
      <c r="Q154" s="29" t="n"/>
      <c r="R154" s="58">
        <f>IF(J154-D154&lt;0,0,J154-D154)</f>
        <v/>
      </c>
      <c r="S154" s="60">
        <f>IF(D154-J154&lt;0,0,D154-J154)</f>
        <v/>
      </c>
      <c r="T154" s="29" t="n"/>
      <c r="U154" s="47">
        <f>SUM(D154:T154)</f>
        <v/>
      </c>
    </row>
    <row r="155" ht="34.5" customHeight="1">
      <c r="A155" s="38" t="n"/>
      <c r="B155" s="7" t="n"/>
      <c r="C155" s="32" t="n"/>
      <c r="D155" s="58">
        <f>F155+H155</f>
        <v/>
      </c>
      <c r="E155" s="60">
        <f>G155+I155</f>
        <v/>
      </c>
      <c r="F155" s="6" t="n"/>
      <c r="G155" s="6" t="n"/>
      <c r="H155" s="6" t="n"/>
      <c r="I155" s="29" t="n"/>
      <c r="J155" s="58">
        <f>SUM(K155:Q155)</f>
        <v/>
      </c>
      <c r="K155" s="6" t="n"/>
      <c r="L155" s="6" t="n"/>
      <c r="M155" s="6" t="n"/>
      <c r="N155" s="6" t="n"/>
      <c r="O155" s="6" t="n"/>
      <c r="P155" s="6" t="n"/>
      <c r="Q155" s="29" t="n"/>
      <c r="R155" s="58">
        <f>IF(J155-D155&lt;0,0,J155-D155)</f>
        <v/>
      </c>
      <c r="S155" s="60">
        <f>IF(D155-J155&lt;0,0,D155-J155)</f>
        <v/>
      </c>
      <c r="T155" s="29" t="n"/>
      <c r="U155" s="47">
        <f>SUM(D155:T155)</f>
        <v/>
      </c>
    </row>
    <row r="156" ht="34.5" customHeight="1">
      <c r="A156" s="37" t="n">
        <v>13</v>
      </c>
      <c r="B156" s="3" t="inlineStr">
        <is>
          <t>Засоби підвозу води автомобільні:</t>
        </is>
      </c>
      <c r="C156" s="28" t="inlineStr">
        <is>
          <t>к-т</t>
        </is>
      </c>
      <c r="D156" s="27">
        <f>F156+H156</f>
        <v/>
      </c>
      <c r="E156" s="4">
        <f>G156+I156</f>
        <v/>
      </c>
      <c r="F156" s="4">
        <f>F157+F158+F159+F160+F161+F162+F163+F164+F165+F166+F167+F168+F169+F170+F171+F172+F173+F174+F175+F176+F177+F178+F179+F180+F181+F182+F194+F195+F196+F204+F205+F206+F207+F208+F209+F210+F211+F212</f>
        <v/>
      </c>
      <c r="G156" s="4">
        <f>G157+G158+G159+G160+G161+G162+G163+G164+G165+G166+G167+G168+G169+G170+G171+G172+G173+G174+G175+G176+G177+G178+G179+G180+G181+G182+G194+G195+G196+G204+G205+G206+G207+G208+G209+G210+G211+G212</f>
        <v/>
      </c>
      <c r="H156" s="4">
        <f>H157+H158+H159+H160+H161+H162+H163+H164+H165+H166+H167+H168+H169+H170+H171+H172+H173+H174+H175+H176+H177+H178+H179+H180+H181+H182+H194+H195+H196+H204+H205+H206+H207+H208+H209+H210+H211+H212</f>
        <v/>
      </c>
      <c r="I156" s="28">
        <f>I157+I158+I159+I160+I161+I162+I163+I164+I165+I166+I167+I168+I169+I170+I171+I172+I173+I174+I175+I176+I177+I178+I179+I180+I181+I182+I194+I195+I196+I204+I205+I206+I207+I208+I209+I210+I211+I212</f>
        <v/>
      </c>
      <c r="J156" s="27">
        <f>SUM(K156:Q156)</f>
        <v/>
      </c>
      <c r="K156" s="4">
        <f>K157+K158+K159+K160+K161+K162+K163+K164+K165+K166+K167+K168+K169+K170+K171+K172+K173+K174+K175+K176+K177+K178+K179+K180+K181+K182+K194+K195+K196+K204+K205+K206+K207+K208+K209+K210+K211+K212</f>
        <v/>
      </c>
      <c r="L156" s="4">
        <f>L157+L158+L159+L160+L161+L162+L163+L164+L165+L166+L167+L168+L169+L170+L171+L172+L173+L174+L175+L176+L177+L178+L179+L180+L181+L182+L194+L195+L196+L204+L205+L206+L207+L208+L209+L210+L211+L212</f>
        <v/>
      </c>
      <c r="M156" s="4">
        <f>M157+M158+M159+M160+M161+M162+M163+M164+M165+M166+M167+M168+M169+M170+M171+M172+M173+M174+M175+M176+M177+M178+M179+M180+M181+M182+M194+M195+M196+M204+M205+M206+M207+M208+M209+M210+M211+M212</f>
        <v/>
      </c>
      <c r="N156" s="4">
        <f>N157+N158+N159+N160+N161+N162+N163+N164+N165+N166+N167+N168+N169+N170+N171+N172+N173+N174+N175+N176+N177+N178+N179+N180+N181+N182+N194+N195+N196+N204+N205+N206+N207+N208+N209+N210+N211+N212</f>
        <v/>
      </c>
      <c r="O156" s="4">
        <f>O157+O158+O159+O160+O161+O162+O163+O164+O165+O166+O167+O168+O169+O170+O171+O172+O173+O174+O175+O176+O177+O178+O179+O180+O181+O182+O194+O195+O196+O204+O205+O206+O207+O208+O209+O210+O211+O212</f>
        <v/>
      </c>
      <c r="P156" s="4">
        <f>P157+P158+P159+P160+P161+P162+P163+P164+P165+P166+P167+P168+P169+P170+P171+P172+P173+P174+P175+P176+P177+P178+P179+P180+P181+P182+P194+P195+P196+P204+P205+P206+P207+P208+P209+P210+P211+P212</f>
        <v/>
      </c>
      <c r="Q156" s="28">
        <f>Q157+Q158+Q159+Q160+Q161+Q162+Q163+Q164+Q165+Q166+Q167+Q168+Q169+Q170+Q171+Q172+Q173+Q174+Q175+Q176+Q177+Q178+Q179+Q180+Q181+Q182+Q194+Q195+Q196+Q204+Q205+Q206+Q207+Q208+Q209+Q210+Q211+Q212</f>
        <v/>
      </c>
      <c r="R156" s="27">
        <f>IF(J156-D156&lt;0,0,J156-D156)</f>
        <v/>
      </c>
      <c r="S156" s="4">
        <f>IF(D156-J156&lt;0,0,D156-J156)</f>
        <v/>
      </c>
      <c r="T156" s="28">
        <f>T157+T158+T159+T160+T161+T162+T163+T164+T165+T166+T167+T168+T169+T170+T171+T172+T173+T174+T175+T176+T177+T178+T179+T180+T181+T182+T194+T195+T196+T204+T205+T206+T207+T208+T209+T210+T211+T212</f>
        <v/>
      </c>
      <c r="U156" s="47">
        <f>SUM(D156:T156)</f>
        <v/>
      </c>
    </row>
    <row r="157" ht="34.5" customHeight="1">
      <c r="A157" s="38" t="n"/>
      <c r="B157" s="5" t="inlineStr">
        <is>
          <t>автомобіль-цистерна для води АЦПВ-6,0</t>
        </is>
      </c>
      <c r="C157" s="39" t="inlineStr">
        <is>
          <t>к-т</t>
        </is>
      </c>
      <c r="D157" s="58">
        <f>F157+H157</f>
        <v/>
      </c>
      <c r="E157" s="60">
        <f>G157+I157</f>
        <v/>
      </c>
      <c r="F157" s="6" t="n"/>
      <c r="G157" s="6" t="n"/>
      <c r="H157" s="6" t="n"/>
      <c r="I157" s="29" t="n"/>
      <c r="J157" s="58">
        <f>SUM(K157:Q157)</f>
        <v/>
      </c>
      <c r="K157" s="6" t="n"/>
      <c r="L157" s="6" t="n"/>
      <c r="M157" s="6" t="n"/>
      <c r="N157" s="6" t="n"/>
      <c r="O157" s="6" t="n"/>
      <c r="P157" s="6" t="n"/>
      <c r="Q157" s="29" t="n"/>
      <c r="R157" s="58">
        <f>IF(J157-D157&lt;0,0,J157-D157)</f>
        <v/>
      </c>
      <c r="S157" s="60">
        <f>IF(D157-J157&lt;0,0,D157-J157)</f>
        <v/>
      </c>
      <c r="T157" s="29" t="n"/>
      <c r="U157" s="47">
        <f>SUM(D157:T157)</f>
        <v/>
      </c>
    </row>
    <row r="158" ht="34.5" customHeight="1">
      <c r="A158" s="38" t="n"/>
      <c r="B158" s="5" t="inlineStr">
        <is>
          <t>автомобіль-цистерна для води АЦПТ-5,0</t>
        </is>
      </c>
      <c r="C158" s="39" t="inlineStr">
        <is>
          <t>к-т</t>
        </is>
      </c>
      <c r="D158" s="58">
        <f>F158+H158</f>
        <v/>
      </c>
      <c r="E158" s="60">
        <f>G158+I158</f>
        <v/>
      </c>
      <c r="F158" s="6" t="n"/>
      <c r="G158" s="6" t="n"/>
      <c r="H158" s="6" t="n"/>
      <c r="I158" s="29" t="n"/>
      <c r="J158" s="58">
        <f>SUM(K158:Q158)</f>
        <v/>
      </c>
      <c r="K158" s="6" t="n"/>
      <c r="L158" s="6" t="n"/>
      <c r="M158" s="6" t="n"/>
      <c r="N158" s="6" t="n"/>
      <c r="O158" s="6" t="n"/>
      <c r="P158" s="6" t="n"/>
      <c r="Q158" s="29" t="n"/>
      <c r="R158" s="58">
        <f>IF(J158-D158&lt;0,0,J158-D158)</f>
        <v/>
      </c>
      <c r="S158" s="60">
        <f>IF(D158-J158&lt;0,0,D158-J158)</f>
        <v/>
      </c>
      <c r="T158" s="29" t="n"/>
      <c r="U158" s="47">
        <f>SUM(D158:T158)</f>
        <v/>
      </c>
    </row>
    <row r="159" ht="34.5" customHeight="1">
      <c r="A159" s="38" t="n"/>
      <c r="B159" s="5" t="inlineStr">
        <is>
          <t>автомобіль-цистерна для води АЦПТ-4,1</t>
        </is>
      </c>
      <c r="C159" s="39" t="inlineStr">
        <is>
          <t>к-т</t>
        </is>
      </c>
      <c r="D159" s="58">
        <f>F159+H159</f>
        <v/>
      </c>
      <c r="E159" s="60">
        <f>G159+I159</f>
        <v/>
      </c>
      <c r="F159" s="6" t="n"/>
      <c r="G159" s="6" t="n"/>
      <c r="H159" s="6" t="n"/>
      <c r="I159" s="29" t="n"/>
      <c r="J159" s="58">
        <f>SUM(K159:Q159)</f>
        <v/>
      </c>
      <c r="K159" s="6" t="n"/>
      <c r="L159" s="6" t="n"/>
      <c r="M159" s="6" t="n"/>
      <c r="N159" s="6" t="n"/>
      <c r="O159" s="6" t="n"/>
      <c r="P159" s="6" t="n"/>
      <c r="Q159" s="29" t="n"/>
      <c r="R159" s="58">
        <f>IF(J159-D159&lt;0,0,J159-D159)</f>
        <v/>
      </c>
      <c r="S159" s="60">
        <f>IF(D159-J159&lt;0,0,D159-J159)</f>
        <v/>
      </c>
      <c r="T159" s="29" t="n"/>
      <c r="U159" s="47">
        <f>SUM(D159:T159)</f>
        <v/>
      </c>
    </row>
    <row r="160" ht="34.5" customHeight="1">
      <c r="A160" s="38" t="n"/>
      <c r="B160" s="5" t="inlineStr">
        <is>
          <t>автотопливозаправник АТЗ-4-131</t>
        </is>
      </c>
      <c r="C160" s="39" t="inlineStr">
        <is>
          <t>к-т</t>
        </is>
      </c>
      <c r="D160" s="58">
        <f>F160+H160</f>
        <v/>
      </c>
      <c r="E160" s="60">
        <f>G160+I160</f>
        <v/>
      </c>
      <c r="F160" s="6" t="n"/>
      <c r="G160" s="6" t="n"/>
      <c r="H160" s="6" t="n"/>
      <c r="I160" s="29" t="n"/>
      <c r="J160" s="58">
        <f>SUM(K160:Q160)</f>
        <v/>
      </c>
      <c r="K160" s="6" t="n"/>
      <c r="L160" s="6" t="n"/>
      <c r="M160" s="6" t="n"/>
      <c r="N160" s="6" t="n"/>
      <c r="O160" s="6" t="n"/>
      <c r="P160" s="6" t="n"/>
      <c r="Q160" s="29" t="n"/>
      <c r="R160" s="58">
        <f>IF(J160-D160&lt;0,0,J160-D160)</f>
        <v/>
      </c>
      <c r="S160" s="60">
        <f>IF(D160-J160&lt;0,0,D160-J160)</f>
        <v/>
      </c>
      <c r="T160" s="29" t="n"/>
      <c r="U160" s="47">
        <f>SUM(D160:T160)</f>
        <v/>
      </c>
    </row>
    <row r="161" ht="34.5" customHeight="1">
      <c r="A161" s="38" t="n"/>
      <c r="B161" s="5" t="inlineStr">
        <is>
          <t>автотопливозаправник АТЗ-4,4-131</t>
        </is>
      </c>
      <c r="C161" s="39" t="inlineStr">
        <is>
          <t>к-т</t>
        </is>
      </c>
      <c r="D161" s="58">
        <f>F161+H161</f>
        <v/>
      </c>
      <c r="E161" s="60">
        <f>G161+I161</f>
        <v/>
      </c>
      <c r="F161" s="6" t="n"/>
      <c r="G161" s="6" t="n"/>
      <c r="H161" s="6" t="n"/>
      <c r="I161" s="29" t="n"/>
      <c r="J161" s="58">
        <f>SUM(K161:Q161)</f>
        <v/>
      </c>
      <c r="K161" s="6" t="n"/>
      <c r="L161" s="6" t="n"/>
      <c r="M161" s="6" t="n"/>
      <c r="N161" s="6" t="n"/>
      <c r="O161" s="6" t="n"/>
      <c r="P161" s="6" t="n"/>
      <c r="Q161" s="29" t="n"/>
      <c r="R161" s="58">
        <f>IF(J161-D161&lt;0,0,J161-D161)</f>
        <v/>
      </c>
      <c r="S161" s="60">
        <f>IF(D161-J161&lt;0,0,D161-J161)</f>
        <v/>
      </c>
      <c r="T161" s="29" t="n"/>
      <c r="U161" s="47">
        <f>SUM(D161:T161)</f>
        <v/>
      </c>
    </row>
    <row r="162" ht="34.5" customHeight="1">
      <c r="A162" s="38" t="n"/>
      <c r="B162" s="14" t="inlineStr">
        <is>
          <t>автомобіль-цистерна для води АВЦ-1,7 (ВТА-1,8)</t>
        </is>
      </c>
      <c r="C162" s="39" t="inlineStr">
        <is>
          <t>к-т</t>
        </is>
      </c>
      <c r="D162" s="58">
        <f>F162+H162</f>
        <v/>
      </c>
      <c r="E162" s="60">
        <f>G162+I162</f>
        <v/>
      </c>
      <c r="F162" s="6" t="n"/>
      <c r="G162" s="6" t="n"/>
      <c r="H162" s="6" t="n"/>
      <c r="I162" s="29" t="n"/>
      <c r="J162" s="58">
        <f>SUM(K162:Q162)</f>
        <v/>
      </c>
      <c r="K162" s="6" t="n"/>
      <c r="L162" s="6" t="n"/>
      <c r="M162" s="6" t="n"/>
      <c r="N162" s="6" t="n"/>
      <c r="O162" s="6" t="n"/>
      <c r="P162" s="6" t="n"/>
      <c r="Q162" s="29" t="n"/>
      <c r="R162" s="58">
        <f>IF(J162-D162&lt;0,0,J162-D162)</f>
        <v/>
      </c>
      <c r="S162" s="60">
        <f>IF(D162-J162&lt;0,0,D162-J162)</f>
        <v/>
      </c>
      <c r="T162" s="29" t="n"/>
      <c r="U162" s="47">
        <f>SUM(D162:T162)</f>
        <v/>
      </c>
    </row>
    <row r="163" ht="34.5" customHeight="1">
      <c r="A163" s="38" t="n"/>
      <c r="B163" s="5" t="inlineStr">
        <is>
          <t>авторозливна станція АРС-14</t>
        </is>
      </c>
      <c r="C163" s="39" t="inlineStr">
        <is>
          <t>к-т</t>
        </is>
      </c>
      <c r="D163" s="58">
        <f>F163+H163</f>
        <v/>
      </c>
      <c r="E163" s="60">
        <f>G163+I163</f>
        <v/>
      </c>
      <c r="F163" s="6" t="n"/>
      <c r="G163" s="6" t="n"/>
      <c r="H163" s="6" t="n"/>
      <c r="I163" s="29" t="n"/>
      <c r="J163" s="58">
        <f>SUM(K163:Q163)</f>
        <v/>
      </c>
      <c r="K163" s="6" t="n"/>
      <c r="L163" s="6" t="n"/>
      <c r="M163" s="6" t="n"/>
      <c r="N163" s="6" t="n"/>
      <c r="O163" s="6" t="n"/>
      <c r="P163" s="6" t="n"/>
      <c r="Q163" s="29" t="n"/>
      <c r="R163" s="58">
        <f>IF(J163-D163&lt;0,0,J163-D163)</f>
        <v/>
      </c>
      <c r="S163" s="60">
        <f>IF(D163-J163&lt;0,0,D163-J163)</f>
        <v/>
      </c>
      <c r="T163" s="29" t="n"/>
      <c r="U163" s="47">
        <f>SUM(D163:T163)</f>
        <v/>
      </c>
    </row>
    <row r="164" ht="34.5" customHeight="1">
      <c r="A164" s="38" t="n"/>
      <c r="B164" s="5" t="inlineStr">
        <is>
          <t>автопаливозаправник ТЗ-2-66Д</t>
        </is>
      </c>
      <c r="C164" s="39" t="inlineStr">
        <is>
          <t>к-т</t>
        </is>
      </c>
      <c r="D164" s="58">
        <f>F164+H164</f>
        <v/>
      </c>
      <c r="E164" s="60">
        <f>G164+I164</f>
        <v/>
      </c>
      <c r="F164" s="6" t="n"/>
      <c r="G164" s="6" t="n"/>
      <c r="H164" s="6" t="n"/>
      <c r="I164" s="29" t="n"/>
      <c r="J164" s="58">
        <f>SUM(K164:Q164)</f>
        <v/>
      </c>
      <c r="K164" s="6" t="n"/>
      <c r="L164" s="6" t="n"/>
      <c r="M164" s="6" t="n"/>
      <c r="N164" s="6" t="n"/>
      <c r="O164" s="6" t="n"/>
      <c r="P164" s="6" t="n"/>
      <c r="Q164" s="29" t="n"/>
      <c r="R164" s="58">
        <f>IF(J164-D164&lt;0,0,J164-D164)</f>
        <v/>
      </c>
      <c r="S164" s="60">
        <f>IF(D164-J164&lt;0,0,D164-J164)</f>
        <v/>
      </c>
      <c r="T164" s="29" t="n"/>
      <c r="U164" s="47">
        <f>SUM(D164:T164)</f>
        <v/>
      </c>
    </row>
    <row r="165" ht="34.5" customHeight="1">
      <c r="A165" s="38" t="n"/>
      <c r="B165" s="5" t="inlineStr">
        <is>
          <t>автомобіль-цистерна для води ТСВ-6-1305</t>
        </is>
      </c>
      <c r="C165" s="39" t="inlineStr">
        <is>
          <t>к-т</t>
        </is>
      </c>
      <c r="D165" s="58">
        <f>F165+H165</f>
        <v/>
      </c>
      <c r="E165" s="60">
        <f>G165+I165</f>
        <v/>
      </c>
      <c r="F165" s="6" t="n"/>
      <c r="G165" s="6" t="n"/>
      <c r="H165" s="6" t="n"/>
      <c r="I165" s="29" t="n"/>
      <c r="J165" s="58">
        <f>SUM(K165:Q165)</f>
        <v/>
      </c>
      <c r="K165" s="6" t="n"/>
      <c r="L165" s="6" t="n"/>
      <c r="M165" s="6" t="n"/>
      <c r="N165" s="6" t="n"/>
      <c r="O165" s="6" t="n"/>
      <c r="P165" s="6" t="n"/>
      <c r="Q165" s="29" t="n"/>
      <c r="R165" s="58">
        <f>IF(J165-D165&lt;0,0,J165-D165)</f>
        <v/>
      </c>
      <c r="S165" s="60">
        <f>IF(D165-J165&lt;0,0,D165-J165)</f>
        <v/>
      </c>
      <c r="T165" s="29" t="n"/>
      <c r="U165" s="47">
        <f>SUM(D165:T165)</f>
        <v/>
      </c>
    </row>
    <row r="166" ht="34.5" customHeight="1">
      <c r="A166" s="38" t="n"/>
      <c r="B166" s="5" t="inlineStr">
        <is>
          <t>обмивачно-нейтрелізаційна машина 8Т11М</t>
        </is>
      </c>
      <c r="C166" s="39" t="inlineStr">
        <is>
          <t>к-т</t>
        </is>
      </c>
      <c r="D166" s="58">
        <f>F166+H166</f>
        <v/>
      </c>
      <c r="E166" s="60">
        <f>G166+I166</f>
        <v/>
      </c>
      <c r="F166" s="6" t="n"/>
      <c r="G166" s="6" t="n"/>
      <c r="H166" s="6" t="n"/>
      <c r="I166" s="29" t="n"/>
      <c r="J166" s="58">
        <f>SUM(K166:Q166)</f>
        <v/>
      </c>
      <c r="K166" s="6" t="n"/>
      <c r="L166" s="6" t="n"/>
      <c r="M166" s="6" t="n"/>
      <c r="N166" s="6" t="n"/>
      <c r="O166" s="6" t="n"/>
      <c r="P166" s="6" t="n"/>
      <c r="Q166" s="29" t="n"/>
      <c r="R166" s="58">
        <f>IF(J166-D166&lt;0,0,J166-D166)</f>
        <v/>
      </c>
      <c r="S166" s="60">
        <f>IF(D166-J166&lt;0,0,D166-J166)</f>
        <v/>
      </c>
      <c r="T166" s="29" t="n"/>
      <c r="U166" s="47">
        <f>SUM(D166:T166)</f>
        <v/>
      </c>
    </row>
    <row r="167" ht="34.5" customHeight="1">
      <c r="A167" s="38" t="n"/>
      <c r="B167" s="5" t="inlineStr">
        <is>
          <t>спеціальна цистерна харчова 5,0</t>
        </is>
      </c>
      <c r="C167" s="39" t="inlineStr">
        <is>
          <t>к-т</t>
        </is>
      </c>
      <c r="D167" s="58">
        <f>F167+H167</f>
        <v/>
      </c>
      <c r="E167" s="60">
        <f>G167+I167</f>
        <v/>
      </c>
      <c r="F167" s="6" t="n"/>
      <c r="G167" s="6" t="n"/>
      <c r="H167" s="6" t="n"/>
      <c r="I167" s="29" t="n"/>
      <c r="J167" s="58">
        <f>SUM(K167:Q167)</f>
        <v/>
      </c>
      <c r="K167" s="6" t="n"/>
      <c r="L167" s="6" t="n"/>
      <c r="M167" s="6" t="n"/>
      <c r="N167" s="6" t="n"/>
      <c r="O167" s="6" t="n"/>
      <c r="P167" s="6" t="n"/>
      <c r="Q167" s="29" t="n"/>
      <c r="R167" s="58">
        <f>IF(J167-D167&lt;0,0,J167-D167)</f>
        <v/>
      </c>
      <c r="S167" s="60">
        <f>IF(D167-J167&lt;0,0,D167-J167)</f>
        <v/>
      </c>
      <c r="T167" s="29" t="n"/>
      <c r="U167" s="47">
        <f>SUM(D167:T167)</f>
        <v/>
      </c>
    </row>
    <row r="168" ht="34.5" customHeight="1">
      <c r="A168" s="38" t="n"/>
      <c r="B168" s="5" t="inlineStr">
        <is>
          <t>автоцистерна для води АВЦ-2,0 (молоковоз)</t>
        </is>
      </c>
      <c r="C168" s="39" t="inlineStr">
        <is>
          <t>к-т</t>
        </is>
      </c>
      <c r="D168" s="58">
        <f>F168+H168</f>
        <v/>
      </c>
      <c r="E168" s="60">
        <f>G168+I168</f>
        <v/>
      </c>
      <c r="F168" s="6" t="n"/>
      <c r="G168" s="6" t="n"/>
      <c r="H168" s="6" t="n"/>
      <c r="I168" s="29" t="n"/>
      <c r="J168" s="58">
        <f>SUM(K168:Q168)</f>
        <v/>
      </c>
      <c r="K168" s="6" t="n"/>
      <c r="L168" s="6" t="n"/>
      <c r="M168" s="6" t="n"/>
      <c r="N168" s="6" t="n"/>
      <c r="O168" s="6" t="n"/>
      <c r="P168" s="6" t="n"/>
      <c r="Q168" s="29" t="n"/>
      <c r="R168" s="58">
        <f>IF(J168-D168&lt;0,0,J168-D168)</f>
        <v/>
      </c>
      <c r="S168" s="60">
        <f>IF(D168-J168&lt;0,0,D168-J168)</f>
        <v/>
      </c>
      <c r="T168" s="29" t="n"/>
      <c r="U168" s="47">
        <f>SUM(D168:T168)</f>
        <v/>
      </c>
    </row>
    <row r="169" ht="34.5" customHeight="1">
      <c r="A169" s="38" t="n"/>
      <c r="B169" s="5" t="inlineStr">
        <is>
          <t>цистерна для води ГАЗ-3309 Г6-ОТА-3,9</t>
        </is>
      </c>
      <c r="C169" s="39" t="inlineStr">
        <is>
          <t>к-т</t>
        </is>
      </c>
      <c r="D169" s="58">
        <f>F169+H169</f>
        <v/>
      </c>
      <c r="E169" s="60">
        <f>G169+I169</f>
        <v/>
      </c>
      <c r="F169" s="6" t="n"/>
      <c r="G169" s="6" t="n"/>
      <c r="H169" s="6" t="n"/>
      <c r="I169" s="29" t="n"/>
      <c r="J169" s="58">
        <f>SUM(K169:Q169)</f>
        <v/>
      </c>
      <c r="K169" s="6" t="n"/>
      <c r="L169" s="6" t="n"/>
      <c r="M169" s="6" t="n"/>
      <c r="N169" s="6" t="n"/>
      <c r="O169" s="6" t="n"/>
      <c r="P169" s="6" t="n"/>
      <c r="Q169" s="29" t="n"/>
      <c r="R169" s="58">
        <f>IF(J169-D169&lt;0,0,J169-D169)</f>
        <v/>
      </c>
      <c r="S169" s="60">
        <f>IF(D169-J169&lt;0,0,D169-J169)</f>
        <v/>
      </c>
      <c r="T169" s="29" t="n"/>
      <c r="U169" s="47">
        <f>SUM(D169:T169)</f>
        <v/>
      </c>
    </row>
    <row r="170" ht="34.5" customHeight="1">
      <c r="A170" s="38" t="n"/>
      <c r="B170" s="5" t="inlineStr">
        <is>
          <t xml:space="preserve">автоцистерна АЦ-2,0 </t>
        </is>
      </c>
      <c r="C170" s="39" t="inlineStr">
        <is>
          <t>к-т</t>
        </is>
      </c>
      <c r="D170" s="58">
        <f>F170+H170</f>
        <v/>
      </c>
      <c r="E170" s="60">
        <f>G170+I170</f>
        <v/>
      </c>
      <c r="F170" s="6" t="n"/>
      <c r="G170" s="6" t="n"/>
      <c r="H170" s="6" t="n"/>
      <c r="I170" s="29" t="n"/>
      <c r="J170" s="58">
        <f>SUM(K170:Q170)</f>
        <v/>
      </c>
      <c r="K170" s="6" t="n"/>
      <c r="L170" s="6" t="n"/>
      <c r="M170" s="6" t="n"/>
      <c r="N170" s="6" t="n"/>
      <c r="O170" s="6" t="n"/>
      <c r="P170" s="6" t="n"/>
      <c r="Q170" s="29" t="n"/>
      <c r="R170" s="58">
        <f>IF(J170-D170&lt;0,0,J170-D170)</f>
        <v/>
      </c>
      <c r="S170" s="60">
        <f>IF(D170-J170&lt;0,0,D170-J170)</f>
        <v/>
      </c>
      <c r="T170" s="29" t="n"/>
      <c r="U170" s="47">
        <f>SUM(D170:T170)</f>
        <v/>
      </c>
    </row>
    <row r="171" ht="34.5" customHeight="1">
      <c r="A171" s="38" t="n"/>
      <c r="B171" s="14" t="inlineStr">
        <is>
          <t>цистерна харчова ГАЗ-3307</t>
        </is>
      </c>
      <c r="C171" s="39" t="inlineStr">
        <is>
          <t>к-т</t>
        </is>
      </c>
      <c r="D171" s="58">
        <f>F171+H171</f>
        <v/>
      </c>
      <c r="E171" s="60">
        <f>G171+I171</f>
        <v/>
      </c>
      <c r="F171" s="6" t="n"/>
      <c r="G171" s="6" t="n"/>
      <c r="H171" s="6" t="n"/>
      <c r="I171" s="29" t="n"/>
      <c r="J171" s="58">
        <f>SUM(K171:Q171)</f>
        <v/>
      </c>
      <c r="K171" s="6" t="n"/>
      <c r="L171" s="6" t="n"/>
      <c r="M171" s="6" t="n"/>
      <c r="N171" s="6" t="n"/>
      <c r="O171" s="6" t="n"/>
      <c r="P171" s="6" t="n"/>
      <c r="Q171" s="29" t="n"/>
      <c r="R171" s="58">
        <f>IF(J171-D171&lt;0,0,J171-D171)</f>
        <v/>
      </c>
      <c r="S171" s="60">
        <f>IF(D171-J171&lt;0,0,D171-J171)</f>
        <v/>
      </c>
      <c r="T171" s="29" t="n"/>
      <c r="U171" s="47">
        <f>SUM(D171:T171)</f>
        <v/>
      </c>
    </row>
    <row r="172" ht="34.5" customHeight="1">
      <c r="A172" s="38" t="n"/>
      <c r="B172" s="14" t="inlineStr">
        <is>
          <t>цистерна харчова ЗІЛ-4314</t>
        </is>
      </c>
      <c r="C172" s="39" t="inlineStr">
        <is>
          <t>к-т</t>
        </is>
      </c>
      <c r="D172" s="58">
        <f>F172+H172</f>
        <v/>
      </c>
      <c r="E172" s="60">
        <f>G172+I172</f>
        <v/>
      </c>
      <c r="F172" s="6" t="n"/>
      <c r="G172" s="6" t="n"/>
      <c r="H172" s="6" t="n"/>
      <c r="I172" s="29" t="n"/>
      <c r="J172" s="58">
        <f>SUM(K172:Q172)</f>
        <v/>
      </c>
      <c r="K172" s="6" t="n"/>
      <c r="L172" s="6" t="n"/>
      <c r="M172" s="6" t="n"/>
      <c r="N172" s="6" t="n"/>
      <c r="O172" s="6" t="n"/>
      <c r="P172" s="6" t="n"/>
      <c r="Q172" s="29" t="n"/>
      <c r="R172" s="58">
        <f>IF(J172-D172&lt;0,0,J172-D172)</f>
        <v/>
      </c>
      <c r="S172" s="60">
        <f>IF(D172-J172&lt;0,0,D172-J172)</f>
        <v/>
      </c>
      <c r="T172" s="29" t="n"/>
      <c r="U172" s="47">
        <f>SUM(D172:T172)</f>
        <v/>
      </c>
    </row>
    <row r="173" ht="34.5" customHeight="1">
      <c r="A173" s="38" t="n"/>
      <c r="B173" s="14" t="inlineStr">
        <is>
          <t>цистерна для води 10м3 з автономною (дизельною) системою забору та подачі води</t>
        </is>
      </c>
      <c r="C173" s="39" t="inlineStr">
        <is>
          <t>к-т</t>
        </is>
      </c>
      <c r="D173" s="58">
        <f>F173+H173</f>
        <v/>
      </c>
      <c r="E173" s="60">
        <f>G173+I173</f>
        <v/>
      </c>
      <c r="F173" s="6" t="n"/>
      <c r="G173" s="6" t="n"/>
      <c r="H173" s="6" t="n"/>
      <c r="I173" s="29" t="n"/>
      <c r="J173" s="58">
        <f>SUM(K173:Q173)</f>
        <v/>
      </c>
      <c r="K173" s="6" t="n"/>
      <c r="L173" s="6" t="n"/>
      <c r="M173" s="6" t="n"/>
      <c r="N173" s="6" t="n"/>
      <c r="O173" s="6" t="n"/>
      <c r="P173" s="6" t="n"/>
      <c r="Q173" s="29" t="n"/>
      <c r="R173" s="58">
        <f>IF(J173-D173&lt;0,0,J173-D173)</f>
        <v/>
      </c>
      <c r="S173" s="60">
        <f>IF(D173-J173&lt;0,0,D173-J173)</f>
        <v/>
      </c>
      <c r="T173" s="29" t="n"/>
      <c r="U173" s="47">
        <f>SUM(D173:T173)</f>
        <v/>
      </c>
    </row>
    <row r="174" ht="34.5" customHeight="1">
      <c r="A174" s="38" t="n"/>
      <c r="B174" s="14" t="inlineStr">
        <is>
          <t>автомобіль цистерна для питної води Mersedes Benz Zetros NGZ-LT6 12м3</t>
        </is>
      </c>
      <c r="C174" s="39" t="inlineStr">
        <is>
          <t>к-т</t>
        </is>
      </c>
      <c r="D174" s="58">
        <f>F174+H174</f>
        <v/>
      </c>
      <c r="E174" s="60">
        <f>G174+I174</f>
        <v/>
      </c>
      <c r="F174" s="6" t="n"/>
      <c r="G174" s="6" t="n"/>
      <c r="H174" s="6" t="n"/>
      <c r="I174" s="29" t="n"/>
      <c r="J174" s="58">
        <f>SUM(K174:Q174)</f>
        <v/>
      </c>
      <c r="K174" s="6" t="n"/>
      <c r="L174" s="6" t="n"/>
      <c r="M174" s="6" t="n"/>
      <c r="N174" s="6" t="n"/>
      <c r="O174" s="6" t="n"/>
      <c r="P174" s="6" t="n"/>
      <c r="Q174" s="29" t="n"/>
      <c r="R174" s="58">
        <f>IF(J174-D174&lt;0,0,J174-D174)</f>
        <v/>
      </c>
      <c r="S174" s="60">
        <f>IF(D174-J174&lt;0,0,D174-J174)</f>
        <v/>
      </c>
      <c r="T174" s="29" t="n"/>
      <c r="U174" s="47">
        <f>SUM(D174:T174)</f>
        <v/>
      </c>
    </row>
    <row r="175" ht="34.5" customHeight="1">
      <c r="A175" s="38" t="n"/>
      <c r="B175" s="14" t="inlineStr">
        <is>
          <t>автоцистерна АЦ-8,0</t>
        </is>
      </c>
      <c r="C175" s="39" t="inlineStr">
        <is>
          <t>к-т</t>
        </is>
      </c>
      <c r="D175" s="58">
        <f>F175+H175</f>
        <v/>
      </c>
      <c r="E175" s="60">
        <f>G175+I175</f>
        <v/>
      </c>
      <c r="F175" s="6" t="n"/>
      <c r="G175" s="6" t="n"/>
      <c r="H175" s="6" t="n"/>
      <c r="I175" s="29" t="n"/>
      <c r="J175" s="58">
        <f>SUM(K175:Q175)</f>
        <v/>
      </c>
      <c r="K175" s="6" t="n"/>
      <c r="L175" s="6" t="n"/>
      <c r="M175" s="6" t="n"/>
      <c r="N175" s="6" t="n"/>
      <c r="O175" s="6" t="n"/>
      <c r="P175" s="6" t="n"/>
      <c r="Q175" s="29" t="n"/>
      <c r="R175" s="58">
        <f>IF(J175-D175&lt;0,0,J175-D175)</f>
        <v/>
      </c>
      <c r="S175" s="60">
        <f>IF(D175-J175&lt;0,0,D175-J175)</f>
        <v/>
      </c>
      <c r="T175" s="29" t="n"/>
      <c r="U175" s="47">
        <f>SUM(D175:T175)</f>
        <v/>
      </c>
    </row>
    <row r="176" ht="34.5" customHeight="1">
      <c r="A176" s="38" t="n"/>
      <c r="B176" s="5" t="inlineStr">
        <is>
          <t>автомобіль-цистерна для води АВЦ-2,8</t>
        </is>
      </c>
      <c r="C176" s="39" t="inlineStr">
        <is>
          <t>к-т</t>
        </is>
      </c>
      <c r="D176" s="58">
        <f>F176+H176</f>
        <v/>
      </c>
      <c r="E176" s="60">
        <f>G176+I176</f>
        <v/>
      </c>
      <c r="F176" s="6" t="n"/>
      <c r="G176" s="6" t="n"/>
      <c r="H176" s="6" t="n"/>
      <c r="I176" s="29" t="n"/>
      <c r="J176" s="58">
        <f>SUM(K176:Q176)</f>
        <v/>
      </c>
      <c r="K176" s="6" t="n"/>
      <c r="L176" s="6" t="n"/>
      <c r="M176" s="6" t="n"/>
      <c r="N176" s="6" t="n"/>
      <c r="O176" s="6" t="n"/>
      <c r="P176" s="6" t="n"/>
      <c r="Q176" s="29" t="n"/>
      <c r="R176" s="58">
        <f>IF(J176-D176&lt;0,0,J176-D176)</f>
        <v/>
      </c>
      <c r="S176" s="60">
        <f>IF(D176-J176&lt;0,0,D176-J176)</f>
        <v/>
      </c>
      <c r="T176" s="29" t="n"/>
      <c r="U176" s="47">
        <f>SUM(D176:T176)</f>
        <v/>
      </c>
    </row>
    <row r="177" ht="34.5" customHeight="1">
      <c r="A177" s="38" t="n"/>
      <c r="B177" s="5" t="inlineStr">
        <is>
          <t>автомобіль-цистерна для води АВЦ-3,7</t>
        </is>
      </c>
      <c r="C177" s="39" t="inlineStr">
        <is>
          <t>к-т</t>
        </is>
      </c>
      <c r="D177" s="58">
        <f>F177+H177</f>
        <v/>
      </c>
      <c r="E177" s="60">
        <f>G177+I177</f>
        <v/>
      </c>
      <c r="F177" s="6" t="n"/>
      <c r="G177" s="6" t="n"/>
      <c r="H177" s="6" t="n"/>
      <c r="I177" s="29" t="n"/>
      <c r="J177" s="58">
        <f>SUM(K177:Q177)</f>
        <v/>
      </c>
      <c r="K177" s="6" t="n"/>
      <c r="L177" s="6" t="n"/>
      <c r="M177" s="6" t="n"/>
      <c r="N177" s="6" t="n"/>
      <c r="O177" s="6" t="n"/>
      <c r="P177" s="6" t="n"/>
      <c r="Q177" s="29" t="n"/>
      <c r="R177" s="58">
        <f>IF(J177-D177&lt;0,0,J177-D177)</f>
        <v/>
      </c>
      <c r="S177" s="60">
        <f>IF(D177-J177&lt;0,0,D177-J177)</f>
        <v/>
      </c>
      <c r="T177" s="29" t="n"/>
      <c r="U177" s="47">
        <f>SUM(D177:T177)</f>
        <v/>
      </c>
    </row>
    <row r="178" ht="34.5" customHeight="1">
      <c r="A178" s="38" t="n"/>
      <c r="B178" s="5" t="inlineStr">
        <is>
          <t>автомобіль-цистерна для води АЦПТ-2,0-53</t>
        </is>
      </c>
      <c r="C178" s="39" t="inlineStr">
        <is>
          <t>к-т</t>
        </is>
      </c>
      <c r="D178" s="58">
        <f>F178+H178</f>
        <v/>
      </c>
      <c r="E178" s="60">
        <f>G178+I178</f>
        <v/>
      </c>
      <c r="F178" s="6" t="n"/>
      <c r="G178" s="6" t="n"/>
      <c r="H178" s="6" t="n"/>
      <c r="I178" s="29" t="n"/>
      <c r="J178" s="58">
        <f>SUM(K178:Q178)</f>
        <v/>
      </c>
      <c r="K178" s="6" t="n"/>
      <c r="L178" s="6" t="n"/>
      <c r="M178" s="6" t="n"/>
      <c r="N178" s="6" t="n"/>
      <c r="O178" s="6" t="n"/>
      <c r="P178" s="6" t="n"/>
      <c r="Q178" s="29" t="n"/>
      <c r="R178" s="58">
        <f>IF(J178-D178&lt;0,0,J178-D178)</f>
        <v/>
      </c>
      <c r="S178" s="60">
        <f>IF(D178-J178&lt;0,0,D178-J178)</f>
        <v/>
      </c>
      <c r="T178" s="29" t="n"/>
      <c r="U178" s="47">
        <f>SUM(D178:T178)</f>
        <v/>
      </c>
    </row>
    <row r="179" ht="34.5" customHeight="1">
      <c r="A179" s="38" t="n"/>
      <c r="B179" s="5" t="inlineStr">
        <is>
          <t>автомобіль-цистерна АЦП-5,0</t>
        </is>
      </c>
      <c r="C179" s="39" t="inlineStr">
        <is>
          <t>к-т</t>
        </is>
      </c>
      <c r="D179" s="58">
        <f>F179+H179</f>
        <v/>
      </c>
      <c r="E179" s="60">
        <f>G179+I179</f>
        <v/>
      </c>
      <c r="F179" s="6" t="n"/>
      <c r="G179" s="6" t="n"/>
      <c r="H179" s="6" t="n"/>
      <c r="I179" s="29" t="n"/>
      <c r="J179" s="58">
        <f>SUM(K179:Q179)</f>
        <v/>
      </c>
      <c r="K179" s="6" t="n"/>
      <c r="L179" s="6" t="n"/>
      <c r="M179" s="6" t="n"/>
      <c r="N179" s="6" t="n"/>
      <c r="O179" s="6" t="n"/>
      <c r="P179" s="6" t="n"/>
      <c r="Q179" s="29" t="n"/>
      <c r="R179" s="58">
        <f>IF(J179-D179&lt;0,0,J179-D179)</f>
        <v/>
      </c>
      <c r="S179" s="60">
        <f>IF(D179-J179&lt;0,0,D179-J179)</f>
        <v/>
      </c>
      <c r="T179" s="29" t="n"/>
      <c r="U179" s="47">
        <f>SUM(D179:T179)</f>
        <v/>
      </c>
    </row>
    <row r="180" ht="34.5" customHeight="1">
      <c r="A180" s="38" t="n"/>
      <c r="B180" s="76" t="inlineStr">
        <is>
          <t>автомобіль-цистерна АЦ-5,6</t>
        </is>
      </c>
      <c r="C180" s="32" t="n"/>
      <c r="D180" s="58">
        <f>F180+H180</f>
        <v/>
      </c>
      <c r="E180" s="60">
        <f>G180+I180</f>
        <v/>
      </c>
      <c r="F180" s="6" t="n"/>
      <c r="G180" s="6" t="n"/>
      <c r="H180" s="6" t="n"/>
      <c r="I180" s="29" t="n"/>
      <c r="J180" s="58">
        <f>SUM(K180:Q180)</f>
        <v/>
      </c>
      <c r="K180" s="6" t="n"/>
      <c r="L180" s="6" t="n"/>
      <c r="M180" s="6" t="n"/>
      <c r="N180" s="6" t="n"/>
      <c r="O180" s="6" t="n"/>
      <c r="P180" s="6" t="n"/>
      <c r="Q180" s="29" t="n"/>
      <c r="R180" s="58">
        <f>IF(J180-D180&lt;0,0,J180-D180)</f>
        <v/>
      </c>
      <c r="S180" s="60">
        <f>IF(D180-J180&lt;0,0,D180-J180)</f>
        <v/>
      </c>
      <c r="T180" s="29" t="n"/>
      <c r="U180" s="47">
        <f>SUM(D180:T180)</f>
        <v/>
      </c>
    </row>
    <row r="181" ht="34.5" customHeight="1">
      <c r="A181" s="38" t="n"/>
      <c r="B181" s="76" t="inlineStr">
        <is>
          <t>автомобіль-цистерна АЦ-4,0 ЗІЛ-431410 (431412)</t>
        </is>
      </c>
      <c r="C181" s="32" t="n"/>
      <c r="D181" s="58">
        <f>F181+H181</f>
        <v/>
      </c>
      <c r="E181" s="60">
        <f>G181+I181</f>
        <v/>
      </c>
      <c r="F181" s="6" t="n"/>
      <c r="G181" s="6" t="n"/>
      <c r="H181" s="6" t="n"/>
      <c r="I181" s="29" t="n"/>
      <c r="J181" s="58">
        <f>SUM(K181:Q181)</f>
        <v/>
      </c>
      <c r="K181" s="6" t="n"/>
      <c r="L181" s="6" t="n"/>
      <c r="M181" s="6" t="n"/>
      <c r="N181" s="6" t="n"/>
      <c r="O181" s="6" t="n"/>
      <c r="P181" s="6" t="n"/>
      <c r="Q181" s="29" t="n"/>
      <c r="R181" s="58">
        <f>IF(J181-D181&lt;0,0,J181-D181)</f>
        <v/>
      </c>
      <c r="S181" s="60">
        <f>IF(D181-J181&lt;0,0,D181-J181)</f>
        <v/>
      </c>
      <c r="T181" s="29" t="n"/>
      <c r="U181" s="47">
        <f>SUM(D181:T181)</f>
        <v/>
      </c>
    </row>
    <row r="182" ht="34.5" customHeight="1">
      <c r="A182" s="38" t="n"/>
      <c r="B182" s="76" t="inlineStr">
        <is>
          <t>автомобіль цистерна ЗІЛ-130</t>
        </is>
      </c>
      <c r="C182" s="32" t="n"/>
      <c r="D182" s="58">
        <f>F182+H182</f>
        <v/>
      </c>
      <c r="E182" s="60">
        <f>G182+I182</f>
        <v/>
      </c>
      <c r="F182" s="6" t="n"/>
      <c r="G182" s="6" t="n"/>
      <c r="H182" s="6" t="n"/>
      <c r="I182" s="29" t="n"/>
      <c r="J182" s="58">
        <f>SUM(K182:Q182)</f>
        <v/>
      </c>
      <c r="K182" s="6" t="n"/>
      <c r="L182" s="6" t="n"/>
      <c r="M182" s="6" t="n"/>
      <c r="N182" s="6" t="n"/>
      <c r="O182" s="6" t="n"/>
      <c r="P182" s="6" t="n"/>
      <c r="Q182" s="29" t="n"/>
      <c r="R182" s="58">
        <f>IF(J182-D182&lt;0,0,J182-D182)</f>
        <v/>
      </c>
      <c r="S182" s="60">
        <f>IF(D182-J182&lt;0,0,D182-J182)</f>
        <v/>
      </c>
      <c r="T182" s="29" t="n"/>
      <c r="U182" s="47">
        <f>SUM(D182:T182)</f>
        <v/>
      </c>
    </row>
    <row r="183" ht="34.5" customHeight="1">
      <c r="A183" s="38" t="n"/>
      <c r="B183" s="76" t="inlineStr">
        <is>
          <t>автомобіль цистерна КрАЗ-6510</t>
        </is>
      </c>
      <c r="C183" s="32" t="n"/>
      <c r="D183" s="58" t="n"/>
      <c r="E183" s="60" t="n"/>
      <c r="F183" s="6" t="n"/>
      <c r="G183" s="6" t="n"/>
      <c r="H183" s="6" t="n"/>
      <c r="I183" s="29" t="n"/>
      <c r="J183" s="58" t="n"/>
      <c r="K183" s="6" t="n"/>
      <c r="L183" s="6" t="n"/>
      <c r="M183" s="6" t="n"/>
      <c r="N183" s="6" t="n"/>
      <c r="O183" s="6" t="n"/>
      <c r="P183" s="6" t="n"/>
      <c r="Q183" s="29" t="n"/>
      <c r="R183" s="58" t="n"/>
      <c r="S183" s="60" t="n"/>
      <c r="T183" s="29" t="n"/>
      <c r="U183" s="47" t="n"/>
    </row>
    <row r="184" ht="34.5" customHeight="1">
      <c r="A184" s="38" t="n"/>
      <c r="B184" s="76" t="inlineStr">
        <is>
          <t>автомобіль цистерна УРАЛ-4320</t>
        </is>
      </c>
      <c r="C184" s="32" t="n"/>
      <c r="D184" s="58" t="n"/>
      <c r="E184" s="60" t="n"/>
      <c r="F184" s="6" t="n"/>
      <c r="G184" s="6" t="n"/>
      <c r="H184" s="6" t="n"/>
      <c r="I184" s="29" t="n"/>
      <c r="J184" s="58" t="n"/>
      <c r="K184" s="6" t="n"/>
      <c r="L184" s="6" t="n"/>
      <c r="M184" s="6" t="n"/>
      <c r="N184" s="6" t="n"/>
      <c r="O184" s="6" t="n"/>
      <c r="P184" s="6" t="n"/>
      <c r="Q184" s="29" t="n"/>
      <c r="R184" s="58" t="n"/>
      <c r="S184" s="60" t="n"/>
      <c r="T184" s="29" t="n"/>
      <c r="U184" s="47" t="n"/>
    </row>
    <row r="185" ht="34.5" customHeight="1">
      <c r="A185" s="38" t="n"/>
      <c r="B185" s="76" t="inlineStr">
        <is>
          <t>автомобіль цистерна КамАЗ-54112</t>
        </is>
      </c>
      <c r="C185" s="32" t="n"/>
      <c r="D185" s="58" t="n"/>
      <c r="E185" s="60" t="n"/>
      <c r="F185" s="6" t="n"/>
      <c r="G185" s="6" t="n"/>
      <c r="H185" s="6" t="n"/>
      <c r="I185" s="29" t="n"/>
      <c r="J185" s="58" t="n"/>
      <c r="K185" s="6" t="n"/>
      <c r="L185" s="6" t="n"/>
      <c r="M185" s="6" t="n"/>
      <c r="N185" s="6" t="n"/>
      <c r="O185" s="6" t="n"/>
      <c r="P185" s="6" t="n"/>
      <c r="Q185" s="29" t="n"/>
      <c r="R185" s="58" t="n"/>
      <c r="S185" s="60" t="n"/>
      <c r="T185" s="29" t="n"/>
      <c r="U185" s="47" t="n"/>
    </row>
    <row r="186" ht="34.5" customHeight="1">
      <c r="A186" s="38" t="n"/>
      <c r="B186" s="76" t="inlineStr">
        <is>
          <t>автомобіль-цистерна АЦ-40</t>
        </is>
      </c>
      <c r="C186" s="32" t="n"/>
      <c r="D186" s="58" t="n"/>
      <c r="E186" s="60" t="n"/>
      <c r="F186" s="6" t="n"/>
      <c r="G186" s="6" t="n"/>
      <c r="H186" s="6" t="n"/>
      <c r="I186" s="29" t="n"/>
      <c r="J186" s="58" t="n"/>
      <c r="K186" s="6" t="n"/>
      <c r="L186" s="6" t="n"/>
      <c r="M186" s="6" t="n"/>
      <c r="N186" s="6" t="n"/>
      <c r="O186" s="6" t="n"/>
      <c r="P186" s="6" t="n"/>
      <c r="Q186" s="29" t="n"/>
      <c r="R186" s="58" t="n"/>
      <c r="S186" s="60" t="n"/>
      <c r="T186" s="29" t="n"/>
      <c r="U186" s="47" t="n"/>
    </row>
    <row r="187" ht="34.5" customHeight="1">
      <c r="A187" s="38" t="n"/>
      <c r="B187" s="76" t="inlineStr">
        <is>
          <t>ЗІЛ 130 цистерна С</t>
        </is>
      </c>
      <c r="C187" s="32" t="n"/>
      <c r="D187" s="58" t="n"/>
      <c r="E187" s="60" t="n"/>
      <c r="F187" s="6" t="n"/>
      <c r="G187" s="6" t="n"/>
      <c r="H187" s="6" t="n"/>
      <c r="I187" s="29" t="n"/>
      <c r="J187" s="58" t="n"/>
      <c r="K187" s="6" t="n"/>
      <c r="L187" s="6" t="n"/>
      <c r="M187" s="6" t="n"/>
      <c r="N187" s="6" t="n"/>
      <c r="O187" s="6" t="n"/>
      <c r="P187" s="6" t="n"/>
      <c r="Q187" s="29" t="n"/>
      <c r="R187" s="58" t="n"/>
      <c r="S187" s="60" t="n"/>
      <c r="T187" s="29" t="n"/>
      <c r="U187" s="47" t="n"/>
    </row>
    <row r="188" ht="34.5" customHeight="1">
      <c r="A188" s="38" t="n"/>
      <c r="B188" s="76" t="inlineStr">
        <is>
          <t>ЗІЛ 131 цистерна С</t>
        </is>
      </c>
      <c r="C188" s="32" t="n"/>
      <c r="D188" s="58" t="n"/>
      <c r="E188" s="60" t="n"/>
      <c r="F188" s="6" t="n"/>
      <c r="G188" s="6" t="n"/>
      <c r="H188" s="6" t="n"/>
      <c r="I188" s="29" t="n"/>
      <c r="J188" s="58" t="n"/>
      <c r="K188" s="6" t="n"/>
      <c r="L188" s="6" t="n"/>
      <c r="M188" s="6" t="n"/>
      <c r="N188" s="6" t="n"/>
      <c r="O188" s="6" t="n"/>
      <c r="P188" s="6" t="n"/>
      <c r="Q188" s="29" t="n"/>
      <c r="R188" s="58" t="n"/>
      <c r="S188" s="60" t="n"/>
      <c r="T188" s="29" t="n"/>
      <c r="U188" s="47" t="n"/>
    </row>
    <row r="189" ht="34.5" customHeight="1">
      <c r="A189" s="38" t="n"/>
      <c r="B189" s="76" t="inlineStr">
        <is>
          <t>ГАЗ 3309 цистерна харчова</t>
        </is>
      </c>
      <c r="C189" s="32" t="n"/>
      <c r="D189" s="58" t="n"/>
      <c r="E189" s="60" t="n"/>
      <c r="F189" s="6" t="n"/>
      <c r="G189" s="6" t="n"/>
      <c r="H189" s="6" t="n"/>
      <c r="I189" s="29" t="n"/>
      <c r="J189" s="58" t="n"/>
      <c r="K189" s="6" t="n"/>
      <c r="L189" s="6" t="n"/>
      <c r="M189" s="6" t="n"/>
      <c r="N189" s="6" t="n"/>
      <c r="O189" s="6" t="n"/>
      <c r="P189" s="6" t="n"/>
      <c r="Q189" s="29" t="n"/>
      <c r="R189" s="58" t="n"/>
      <c r="S189" s="60" t="n"/>
      <c r="T189" s="29" t="n"/>
      <c r="U189" s="47" t="n"/>
    </row>
    <row r="190" ht="34.5" customHeight="1">
      <c r="A190" s="38" t="n"/>
      <c r="B190" s="74" t="inlineStr">
        <is>
          <t>автомобіль-цистерна для води АЦПТ-5,0 без шасі</t>
        </is>
      </c>
      <c r="C190" s="32" t="n"/>
      <c r="D190" s="58" t="n"/>
      <c r="E190" s="60" t="n"/>
      <c r="F190" s="6" t="n"/>
      <c r="G190" s="6" t="n"/>
      <c r="H190" s="6" t="n"/>
      <c r="I190" s="29" t="n"/>
      <c r="J190" s="58" t="n"/>
      <c r="K190" s="6" t="n"/>
      <c r="L190" s="6" t="n"/>
      <c r="M190" s="6" t="n"/>
      <c r="N190" s="6" t="n"/>
      <c r="O190" s="6" t="n"/>
      <c r="P190" s="6" t="n"/>
      <c r="Q190" s="29" t="n"/>
      <c r="R190" s="58" t="n"/>
      <c r="S190" s="60" t="n"/>
      <c r="T190" s="29" t="n"/>
      <c r="U190" s="47" t="n"/>
    </row>
    <row r="191" ht="34.5" customHeight="1">
      <c r="A191" s="38" t="n"/>
      <c r="B191" s="74" t="inlineStr">
        <is>
          <t>автомобіль-цистерна для води DAF YKZ 2300</t>
        </is>
      </c>
      <c r="C191" s="32" t="n"/>
      <c r="D191" s="58" t="n"/>
      <c r="E191" s="60" t="n"/>
      <c r="F191" s="6" t="n"/>
      <c r="G191" s="6" t="n"/>
      <c r="H191" s="6" t="n"/>
      <c r="I191" s="29" t="n"/>
      <c r="J191" s="58" t="n"/>
      <c r="K191" s="6" t="n"/>
      <c r="L191" s="6" t="n"/>
      <c r="M191" s="6" t="n"/>
      <c r="N191" s="6" t="n"/>
      <c r="O191" s="6" t="n"/>
      <c r="P191" s="6" t="n"/>
      <c r="Q191" s="29" t="n"/>
      <c r="R191" s="58" t="n"/>
      <c r="S191" s="60" t="n"/>
      <c r="T191" s="29" t="n"/>
      <c r="U191" s="47" t="n"/>
    </row>
    <row r="192" ht="34.5" customHeight="1">
      <c r="A192" s="38" t="n"/>
      <c r="B192" s="74" t="inlineStr">
        <is>
          <t>Автомобіль-цистерна АЦПТ-10,0 на базі УРАЛ</t>
        </is>
      </c>
      <c r="C192" s="32" t="n"/>
      <c r="D192" s="58" t="n"/>
      <c r="E192" s="60" t="n"/>
      <c r="F192" s="6" t="n"/>
      <c r="G192" s="6" t="n"/>
      <c r="H192" s="6" t="n"/>
      <c r="I192" s="29" t="n"/>
      <c r="J192" s="58" t="n"/>
      <c r="K192" s="6" t="n"/>
      <c r="L192" s="6" t="n"/>
      <c r="M192" s="6" t="n"/>
      <c r="N192" s="6" t="n"/>
      <c r="O192" s="6" t="n"/>
      <c r="P192" s="6" t="n"/>
      <c r="Q192" s="29" t="n"/>
      <c r="R192" s="58" t="n"/>
      <c r="S192" s="60" t="n"/>
      <c r="T192" s="29" t="n"/>
      <c r="U192" s="47" t="n"/>
    </row>
    <row r="193" ht="34.5" customHeight="1">
      <c r="A193" s="38" t="n"/>
      <c r="B193" s="74" t="inlineStr">
        <is>
          <t>автомобіль-цистерна для води ГАЗ-5319</t>
        </is>
      </c>
      <c r="C193" s="32" t="n"/>
      <c r="D193" s="58" t="n"/>
      <c r="E193" s="60" t="n"/>
      <c r="F193" s="6" t="n"/>
      <c r="G193" s="6" t="n"/>
      <c r="H193" s="6" t="n"/>
      <c r="I193" s="29" t="n"/>
      <c r="J193" s="58" t="n"/>
      <c r="K193" s="6" t="n"/>
      <c r="L193" s="6" t="n"/>
      <c r="M193" s="6" t="n"/>
      <c r="N193" s="6" t="n"/>
      <c r="O193" s="6" t="n"/>
      <c r="P193" s="6" t="n"/>
      <c r="Q193" s="29" t="n"/>
      <c r="R193" s="58" t="n"/>
      <c r="S193" s="60" t="n"/>
      <c r="T193" s="29" t="n"/>
      <c r="U193" s="47" t="n"/>
    </row>
    <row r="194" ht="34.5" customHeight="1">
      <c r="A194" s="38" t="n"/>
      <c r="B194" s="74" t="inlineStr">
        <is>
          <t>автомобіль вантажний цистерна для води ГАЗ53А</t>
        </is>
      </c>
      <c r="C194" s="32" t="n"/>
      <c r="D194" s="58">
        <f>F194+H194</f>
        <v/>
      </c>
      <c r="E194" s="60">
        <f>G194+I194</f>
        <v/>
      </c>
      <c r="F194" s="6" t="n"/>
      <c r="G194" s="6" t="n"/>
      <c r="H194" s="6" t="n"/>
      <c r="I194" s="29" t="n"/>
      <c r="J194" s="58">
        <f>SUM(K194:Q194)</f>
        <v/>
      </c>
      <c r="K194" s="6" t="n"/>
      <c r="L194" s="6" t="n"/>
      <c r="M194" s="6" t="n"/>
      <c r="N194" s="6" t="n"/>
      <c r="O194" s="6" t="n"/>
      <c r="P194" s="6" t="n"/>
      <c r="Q194" s="29" t="n"/>
      <c r="R194" s="58">
        <f>IF(J194-D194&lt;0,0,J194-D194)</f>
        <v/>
      </c>
      <c r="S194" s="60">
        <f>IF(D194-J194&lt;0,0,D194-J194)</f>
        <v/>
      </c>
      <c r="T194" s="29" t="n"/>
      <c r="U194" s="47">
        <f>SUM(D194:T194)</f>
        <v/>
      </c>
    </row>
    <row r="195" ht="34.5" customHeight="1">
      <c r="A195" s="38" t="n"/>
      <c r="B195" s="74" t="inlineStr">
        <is>
          <t>АЦЗ-4,4-131</t>
        </is>
      </c>
      <c r="C195" s="32" t="n"/>
      <c r="D195" s="58">
        <f>F195+H195</f>
        <v/>
      </c>
      <c r="E195" s="60">
        <f>G195+I195</f>
        <v/>
      </c>
      <c r="F195" s="6" t="n"/>
      <c r="G195" s="6" t="n"/>
      <c r="H195" s="6" t="n"/>
      <c r="I195" s="29" t="n"/>
      <c r="J195" s="58">
        <f>SUM(K195:Q195)</f>
        <v/>
      </c>
      <c r="K195" s="6" t="n"/>
      <c r="L195" s="6" t="n"/>
      <c r="M195" s="6" t="n"/>
      <c r="N195" s="6" t="n"/>
      <c r="O195" s="6" t="n"/>
      <c r="P195" s="6" t="n"/>
      <c r="Q195" s="29" t="n"/>
      <c r="R195" s="58">
        <f>IF(J195-D195&lt;0,0,J195-D195)</f>
        <v/>
      </c>
      <c r="S195" s="60">
        <f>IF(D195-J195&lt;0,0,D195-J195)</f>
        <v/>
      </c>
      <c r="T195" s="29" t="n"/>
      <c r="U195" s="47">
        <f>SUM(D195:T195)</f>
        <v/>
      </c>
    </row>
    <row r="196" ht="34.5" customHeight="1">
      <c r="A196" s="38" t="n"/>
      <c r="B196" s="74" t="inlineStr">
        <is>
          <t>АСЦ-4,1-131</t>
        </is>
      </c>
      <c r="C196" s="32" t="n"/>
      <c r="D196" s="58">
        <f>F196+H196</f>
        <v/>
      </c>
      <c r="E196" s="60">
        <f>G196+I196</f>
        <v/>
      </c>
      <c r="F196" s="6" t="n"/>
      <c r="G196" s="6" t="n"/>
      <c r="H196" s="6" t="n"/>
      <c r="I196" s="29" t="n"/>
      <c r="J196" s="58">
        <f>SUM(K196:Q196)</f>
        <v/>
      </c>
      <c r="K196" s="6" t="n"/>
      <c r="L196" s="6" t="n"/>
      <c r="M196" s="6" t="n"/>
      <c r="N196" s="6" t="n"/>
      <c r="O196" s="6" t="n"/>
      <c r="P196" s="6" t="n"/>
      <c r="Q196" s="29" t="n"/>
      <c r="R196" s="58">
        <f>IF(J196-D196&lt;0,0,J196-D196)</f>
        <v/>
      </c>
      <c r="S196" s="60">
        <f>IF(D196-J196&lt;0,0,D196-J196)</f>
        <v/>
      </c>
      <c r="T196" s="29" t="n"/>
      <c r="U196" s="47">
        <f>SUM(D196:T196)</f>
        <v/>
      </c>
    </row>
    <row r="197" ht="34.5" customHeight="1">
      <c r="A197" s="38" t="n"/>
      <c r="B197" s="74" t="inlineStr">
        <is>
          <t>АЦ-4,4-131</t>
        </is>
      </c>
      <c r="C197" s="32" t="n"/>
      <c r="D197" s="58" t="n"/>
      <c r="E197" s="60" t="n"/>
      <c r="F197" s="6" t="n"/>
      <c r="G197" s="6" t="n"/>
      <c r="H197" s="6" t="n"/>
      <c r="I197" s="29" t="n"/>
      <c r="J197" s="58" t="n"/>
      <c r="K197" s="6" t="n"/>
      <c r="L197" s="6" t="n"/>
      <c r="M197" s="6" t="n"/>
      <c r="N197" s="6" t="n"/>
      <c r="O197" s="6" t="n"/>
      <c r="P197" s="6" t="n"/>
      <c r="Q197" s="29" t="n"/>
      <c r="R197" s="58" t="n"/>
      <c r="S197" s="60" t="n"/>
      <c r="T197" s="29" t="n"/>
      <c r="U197" s="47" t="n"/>
    </row>
    <row r="198" ht="34.5" customHeight="1">
      <c r="A198" s="38" t="n"/>
      <c r="B198" s="74" t="inlineStr">
        <is>
          <t>ГАЗ-53 цистерна харчова</t>
        </is>
      </c>
      <c r="C198" s="32" t="n"/>
      <c r="D198" s="58" t="n"/>
      <c r="E198" s="60" t="n"/>
      <c r="F198" s="6" t="n"/>
      <c r="G198" s="6" t="n"/>
      <c r="H198" s="6" t="n"/>
      <c r="I198" s="29" t="n"/>
      <c r="J198" s="58" t="n"/>
      <c r="K198" s="6" t="n"/>
      <c r="L198" s="6" t="n"/>
      <c r="M198" s="6" t="n"/>
      <c r="N198" s="6" t="n"/>
      <c r="O198" s="6" t="n"/>
      <c r="P198" s="6" t="n"/>
      <c r="Q198" s="29" t="n"/>
      <c r="R198" s="58" t="n"/>
      <c r="S198" s="60" t="n"/>
      <c r="T198" s="29" t="n"/>
      <c r="U198" s="47" t="n"/>
    </row>
    <row r="199" ht="34.5" customHeight="1">
      <c r="A199" s="38" t="n"/>
      <c r="B199" s="74" t="inlineStr">
        <is>
          <t>ГАЗ-5312 (4,0) цистерна харчова</t>
        </is>
      </c>
      <c r="C199" s="32" t="n"/>
      <c r="D199" s="58" t="n"/>
      <c r="E199" s="60" t="n"/>
      <c r="F199" s="6" t="n"/>
      <c r="G199" s="6" t="n"/>
      <c r="H199" s="6" t="n"/>
      <c r="I199" s="29" t="n"/>
      <c r="J199" s="58" t="n"/>
      <c r="K199" s="6" t="n"/>
      <c r="L199" s="6" t="n"/>
      <c r="M199" s="6" t="n"/>
      <c r="N199" s="6" t="n"/>
      <c r="O199" s="6" t="n"/>
      <c r="P199" s="6" t="n"/>
      <c r="Q199" s="29" t="n"/>
      <c r="R199" s="58" t="n"/>
      <c r="S199" s="60" t="n"/>
      <c r="T199" s="29" t="n"/>
      <c r="U199" s="47" t="n"/>
    </row>
    <row r="200" ht="34.5" customHeight="1">
      <c r="A200" s="38" t="n"/>
      <c r="B200" s="74" t="inlineStr">
        <is>
          <t>ГАЗ-66 (4,0) цистерна харчова</t>
        </is>
      </c>
      <c r="C200" s="32" t="n"/>
      <c r="D200" s="58" t="n"/>
      <c r="E200" s="60" t="n"/>
      <c r="F200" s="6" t="n"/>
      <c r="G200" s="6" t="n"/>
      <c r="H200" s="6" t="n"/>
      <c r="I200" s="29" t="n"/>
      <c r="J200" s="58" t="n"/>
      <c r="K200" s="6" t="n"/>
      <c r="L200" s="6" t="n"/>
      <c r="M200" s="6" t="n"/>
      <c r="N200" s="6" t="n"/>
      <c r="O200" s="6" t="n"/>
      <c r="P200" s="6" t="n"/>
      <c r="Q200" s="29" t="n"/>
      <c r="R200" s="58" t="n"/>
      <c r="S200" s="60" t="n"/>
      <c r="T200" s="29" t="n"/>
      <c r="U200" s="47" t="n"/>
    </row>
    <row r="201" ht="34.5" customHeight="1">
      <c r="A201" s="38" t="n"/>
      <c r="B201" s="74" t="inlineStr">
        <is>
          <t>автомобіль спеціальний вантажний цистерна для води ЗІЛ-433362 КО713</t>
        </is>
      </c>
      <c r="C201" s="32" t="n"/>
      <c r="D201" s="58" t="n"/>
      <c r="E201" s="60" t="n"/>
      <c r="F201" s="6" t="n"/>
      <c r="G201" s="6" t="n"/>
      <c r="H201" s="6" t="n"/>
      <c r="I201" s="29" t="n"/>
      <c r="J201" s="58" t="n"/>
      <c r="K201" s="6" t="n"/>
      <c r="L201" s="6" t="n"/>
      <c r="M201" s="6" t="n"/>
      <c r="N201" s="6" t="n"/>
      <c r="O201" s="6" t="n"/>
      <c r="P201" s="6" t="n"/>
      <c r="Q201" s="29" t="n"/>
      <c r="R201" s="58" t="n"/>
      <c r="S201" s="60" t="n"/>
      <c r="T201" s="29" t="n"/>
      <c r="U201" s="47" t="n"/>
    </row>
    <row r="202" ht="34.5" customHeight="1">
      <c r="A202" s="38" t="n"/>
      <c r="B202" s="79" t="inlineStr">
        <is>
          <t>цистерна IVECO MAGIRUS FM 170D HFA</t>
        </is>
      </c>
      <c r="C202" s="32" t="n"/>
      <c r="D202" s="58" t="n"/>
      <c r="E202" s="60" t="n"/>
      <c r="F202" s="6" t="n"/>
      <c r="G202" s="6" t="n"/>
      <c r="H202" s="6" t="n"/>
      <c r="I202" s="29" t="n"/>
      <c r="J202" s="58" t="n"/>
      <c r="K202" s="6" t="n"/>
      <c r="L202" s="6" t="n"/>
      <c r="M202" s="6" t="n"/>
      <c r="N202" s="6" t="n"/>
      <c r="O202" s="6" t="n"/>
      <c r="P202" s="6" t="n"/>
      <c r="Q202" s="29" t="n"/>
      <c r="R202" s="58" t="n"/>
      <c r="S202" s="60" t="n"/>
      <c r="T202" s="29" t="n"/>
      <c r="U202" s="47" t="n"/>
    </row>
    <row r="203" ht="34.5" customHeight="1">
      <c r="A203" s="38" t="n"/>
      <c r="B203" s="79" t="inlineStr">
        <is>
          <t>Спеціальний пожежний автомобіль МАН, АЦ</t>
        </is>
      </c>
      <c r="C203" s="32" t="n"/>
      <c r="D203" s="58" t="n"/>
      <c r="E203" s="60" t="n"/>
      <c r="F203" s="6" t="n"/>
      <c r="G203" s="6" t="n"/>
      <c r="H203" s="6" t="n"/>
      <c r="I203" s="29" t="n"/>
      <c r="J203" s="58" t="n"/>
      <c r="K203" s="6" t="n"/>
      <c r="L203" s="6" t="n"/>
      <c r="M203" s="6" t="n"/>
      <c r="N203" s="6" t="n"/>
      <c r="O203" s="6" t="n"/>
      <c r="P203" s="6" t="n"/>
      <c r="Q203" s="29" t="n"/>
      <c r="R203" s="58" t="n"/>
      <c r="S203" s="60" t="n"/>
      <c r="T203" s="29" t="n"/>
      <c r="U203" s="47" t="n"/>
    </row>
    <row r="204" ht="34.5" customHeight="1">
      <c r="A204" s="38" t="n"/>
      <c r="B204" s="74" t="inlineStr">
        <is>
          <t>Автоцистерна АЦ-9-5320</t>
        </is>
      </c>
      <c r="C204" s="32" t="n"/>
      <c r="D204" s="58">
        <f>F204+H204</f>
        <v/>
      </c>
      <c r="E204" s="60">
        <f>G204+I204</f>
        <v/>
      </c>
      <c r="F204" s="6" t="n"/>
      <c r="G204" s="6" t="n"/>
      <c r="H204" s="6" t="n"/>
      <c r="I204" s="29" t="n"/>
      <c r="J204" s="58">
        <f>SUM(K204:Q204)</f>
        <v/>
      </c>
      <c r="K204" s="6" t="n"/>
      <c r="L204" s="6" t="n"/>
      <c r="M204" s="6" t="n"/>
      <c r="N204" s="6" t="n"/>
      <c r="O204" s="6" t="n"/>
      <c r="P204" s="6" t="n"/>
      <c r="Q204" s="29" t="n"/>
      <c r="R204" s="58">
        <f>IF(J204-D204&lt;0,0,J204-D204)</f>
        <v/>
      </c>
      <c r="S204" s="60">
        <f>IF(D204-J204&lt;0,0,D204-J204)</f>
        <v/>
      </c>
      <c r="T204" s="29" t="n"/>
      <c r="U204" s="47">
        <f>SUM(D204:T204)</f>
        <v/>
      </c>
    </row>
    <row r="205" ht="34.5" customHeight="1">
      <c r="A205" s="38" t="n"/>
      <c r="B205" s="74" t="inlineStr">
        <is>
          <t>автоцистерна для води АВПВ-5,0 марки AVTR</t>
        </is>
      </c>
      <c r="C205" s="32" t="n"/>
      <c r="D205" s="58">
        <f>F205+H205</f>
        <v/>
      </c>
      <c r="E205" s="60">
        <f>G205+I205</f>
        <v/>
      </c>
      <c r="F205" s="6" t="n"/>
      <c r="G205" s="6" t="n"/>
      <c r="H205" s="6" t="n"/>
      <c r="I205" s="29" t="n"/>
      <c r="J205" s="58">
        <f>SUM(K205:Q205)</f>
        <v/>
      </c>
      <c r="K205" s="6" t="n"/>
      <c r="L205" s="6" t="n"/>
      <c r="M205" s="6" t="n"/>
      <c r="N205" s="6" t="n"/>
      <c r="O205" s="6" t="n"/>
      <c r="P205" s="6" t="n"/>
      <c r="Q205" s="29" t="n"/>
      <c r="R205" s="58">
        <f>IF(J205-D205&lt;0,0,J205-D205)</f>
        <v/>
      </c>
      <c r="S205" s="60">
        <f>IF(D205-J205&lt;0,0,D205-J205)</f>
        <v/>
      </c>
      <c r="T205" s="29" t="n"/>
      <c r="U205" s="47">
        <f>SUM(D205:T205)</f>
        <v/>
      </c>
    </row>
    <row r="206" ht="34.5" customHeight="1">
      <c r="A206" s="38" t="n"/>
      <c r="B206" s="7" t="n"/>
      <c r="C206" s="32" t="n"/>
      <c r="D206" s="58">
        <f>F206+H206</f>
        <v/>
      </c>
      <c r="E206" s="60">
        <f>G206+I206</f>
        <v/>
      </c>
      <c r="F206" s="6" t="n"/>
      <c r="G206" s="6" t="n"/>
      <c r="H206" s="6" t="n"/>
      <c r="I206" s="29" t="n"/>
      <c r="J206" s="58">
        <f>SUM(K206:Q206)</f>
        <v/>
      </c>
      <c r="K206" s="6" t="n"/>
      <c r="L206" s="6" t="n"/>
      <c r="M206" s="6" t="n"/>
      <c r="N206" s="6" t="n"/>
      <c r="O206" s="6" t="n"/>
      <c r="P206" s="6" t="n"/>
      <c r="Q206" s="29" t="n"/>
      <c r="R206" s="58">
        <f>IF(J206-D206&lt;0,0,J206-D206)</f>
        <v/>
      </c>
      <c r="S206" s="60">
        <f>IF(D206-J206&lt;0,0,D206-J206)</f>
        <v/>
      </c>
      <c r="T206" s="29" t="n"/>
      <c r="U206" s="47">
        <f>SUM(D206:T206)</f>
        <v/>
      </c>
    </row>
    <row r="207" ht="34.5" customHeight="1">
      <c r="A207" s="38" t="n"/>
      <c r="B207" s="7" t="n"/>
      <c r="C207" s="32" t="n"/>
      <c r="D207" s="58">
        <f>F207+H207</f>
        <v/>
      </c>
      <c r="E207" s="60">
        <f>G207+I207</f>
        <v/>
      </c>
      <c r="F207" s="6" t="n"/>
      <c r="G207" s="6" t="n"/>
      <c r="H207" s="6" t="n"/>
      <c r="I207" s="29" t="n"/>
      <c r="J207" s="58">
        <f>SUM(K207:Q207)</f>
        <v/>
      </c>
      <c r="K207" s="6" t="n"/>
      <c r="L207" s="6" t="n"/>
      <c r="M207" s="6" t="n"/>
      <c r="N207" s="6" t="n"/>
      <c r="O207" s="6" t="n"/>
      <c r="P207" s="6" t="n"/>
      <c r="Q207" s="29" t="n"/>
      <c r="R207" s="58">
        <f>IF(J207-D207&lt;0,0,J207-D207)</f>
        <v/>
      </c>
      <c r="S207" s="60">
        <f>IF(D207-J207&lt;0,0,D207-J207)</f>
        <v/>
      </c>
      <c r="T207" s="29" t="n"/>
      <c r="U207" s="47">
        <f>SUM(D207:T207)</f>
        <v/>
      </c>
    </row>
    <row r="208" ht="34.5" customHeight="1">
      <c r="A208" s="38" t="n"/>
      <c r="B208" s="7" t="n"/>
      <c r="C208" s="32" t="n"/>
      <c r="D208" s="58">
        <f>F208+H208</f>
        <v/>
      </c>
      <c r="E208" s="60">
        <f>G208+I208</f>
        <v/>
      </c>
      <c r="F208" s="6" t="n"/>
      <c r="G208" s="6" t="n"/>
      <c r="H208" s="6" t="n"/>
      <c r="I208" s="29" t="n"/>
      <c r="J208" s="58">
        <f>SUM(K208:Q208)</f>
        <v/>
      </c>
      <c r="K208" s="6" t="n"/>
      <c r="L208" s="6" t="n"/>
      <c r="M208" s="6" t="n"/>
      <c r="N208" s="6" t="n"/>
      <c r="O208" s="6" t="n"/>
      <c r="P208" s="6" t="n"/>
      <c r="Q208" s="29" t="n"/>
      <c r="R208" s="58">
        <f>IF(J208-D208&lt;0,0,J208-D208)</f>
        <v/>
      </c>
      <c r="S208" s="60">
        <f>IF(D208-J208&lt;0,0,D208-J208)</f>
        <v/>
      </c>
      <c r="T208" s="29" t="n"/>
      <c r="U208" s="47">
        <f>SUM(D208:T208)</f>
        <v/>
      </c>
    </row>
    <row r="209" ht="34.5" customHeight="1">
      <c r="A209" s="38" t="n"/>
      <c r="B209" s="7" t="n"/>
      <c r="C209" s="32" t="n"/>
      <c r="D209" s="58">
        <f>F209+H209</f>
        <v/>
      </c>
      <c r="E209" s="60">
        <f>G209+I209</f>
        <v/>
      </c>
      <c r="F209" s="6" t="n"/>
      <c r="G209" s="6" t="n"/>
      <c r="H209" s="6" t="n"/>
      <c r="I209" s="29" t="n"/>
      <c r="J209" s="58">
        <f>SUM(K209:Q209)</f>
        <v/>
      </c>
      <c r="K209" s="6" t="n"/>
      <c r="L209" s="6" t="n"/>
      <c r="M209" s="6" t="n"/>
      <c r="N209" s="6" t="n"/>
      <c r="O209" s="6" t="n"/>
      <c r="P209" s="6" t="n"/>
      <c r="Q209" s="29" t="n"/>
      <c r="R209" s="58">
        <f>IF(J209-D209&lt;0,0,J209-D209)</f>
        <v/>
      </c>
      <c r="S209" s="60">
        <f>IF(D209-J209&lt;0,0,D209-J209)</f>
        <v/>
      </c>
      <c r="T209" s="29" t="n"/>
      <c r="U209" s="47">
        <f>SUM(D209:T209)</f>
        <v/>
      </c>
    </row>
    <row r="210" ht="34.5" customHeight="1">
      <c r="A210" s="38" t="n"/>
      <c r="B210" s="7" t="n"/>
      <c r="C210" s="32" t="n"/>
      <c r="D210" s="58">
        <f>F210+H210</f>
        <v/>
      </c>
      <c r="E210" s="60">
        <f>G210+I210</f>
        <v/>
      </c>
      <c r="F210" s="6" t="n"/>
      <c r="G210" s="6" t="n"/>
      <c r="H210" s="6" t="n"/>
      <c r="I210" s="29" t="n"/>
      <c r="J210" s="58">
        <f>SUM(K210:Q210)</f>
        <v/>
      </c>
      <c r="K210" s="6" t="n"/>
      <c r="L210" s="6" t="n"/>
      <c r="M210" s="6" t="n"/>
      <c r="N210" s="6" t="n"/>
      <c r="O210" s="6" t="n"/>
      <c r="P210" s="6" t="n"/>
      <c r="Q210" s="29" t="n"/>
      <c r="R210" s="58">
        <f>IF(J210-D210&lt;0,0,J210-D210)</f>
        <v/>
      </c>
      <c r="S210" s="60">
        <f>IF(D210-J210&lt;0,0,D210-J210)</f>
        <v/>
      </c>
      <c r="T210" s="29" t="n"/>
      <c r="U210" s="47">
        <f>SUM(D210:T210)</f>
        <v/>
      </c>
    </row>
    <row r="211" ht="34.5" customHeight="1">
      <c r="A211" s="38" t="n"/>
      <c r="B211" s="15" t="n"/>
      <c r="C211" s="32" t="n"/>
      <c r="D211" s="58">
        <f>F211+H211</f>
        <v/>
      </c>
      <c r="E211" s="60">
        <f>G211+I211</f>
        <v/>
      </c>
      <c r="F211" s="6" t="n"/>
      <c r="G211" s="6" t="n"/>
      <c r="H211" s="6" t="n"/>
      <c r="I211" s="29" t="n"/>
      <c r="J211" s="58">
        <f>SUM(K211:Q211)</f>
        <v/>
      </c>
      <c r="K211" s="6" t="n"/>
      <c r="L211" s="6" t="n"/>
      <c r="M211" s="6" t="n"/>
      <c r="N211" s="6" t="n"/>
      <c r="O211" s="6" t="n"/>
      <c r="P211" s="6" t="n"/>
      <c r="Q211" s="29" t="n"/>
      <c r="R211" s="58">
        <f>IF(J211-D211&lt;0,0,J211-D211)</f>
        <v/>
      </c>
      <c r="S211" s="60">
        <f>IF(D211-J211&lt;0,0,D211-J211)</f>
        <v/>
      </c>
      <c r="T211" s="29" t="n"/>
      <c r="U211" s="47">
        <f>SUM(D211:T211)</f>
        <v/>
      </c>
    </row>
    <row r="212" ht="34.5" customHeight="1">
      <c r="A212" s="38" t="n"/>
      <c r="B212" s="15" t="n"/>
      <c r="C212" s="32" t="n"/>
      <c r="D212" s="58">
        <f>F212+H212</f>
        <v/>
      </c>
      <c r="E212" s="60">
        <f>G212+I212</f>
        <v/>
      </c>
      <c r="F212" s="6" t="n"/>
      <c r="G212" s="6" t="n"/>
      <c r="H212" s="6" t="n"/>
      <c r="I212" s="29" t="n"/>
      <c r="J212" s="58">
        <f>SUM(K212:Q212)</f>
        <v/>
      </c>
      <c r="K212" s="6" t="n"/>
      <c r="L212" s="6" t="n"/>
      <c r="M212" s="6" t="n"/>
      <c r="N212" s="6" t="n"/>
      <c r="O212" s="6" t="n"/>
      <c r="P212" s="6" t="n"/>
      <c r="Q212" s="29" t="n"/>
      <c r="R212" s="58">
        <f>IF(J212-D212&lt;0,0,J212-D212)</f>
        <v/>
      </c>
      <c r="S212" s="60">
        <f>IF(D212-J212&lt;0,0,D212-J212)</f>
        <v/>
      </c>
      <c r="T212" s="29" t="n"/>
      <c r="U212" s="47">
        <f>SUM(D212:T212)</f>
        <v/>
      </c>
    </row>
    <row r="213" ht="34.5" customHeight="1">
      <c r="A213" s="37" t="n">
        <v>14</v>
      </c>
      <c r="B213" s="3" t="inlineStr">
        <is>
          <t>Засоби підвозу води причіпні:</t>
        </is>
      </c>
      <c r="C213" s="28" t="inlineStr">
        <is>
          <t>к-т</t>
        </is>
      </c>
      <c r="D213" s="27">
        <f>F213+H213</f>
        <v/>
      </c>
      <c r="E213" s="4">
        <f>G213+I213</f>
        <v/>
      </c>
      <c r="F213" s="4">
        <f>F214+F215+F216+F217+F218+F219+F220+F221+F222+F223+F224+F225+F230+F231+F232+F233+F236+F237+F238+F239+F226+F227+F228+F229</f>
        <v/>
      </c>
      <c r="G213" s="4">
        <f>G214+G215+G216+G217+G218+G219+G220+G221+G222+G223+G224+G225+G230+G231+G232+G233+G236+G237+G238+G239+G226+G227+G228+G229</f>
        <v/>
      </c>
      <c r="H213" s="4">
        <f>H214+H215+H216+H217+H218+H219+H220+H221+H222+H223+H224+H225+H230+H231+H232+H233+H236+H237+H238+H239+H226+H227+H228+H229</f>
        <v/>
      </c>
      <c r="I213" s="28">
        <f>I214+I215+I216+I217+I218+I219+I220+I221+I222+I223+I224+I225+I230+I231+I232+I233+I236+I237+I238+I239+I226+I227+I228+I229</f>
        <v/>
      </c>
      <c r="J213" s="27">
        <f>SUM(K213:Q213)</f>
        <v/>
      </c>
      <c r="K213" s="4">
        <f>K214+K215+K216+K217+K218+K219+K220+K221+K222+K223+K224+K225+K230+K231+K232+K233+K236+K237+K238+K239+K226+K227+K228+K229</f>
        <v/>
      </c>
      <c r="L213" s="4">
        <f>L214+L215+L216+L217+L218+L219+L220+L221+L222+L223+L224+L225+L230+L231+L232+L233+L236+L237+L238+L239+L226+L227+L228+L229</f>
        <v/>
      </c>
      <c r="M213" s="4">
        <f>M214+M215+M216+M217+M218+M219+M220+M221+M222+M223+M224+M225+M230+M231+M232+M233+M236+M237+M238+M239+M226+M227+M228+M229</f>
        <v/>
      </c>
      <c r="N213" s="4">
        <f>N214+N215+N216+N217+N218+N219+N220+N221+N222+N223+N224+N225+N230+N231+N232+N233+N236+N237+N238+N239+N226+N227+N228+N229</f>
        <v/>
      </c>
      <c r="O213" s="4">
        <f>O214+O215+O216+O217+O218+O219+O220+O221+O222+O223+O224+O225+O230+O231+O232+O233+O236+O237+O238+O239+O226+O227+O228+O229</f>
        <v/>
      </c>
      <c r="P213" s="4">
        <f>P214+P215+P216+P217+P218+P219+P220+P221+P222+P223+P224+P225+P230+P231+P232+P233+P236+P237+P238+P239+P226+P227+P228+P229</f>
        <v/>
      </c>
      <c r="Q213" s="28">
        <f>Q214+Q215+Q216+Q217+Q218+Q219+Q220+Q221+Q222+Q223+Q224+Q225+Q230+Q231+Q232+Q233+Q236+Q237+Q238+Q239+Q226+Q227+Q228+Q229</f>
        <v/>
      </c>
      <c r="R213" s="27">
        <f>IF(J213-D213&lt;0,0,J213-D213)</f>
        <v/>
      </c>
      <c r="S213" s="4">
        <f>IF(D213-J213&lt;0,0,D213-J213)</f>
        <v/>
      </c>
      <c r="T213" s="28">
        <f>T214+T215+T216+T217+T218+T219+T220+T221+T222+T223+T224+T225+T230+T231+T232+T233+T236+T237+T238+T239+T226+T227+T228+T229</f>
        <v/>
      </c>
      <c r="U213" s="47">
        <f>SUM(D213:T213)</f>
        <v/>
      </c>
    </row>
    <row r="214" ht="34.5" customHeight="1">
      <c r="A214" s="38" t="n"/>
      <c r="B214" s="13" t="inlineStr">
        <is>
          <t>причіп-цистерна для води ЦВ-1,2 (ЦВ-50)</t>
        </is>
      </c>
      <c r="C214" s="39" t="inlineStr">
        <is>
          <t>к-т</t>
        </is>
      </c>
      <c r="D214" s="58">
        <f>F214+H214</f>
        <v/>
      </c>
      <c r="E214" s="60">
        <f>G214+I214</f>
        <v/>
      </c>
      <c r="F214" s="6" t="n"/>
      <c r="G214" s="6" t="n"/>
      <c r="H214" s="6" t="n"/>
      <c r="I214" s="29" t="n"/>
      <c r="J214" s="58">
        <f>SUM(K214:Q214)</f>
        <v/>
      </c>
      <c r="K214" s="6" t="n"/>
      <c r="L214" s="6" t="n"/>
      <c r="M214" s="6" t="n"/>
      <c r="N214" s="6" t="n"/>
      <c r="O214" s="6" t="n"/>
      <c r="P214" s="6" t="n"/>
      <c r="Q214" s="29" t="n"/>
      <c r="R214" s="58">
        <f>IF(J214-D214&lt;0,0,J214-D214)</f>
        <v/>
      </c>
      <c r="S214" s="60">
        <f>IF(D214-J214&lt;0,0,D214-J214)</f>
        <v/>
      </c>
      <c r="T214" s="29" t="n"/>
      <c r="U214" s="47">
        <f>SUM(D214:T214)</f>
        <v/>
      </c>
    </row>
    <row r="215" ht="34.5" customHeight="1">
      <c r="A215" s="38" t="n"/>
      <c r="B215" s="5" t="inlineStr">
        <is>
          <t>причіп цистерна для води ЦВ-1,2 з пристроєм для підігріву води</t>
        </is>
      </c>
      <c r="C215" s="39" t="inlineStr">
        <is>
          <t>к-т</t>
        </is>
      </c>
      <c r="D215" s="58">
        <f>F215+H215</f>
        <v/>
      </c>
      <c r="E215" s="60">
        <f>G215+I215</f>
        <v/>
      </c>
      <c r="F215" s="6" t="n"/>
      <c r="G215" s="6" t="n"/>
      <c r="H215" s="6" t="n"/>
      <c r="I215" s="29" t="n"/>
      <c r="J215" s="58">
        <f>SUM(K215:Q215)</f>
        <v/>
      </c>
      <c r="K215" s="6" t="n"/>
      <c r="L215" s="6" t="n"/>
      <c r="M215" s="6" t="n"/>
      <c r="N215" s="6" t="n"/>
      <c r="O215" s="6" t="n"/>
      <c r="P215" s="6" t="n"/>
      <c r="Q215" s="29" t="n"/>
      <c r="R215" s="58">
        <f>IF(J215-D215&lt;0,0,J215-D215)</f>
        <v/>
      </c>
      <c r="S215" s="60">
        <f>IF(D215-J215&lt;0,0,D215-J215)</f>
        <v/>
      </c>
      <c r="T215" s="29" t="n"/>
      <c r="U215" s="47">
        <f>SUM(D215:T215)</f>
        <v/>
      </c>
    </row>
    <row r="216" ht="34.5" customHeight="1">
      <c r="A216" s="38" t="n"/>
      <c r="B216" s="5" t="inlineStr">
        <is>
          <t>причіп-цистерна для води Ц-2</t>
        </is>
      </c>
      <c r="C216" s="39" t="inlineStr">
        <is>
          <t>к-т</t>
        </is>
      </c>
      <c r="D216" s="58">
        <f>F216+H216</f>
        <v/>
      </c>
      <c r="E216" s="60">
        <f>G216+I216</f>
        <v/>
      </c>
      <c r="F216" s="6" t="n"/>
      <c r="G216" s="6" t="n"/>
      <c r="H216" s="6" t="n"/>
      <c r="I216" s="29" t="n"/>
      <c r="J216" s="58">
        <f>SUM(K216:Q216)</f>
        <v/>
      </c>
      <c r="K216" s="6" t="n"/>
      <c r="L216" s="6" t="n"/>
      <c r="M216" s="6" t="n"/>
      <c r="N216" s="6" t="n"/>
      <c r="O216" s="6" t="n"/>
      <c r="P216" s="6" t="n"/>
      <c r="Q216" s="29" t="n"/>
      <c r="R216" s="58">
        <f>IF(J216-D216&lt;0,0,J216-D216)</f>
        <v/>
      </c>
      <c r="S216" s="60">
        <f>IF(D216-J216&lt;0,0,D216-J216)</f>
        <v/>
      </c>
      <c r="T216" s="29" t="n"/>
      <c r="U216" s="47">
        <f>SUM(D216:T216)</f>
        <v/>
      </c>
    </row>
    <row r="217" ht="34.5" customHeight="1">
      <c r="A217" s="38" t="n"/>
      <c r="B217" s="5" t="inlineStr">
        <is>
          <t>причіп-цистерна для води ЦВ-2.0</t>
        </is>
      </c>
      <c r="C217" s="39" t="inlineStr">
        <is>
          <t>к-т</t>
        </is>
      </c>
      <c r="D217" s="58">
        <f>F217+H217</f>
        <v/>
      </c>
      <c r="E217" s="60">
        <f>G217+I217</f>
        <v/>
      </c>
      <c r="F217" s="6" t="n"/>
      <c r="G217" s="6" t="n"/>
      <c r="H217" s="6" t="n"/>
      <c r="I217" s="29" t="n"/>
      <c r="J217" s="58">
        <f>SUM(K217:Q217)</f>
        <v/>
      </c>
      <c r="K217" s="6" t="n"/>
      <c r="L217" s="6" t="n"/>
      <c r="M217" s="6" t="n"/>
      <c r="N217" s="6" t="n"/>
      <c r="O217" s="6" t="n"/>
      <c r="P217" s="6" t="n"/>
      <c r="Q217" s="29" t="n"/>
      <c r="R217" s="58">
        <f>IF(J217-D217&lt;0,0,J217-D217)</f>
        <v/>
      </c>
      <c r="S217" s="60">
        <f>IF(D217-J217&lt;0,0,D217-J217)</f>
        <v/>
      </c>
      <c r="T217" s="29" t="n"/>
      <c r="U217" s="47">
        <f>SUM(D217:T217)</f>
        <v/>
      </c>
    </row>
    <row r="218" ht="34.5" customHeight="1">
      <c r="A218" s="38" t="n"/>
      <c r="B218" s="5" t="inlineStr">
        <is>
          <t>причіп-цистерна для води "KOEGEL" 1,2 м3</t>
        </is>
      </c>
      <c r="C218" s="39" t="inlineStr">
        <is>
          <t>к-т</t>
        </is>
      </c>
      <c r="D218" s="58">
        <f>F218+H218</f>
        <v/>
      </c>
      <c r="E218" s="60">
        <f>G218+I218</f>
        <v/>
      </c>
      <c r="F218" s="6" t="n"/>
      <c r="G218" s="6" t="n"/>
      <c r="H218" s="6" t="n"/>
      <c r="I218" s="29" t="n"/>
      <c r="J218" s="58">
        <f>SUM(K218:Q218)</f>
        <v/>
      </c>
      <c r="K218" s="6" t="n"/>
      <c r="L218" s="6" t="n"/>
      <c r="M218" s="6" t="n"/>
      <c r="N218" s="6" t="n"/>
      <c r="O218" s="6" t="n"/>
      <c r="P218" s="6" t="n"/>
      <c r="Q218" s="29" t="n"/>
      <c r="R218" s="58">
        <f>IF(J218-D218&lt;0,0,J218-D218)</f>
        <v/>
      </c>
      <c r="S218" s="60">
        <f>IF(D218-J218&lt;0,0,D218-J218)</f>
        <v/>
      </c>
      <c r="T218" s="29" t="n"/>
      <c r="U218" s="47">
        <f>SUM(D218:T218)</f>
        <v/>
      </c>
    </row>
    <row r="219" ht="34.5" customHeight="1">
      <c r="A219" s="38" t="n"/>
      <c r="B219" s="5" t="inlineStr">
        <is>
          <t>причіп-цистерна для води М149 А2, 400 gal 1,5м3</t>
        </is>
      </c>
      <c r="C219" s="39" t="inlineStr">
        <is>
          <t>к-т</t>
        </is>
      </c>
      <c r="D219" s="58">
        <f>F219+H219</f>
        <v/>
      </c>
      <c r="E219" s="60">
        <f>G219+I219</f>
        <v/>
      </c>
      <c r="F219" s="6" t="n"/>
      <c r="G219" s="6" t="n"/>
      <c r="H219" s="6" t="n"/>
      <c r="I219" s="29" t="n"/>
      <c r="J219" s="58">
        <f>SUM(K219:Q219)</f>
        <v/>
      </c>
      <c r="K219" s="6" t="n"/>
      <c r="L219" s="6" t="n"/>
      <c r="M219" s="6" t="n"/>
      <c r="N219" s="6" t="n"/>
      <c r="O219" s="6" t="n"/>
      <c r="P219" s="6" t="n"/>
      <c r="Q219" s="29" t="n"/>
      <c r="R219" s="58">
        <f>IF(J219-D219&lt;0,0,J219-D219)</f>
        <v/>
      </c>
      <c r="S219" s="60">
        <f>IF(D219-J219&lt;0,0,D219-J219)</f>
        <v/>
      </c>
      <c r="T219" s="29" t="n"/>
      <c r="U219" s="47">
        <f>SUM(D219:T219)</f>
        <v/>
      </c>
    </row>
    <row r="220" ht="34.5" customHeight="1">
      <c r="A220" s="38" t="n"/>
      <c r="B220" s="5" t="inlineStr">
        <is>
          <t>приціп-цистерна для води з підігрівом Sama 016410 C1000L</t>
        </is>
      </c>
      <c r="C220" s="39" t="inlineStr">
        <is>
          <t>к-т</t>
        </is>
      </c>
      <c r="D220" s="58">
        <f>F220+H220</f>
        <v/>
      </c>
      <c r="E220" s="60">
        <f>G220+I220</f>
        <v/>
      </c>
      <c r="F220" s="6" t="n"/>
      <c r="G220" s="6" t="n"/>
      <c r="H220" s="6" t="n"/>
      <c r="I220" s="29" t="n"/>
      <c r="J220" s="58">
        <f>SUM(K220:Q220)</f>
        <v/>
      </c>
      <c r="K220" s="6" t="n"/>
      <c r="L220" s="6" t="n"/>
      <c r="M220" s="6" t="n"/>
      <c r="N220" s="6" t="n"/>
      <c r="O220" s="6" t="n"/>
      <c r="P220" s="6" t="n"/>
      <c r="Q220" s="29" t="n"/>
      <c r="R220" s="58">
        <f>IF(J220-D220&lt;0,0,J220-D220)</f>
        <v/>
      </c>
      <c r="S220" s="60">
        <f>IF(D220-J220&lt;0,0,D220-J220)</f>
        <v/>
      </c>
      <c r="T220" s="29" t="n"/>
      <c r="U220" s="47">
        <f>SUM(D220:T220)</f>
        <v/>
      </c>
    </row>
    <row r="221" ht="34.5" customHeight="1">
      <c r="A221" s="38" t="n"/>
      <c r="B221" s="5" t="inlineStr">
        <is>
          <t>причіп-цистерна ГКБ-817 (3,0)</t>
        </is>
      </c>
      <c r="C221" s="39" t="inlineStr">
        <is>
          <t>к-т</t>
        </is>
      </c>
      <c r="D221" s="58">
        <f>F221+H221</f>
        <v/>
      </c>
      <c r="E221" s="60">
        <f>G221+I221</f>
        <v/>
      </c>
      <c r="F221" s="6" t="n"/>
      <c r="G221" s="6" t="n"/>
      <c r="H221" s="6" t="n"/>
      <c r="I221" s="29" t="n"/>
      <c r="J221" s="58">
        <f>SUM(K221:Q221)</f>
        <v/>
      </c>
      <c r="K221" s="6" t="n"/>
      <c r="L221" s="6" t="n"/>
      <c r="M221" s="6" t="n"/>
      <c r="N221" s="6" t="n"/>
      <c r="O221" s="6" t="n"/>
      <c r="P221" s="6" t="n"/>
      <c r="Q221" s="29" t="n"/>
      <c r="R221" s="58">
        <f>IF(J221-D221&lt;0,0,J221-D221)</f>
        <v/>
      </c>
      <c r="S221" s="60">
        <f>IF(D221-J221&lt;0,0,D221-J221)</f>
        <v/>
      </c>
      <c r="T221" s="29" t="n"/>
      <c r="U221" s="47">
        <f>SUM(D221:T221)</f>
        <v/>
      </c>
    </row>
    <row r="222" ht="34.5" customHeight="1">
      <c r="A222" s="38" t="n"/>
      <c r="B222" s="5" t="inlineStr">
        <is>
          <t>причіп-цистерна для води спец. ЦВ-8,0</t>
        </is>
      </c>
      <c r="C222" s="39" t="inlineStr">
        <is>
          <t>к-т</t>
        </is>
      </c>
      <c r="D222" s="58">
        <f>F222+H222</f>
        <v/>
      </c>
      <c r="E222" s="60">
        <f>G222+I222</f>
        <v/>
      </c>
      <c r="F222" s="6" t="n"/>
      <c r="G222" s="6" t="n"/>
      <c r="H222" s="6" t="n"/>
      <c r="I222" s="29" t="n"/>
      <c r="J222" s="58">
        <f>SUM(K222:Q222)</f>
        <v/>
      </c>
      <c r="K222" s="6" t="n"/>
      <c r="L222" s="6" t="n"/>
      <c r="M222" s="6" t="n"/>
      <c r="N222" s="6" t="n"/>
      <c r="O222" s="6" t="n"/>
      <c r="P222" s="6" t="n"/>
      <c r="Q222" s="29" t="n"/>
      <c r="R222" s="58">
        <f>IF(J222-D222&lt;0,0,J222-D222)</f>
        <v/>
      </c>
      <c r="S222" s="60">
        <f>IF(D222-J222&lt;0,0,D222-J222)</f>
        <v/>
      </c>
      <c r="T222" s="29" t="n"/>
      <c r="U222" s="47">
        <f>SUM(D222:T222)</f>
        <v/>
      </c>
    </row>
    <row r="223" ht="34.5" customHeight="1">
      <c r="A223" s="38" t="n"/>
      <c r="B223" s="5" t="inlineStr">
        <is>
          <t>причіп-цистерна для води з теплоізоляцією</t>
        </is>
      </c>
      <c r="C223" s="39" t="inlineStr">
        <is>
          <t>к-т</t>
        </is>
      </c>
      <c r="D223" s="58">
        <f>F223+H223</f>
        <v/>
      </c>
      <c r="E223" s="60">
        <f>G223+I223</f>
        <v/>
      </c>
      <c r="F223" s="6" t="n"/>
      <c r="G223" s="6" t="n"/>
      <c r="H223" s="6" t="n"/>
      <c r="I223" s="29" t="n"/>
      <c r="J223" s="58">
        <f>SUM(K223:Q223)</f>
        <v/>
      </c>
      <c r="K223" s="6" t="n"/>
      <c r="L223" s="6" t="n"/>
      <c r="M223" s="6" t="n"/>
      <c r="N223" s="6" t="n"/>
      <c r="O223" s="6" t="n"/>
      <c r="P223" s="6" t="n"/>
      <c r="Q223" s="29" t="n"/>
      <c r="R223" s="58">
        <f>IF(J223-D223&lt;0,0,J223-D223)</f>
        <v/>
      </c>
      <c r="S223" s="60">
        <f>IF(D223-J223&lt;0,0,D223-J223)</f>
        <v/>
      </c>
      <c r="T223" s="29" t="n"/>
      <c r="U223" s="47">
        <f>SUM(D223:T223)</f>
        <v/>
      </c>
    </row>
    <row r="224" ht="34.5" customHeight="1">
      <c r="A224" s="38" t="n"/>
      <c r="B224" s="5" t="inlineStr">
        <is>
          <t>причіп-цистерна для води ЦВ-325 gal USA OASSIS</t>
        </is>
      </c>
      <c r="C224" s="39" t="inlineStr">
        <is>
          <t>к-т</t>
        </is>
      </c>
      <c r="D224" s="58">
        <f>F224+H224</f>
        <v/>
      </c>
      <c r="E224" s="60">
        <f>G224+I224</f>
        <v/>
      </c>
      <c r="F224" s="6" t="n"/>
      <c r="G224" s="6" t="n"/>
      <c r="H224" s="6" t="n"/>
      <c r="I224" s="29" t="n"/>
      <c r="J224" s="58">
        <f>SUM(K224:Q224)</f>
        <v/>
      </c>
      <c r="K224" s="6" t="n"/>
      <c r="L224" s="6" t="n"/>
      <c r="M224" s="6" t="n"/>
      <c r="N224" s="6" t="n"/>
      <c r="O224" s="6" t="n"/>
      <c r="P224" s="6" t="n"/>
      <c r="Q224" s="29" t="n"/>
      <c r="R224" s="58">
        <f>IF(J224-D224&lt;0,0,J224-D224)</f>
        <v/>
      </c>
      <c r="S224" s="60">
        <f>IF(D224-J224&lt;0,0,D224-J224)</f>
        <v/>
      </c>
      <c r="T224" s="29" t="n"/>
      <c r="U224" s="47">
        <f>SUM(D224:T224)</f>
        <v/>
      </c>
    </row>
    <row r="225" ht="34.5" customHeight="1">
      <c r="A225" s="38" t="n"/>
      <c r="B225" s="5" t="inlineStr">
        <is>
          <t>20-тонний інтермодульний контейнер-цистерна (для тех. Води)</t>
        </is>
      </c>
      <c r="C225" s="39" t="inlineStr">
        <is>
          <t>к-т</t>
        </is>
      </c>
      <c r="D225" s="58">
        <f>F225+H225</f>
        <v/>
      </c>
      <c r="E225" s="60">
        <f>G225+I225</f>
        <v/>
      </c>
      <c r="F225" s="6" t="n"/>
      <c r="G225" s="6" t="n"/>
      <c r="H225" s="6" t="n"/>
      <c r="I225" s="29" t="n"/>
      <c r="J225" s="58">
        <f>SUM(K225:Q225)</f>
        <v/>
      </c>
      <c r="K225" s="6" t="n"/>
      <c r="L225" s="6" t="n"/>
      <c r="M225" s="6" t="n"/>
      <c r="N225" s="6" t="n"/>
      <c r="O225" s="6" t="n"/>
      <c r="P225" s="6" t="n"/>
      <c r="Q225" s="29" t="n"/>
      <c r="R225" s="58">
        <f>IF(J225-D225&lt;0,0,J225-D225)</f>
        <v/>
      </c>
      <c r="S225" s="60">
        <f>IF(D225-J225&lt;0,0,D225-J225)</f>
        <v/>
      </c>
      <c r="T225" s="29" t="n"/>
      <c r="U225" s="47">
        <f>SUM(D225:T225)</f>
        <v/>
      </c>
    </row>
    <row r="226" ht="34.5" customHeight="1">
      <c r="A226" s="38" t="n"/>
      <c r="B226" s="76" t="inlineStr">
        <is>
          <t>причіп цистерна для води ПЦПТ-0,9</t>
        </is>
      </c>
      <c r="C226" s="32" t="n"/>
      <c r="D226" s="58">
        <f>F226+H226</f>
        <v/>
      </c>
      <c r="E226" s="60">
        <f>G226+I226</f>
        <v/>
      </c>
      <c r="F226" s="6" t="n"/>
      <c r="G226" s="6" t="n"/>
      <c r="H226" s="6" t="n"/>
      <c r="I226" s="29" t="n"/>
      <c r="J226" s="58">
        <f>SUM(K226:Q226)</f>
        <v/>
      </c>
      <c r="K226" s="6" t="n"/>
      <c r="L226" s="6" t="n"/>
      <c r="M226" s="6" t="n"/>
      <c r="N226" s="6" t="n"/>
      <c r="O226" s="6" t="n"/>
      <c r="P226" s="6" t="n"/>
      <c r="Q226" s="29" t="n"/>
      <c r="R226" s="58">
        <f>IF(J226-D226&lt;0,0,J226-D226)</f>
        <v/>
      </c>
      <c r="S226" s="60">
        <f>IF(D226-J226&lt;0,0,D226-J226)</f>
        <v/>
      </c>
      <c r="T226" s="29" t="n"/>
      <c r="U226" s="47">
        <f>SUM(D226:T226)</f>
        <v/>
      </c>
    </row>
    <row r="227" ht="34.5" customHeight="1">
      <c r="A227" s="38" t="n"/>
      <c r="B227" s="76" t="inlineStr">
        <is>
          <t>причіп цистерна для води ЦВ-2,0</t>
        </is>
      </c>
      <c r="C227" s="32" t="n"/>
      <c r="D227" s="58">
        <f>F227+H227</f>
        <v/>
      </c>
      <c r="E227" s="60">
        <f>G227+I227</f>
        <v/>
      </c>
      <c r="F227" s="6" t="n"/>
      <c r="G227" s="6" t="n"/>
      <c r="H227" s="6" t="n"/>
      <c r="I227" s="29" t="n"/>
      <c r="J227" s="58">
        <f>SUM(K227:Q227)</f>
        <v/>
      </c>
      <c r="K227" s="6" t="n"/>
      <c r="L227" s="6" t="n"/>
      <c r="M227" s="6" t="n"/>
      <c r="N227" s="6" t="n"/>
      <c r="O227" s="6" t="n"/>
      <c r="P227" s="6" t="n"/>
      <c r="Q227" s="29" t="n"/>
      <c r="R227" s="58">
        <f>IF(J227-D227&lt;0,0,J227-D227)</f>
        <v/>
      </c>
      <c r="S227" s="60">
        <f>IF(D227-J227&lt;0,0,D227-J227)</f>
        <v/>
      </c>
      <c r="T227" s="29" t="n"/>
      <c r="U227" s="47">
        <f>SUM(D227:T227)</f>
        <v/>
      </c>
    </row>
    <row r="228" ht="34.5" customHeight="1">
      <c r="A228" s="38" t="n"/>
      <c r="B228" s="77" t="inlineStr">
        <is>
          <t>Причіп - цистерна для підвозу води ємністью 1,5-2,0 м3</t>
        </is>
      </c>
      <c r="C228" s="32" t="n"/>
      <c r="D228" s="58">
        <f>F228+H228</f>
        <v/>
      </c>
      <c r="E228" s="60">
        <f>G228+I228</f>
        <v/>
      </c>
      <c r="F228" s="6" t="n"/>
      <c r="G228" s="6" t="n"/>
      <c r="H228" s="6" t="n"/>
      <c r="I228" s="29" t="n"/>
      <c r="J228" s="58">
        <f>SUM(K228:Q228)</f>
        <v/>
      </c>
      <c r="K228" s="6" t="n"/>
      <c r="L228" s="6" t="n"/>
      <c r="M228" s="6" t="n"/>
      <c r="N228" s="6" t="n"/>
      <c r="O228" s="6" t="n"/>
      <c r="P228" s="6" t="n"/>
      <c r="Q228" s="29" t="n"/>
      <c r="R228" s="58">
        <f>IF(J228-D228&lt;0,0,J228-D228)</f>
        <v/>
      </c>
      <c r="S228" s="60">
        <f>IF(D228-J228&lt;0,0,D228-J228)</f>
        <v/>
      </c>
      <c r="T228" s="29" t="n"/>
      <c r="U228" s="47">
        <f>SUM(D228:T228)</f>
        <v/>
      </c>
    </row>
    <row r="229" ht="34.5" customHeight="1">
      <c r="A229" s="38" t="n"/>
      <c r="B229" s="77" t="inlineStr">
        <is>
          <t>Причіп цистерна для води 15 КН 1200л</t>
        </is>
      </c>
      <c r="C229" s="32" t="n"/>
      <c r="D229" s="58">
        <f>F229+H229</f>
        <v/>
      </c>
      <c r="E229" s="60">
        <f>G229+I229</f>
        <v/>
      </c>
      <c r="F229" s="6" t="n"/>
      <c r="G229" s="6" t="n"/>
      <c r="H229" s="6" t="n"/>
      <c r="I229" s="29" t="n"/>
      <c r="J229" s="58">
        <f>SUM(K229:Q229)</f>
        <v/>
      </c>
      <c r="K229" s="6" t="n"/>
      <c r="L229" s="6" t="n"/>
      <c r="M229" s="6" t="n"/>
      <c r="N229" s="6" t="n"/>
      <c r="O229" s="6" t="n"/>
      <c r="P229" s="6" t="n"/>
      <c r="Q229" s="29" t="n"/>
      <c r="R229" s="58">
        <f>IF(J229-D229&lt;0,0,J229-D229)</f>
        <v/>
      </c>
      <c r="S229" s="60">
        <f>IF(D229-J229&lt;0,0,D229-J229)</f>
        <v/>
      </c>
      <c r="T229" s="29" t="n"/>
      <c r="U229" s="47">
        <f>SUM(D229:T229)</f>
        <v/>
      </c>
    </row>
    <row r="230" ht="34.5" customHeight="1">
      <c r="A230" s="38" t="n"/>
      <c r="B230" s="73" t="inlineStr">
        <is>
          <t>Прицеп-цистерна для води ЦВ-1,7 (інші)</t>
        </is>
      </c>
      <c r="C230" s="32" t="n"/>
      <c r="D230" s="58">
        <f>F230+H230</f>
        <v/>
      </c>
      <c r="E230" s="60">
        <f>G230+I230</f>
        <v/>
      </c>
      <c r="F230" s="6" t="n"/>
      <c r="G230" s="6" t="n"/>
      <c r="H230" s="6" t="n"/>
      <c r="I230" s="29" t="n"/>
      <c r="J230" s="58">
        <f>SUM(K230:Q230)</f>
        <v/>
      </c>
      <c r="K230" s="6" t="n"/>
      <c r="L230" s="6" t="n"/>
      <c r="M230" s="6" t="n"/>
      <c r="N230" s="6" t="n"/>
      <c r="O230" s="6" t="n"/>
      <c r="P230" s="6" t="n"/>
      <c r="Q230" s="29" t="n"/>
      <c r="R230" s="58">
        <f>IF(J230-D230&lt;0,0,J230-D230)</f>
        <v/>
      </c>
      <c r="S230" s="60">
        <f>IF(D230-J230&lt;0,0,D230-J230)</f>
        <v/>
      </c>
      <c r="T230" s="29" t="n"/>
      <c r="U230" s="47">
        <f>SUM(D230:T230)</f>
        <v/>
      </c>
    </row>
    <row r="231" ht="34.5" customHeight="1">
      <c r="A231" s="38" t="n"/>
      <c r="B231" s="74" t="inlineStr">
        <is>
          <t>причіп бочка ЖЗВ-18</t>
        </is>
      </c>
      <c r="C231" s="32" t="n"/>
      <c r="D231" s="58">
        <f>F231+H231</f>
        <v/>
      </c>
      <c r="E231" s="60">
        <f>G231+I231</f>
        <v/>
      </c>
      <c r="F231" s="6" t="n"/>
      <c r="G231" s="6" t="n"/>
      <c r="H231" s="6" t="n"/>
      <c r="I231" s="29" t="n"/>
      <c r="J231" s="58">
        <f>SUM(K231:Q231)</f>
        <v/>
      </c>
      <c r="K231" s="6" t="n"/>
      <c r="L231" s="6" t="n"/>
      <c r="M231" s="6" t="n"/>
      <c r="N231" s="6" t="n"/>
      <c r="O231" s="6" t="n"/>
      <c r="P231" s="6" t="n"/>
      <c r="Q231" s="29" t="n"/>
      <c r="R231" s="58">
        <f>IF(J231-D231&lt;0,0,J231-D231)</f>
        <v/>
      </c>
      <c r="S231" s="60">
        <f>IF(D231-J231&lt;0,0,D231-J231)</f>
        <v/>
      </c>
      <c r="T231" s="29" t="n"/>
      <c r="U231" s="47">
        <f>SUM(D231:T231)</f>
        <v/>
      </c>
    </row>
    <row r="232" ht="34.5" customHeight="1">
      <c r="A232" s="38" t="n"/>
      <c r="B232" s="74" t="inlineStr">
        <is>
          <t>напівпричіп молокоцистерна MAGYAR SERM</t>
        </is>
      </c>
      <c r="C232" s="32" t="n"/>
      <c r="D232" s="58">
        <f>F232+H232</f>
        <v/>
      </c>
      <c r="E232" s="60">
        <f>G232+I232</f>
        <v/>
      </c>
      <c r="F232" s="6" t="n"/>
      <c r="G232" s="6" t="n"/>
      <c r="H232" s="6" t="n"/>
      <c r="I232" s="29" t="n"/>
      <c r="J232" s="58">
        <f>SUM(K232:Q232)</f>
        <v/>
      </c>
      <c r="K232" s="6" t="n"/>
      <c r="L232" s="6" t="n"/>
      <c r="M232" s="6" t="n"/>
      <c r="N232" s="6" t="n"/>
      <c r="O232" s="6" t="n"/>
      <c r="P232" s="6" t="n"/>
      <c r="Q232" s="29" t="n"/>
      <c r="R232" s="58">
        <f>IF(J232-D232&lt;0,0,J232-D232)</f>
        <v/>
      </c>
      <c r="S232" s="60">
        <f>IF(D232-J232&lt;0,0,D232-J232)</f>
        <v/>
      </c>
      <c r="T232" s="29" t="n"/>
      <c r="U232" s="47">
        <f>SUM(D232:T232)</f>
        <v/>
      </c>
    </row>
    <row r="233" ht="34.5" customHeight="1">
      <c r="A233" s="38" t="n"/>
      <c r="B233" s="74" t="inlineStr">
        <is>
          <t>причіп-цистерна харчова - Е</t>
        </is>
      </c>
      <c r="C233" s="32" t="n"/>
      <c r="D233" s="58">
        <f>F233+H233</f>
        <v/>
      </c>
      <c r="E233" s="60">
        <f>G233+I233</f>
        <v/>
      </c>
      <c r="F233" s="6" t="n"/>
      <c r="G233" s="6" t="n"/>
      <c r="H233" s="6" t="n"/>
      <c r="I233" s="29" t="n"/>
      <c r="J233" s="58">
        <f>SUM(K233:Q233)</f>
        <v/>
      </c>
      <c r="K233" s="6" t="n"/>
      <c r="L233" s="6" t="n"/>
      <c r="M233" s="6" t="n"/>
      <c r="N233" s="6" t="n"/>
      <c r="O233" s="6" t="n"/>
      <c r="P233" s="6" t="n"/>
      <c r="Q233" s="29" t="n"/>
      <c r="R233" s="58">
        <f>IF(J233-D233&lt;0,0,J233-D233)</f>
        <v/>
      </c>
      <c r="S233" s="60">
        <f>IF(D233-J233&lt;0,0,D233-J233)</f>
        <v/>
      </c>
      <c r="T233" s="29" t="n"/>
      <c r="U233" s="47">
        <f>SUM(D233:T233)</f>
        <v/>
      </c>
    </row>
    <row r="234" ht="34.5" customHeight="1">
      <c r="A234" s="38" t="n"/>
      <c r="B234" s="74" t="inlineStr">
        <is>
          <t>причіп-цистерна для води ВР-3М</t>
        </is>
      </c>
      <c r="C234" s="32" t="n"/>
      <c r="D234" s="58" t="n"/>
      <c r="E234" s="60" t="n"/>
      <c r="F234" s="6" t="n"/>
      <c r="G234" s="6" t="n"/>
      <c r="H234" s="6" t="n"/>
      <c r="I234" s="29" t="n"/>
      <c r="J234" s="58" t="n"/>
      <c r="K234" s="6" t="n"/>
      <c r="L234" s="6" t="n"/>
      <c r="M234" s="6" t="n"/>
      <c r="N234" s="6" t="n"/>
      <c r="O234" s="6" t="n"/>
      <c r="P234" s="6" t="n"/>
      <c r="Q234" s="29" t="n"/>
      <c r="R234" s="58" t="n"/>
      <c r="S234" s="60" t="n"/>
      <c r="T234" s="29" t="n"/>
      <c r="U234" s="47" t="n"/>
    </row>
    <row r="235" ht="34.5" customHeight="1">
      <c r="A235" s="38" t="n"/>
      <c r="B235" s="74" t="inlineStr">
        <is>
          <t>причіп-цистерна харчова</t>
        </is>
      </c>
      <c r="C235" s="32" t="n"/>
      <c r="D235" s="58" t="n"/>
      <c r="E235" s="60" t="n"/>
      <c r="F235" s="6" t="n"/>
      <c r="G235" s="6" t="n"/>
      <c r="H235" s="6" t="n"/>
      <c r="I235" s="29" t="n"/>
      <c r="J235" s="58" t="n"/>
      <c r="K235" s="6" t="n"/>
      <c r="L235" s="6" t="n"/>
      <c r="M235" s="6" t="n"/>
      <c r="N235" s="6" t="n"/>
      <c r="O235" s="6" t="n"/>
      <c r="P235" s="6" t="n"/>
      <c r="Q235" s="29" t="n"/>
      <c r="R235" s="58" t="n"/>
      <c r="S235" s="60" t="n"/>
      <c r="T235" s="29" t="n"/>
      <c r="U235" s="47" t="n"/>
    </row>
    <row r="236" ht="34.5" customHeight="1">
      <c r="A236" s="38" t="n"/>
      <c r="B236" s="74" t="inlineStr">
        <is>
          <t>причіп цистерна для води на 1000 л</t>
        </is>
      </c>
      <c r="C236" s="32" t="n"/>
      <c r="D236" s="58">
        <f>F236+H236</f>
        <v/>
      </c>
      <c r="E236" s="60">
        <f>G236+I236</f>
        <v/>
      </c>
      <c r="F236" s="6" t="n"/>
      <c r="G236" s="6" t="n"/>
      <c r="H236" s="6" t="n"/>
      <c r="I236" s="29" t="n"/>
      <c r="J236" s="58">
        <f>SUM(K236:Q236)</f>
        <v/>
      </c>
      <c r="K236" s="6" t="n"/>
      <c r="L236" s="6" t="n"/>
      <c r="M236" s="6" t="n"/>
      <c r="N236" s="6" t="n"/>
      <c r="O236" s="6" t="n"/>
      <c r="P236" s="6" t="n"/>
      <c r="Q236" s="29" t="n"/>
      <c r="R236" s="58">
        <f>IF(J236-D236&lt;0,0,J236-D236)</f>
        <v/>
      </c>
      <c r="S236" s="60">
        <f>IF(D236-J236&lt;0,0,D236-J236)</f>
        <v/>
      </c>
      <c r="T236" s="29" t="n"/>
      <c r="U236" s="47">
        <f>SUM(D236:T236)</f>
        <v/>
      </c>
    </row>
    <row r="237" ht="34.5" customHeight="1">
      <c r="A237" s="38" t="n"/>
      <c r="B237" s="74" t="inlineStr">
        <is>
          <t>причіп-цистерна спеціалізована</t>
        </is>
      </c>
      <c r="C237" s="32" t="n"/>
      <c r="D237" s="58">
        <f>F237+H237</f>
        <v/>
      </c>
      <c r="E237" s="60">
        <f>G237+I237</f>
        <v/>
      </c>
      <c r="F237" s="6" t="n"/>
      <c r="G237" s="6" t="n"/>
      <c r="H237" s="6" t="n"/>
      <c r="I237" s="29" t="n"/>
      <c r="J237" s="58">
        <f>SUM(K237:Q237)</f>
        <v/>
      </c>
      <c r="K237" s="6" t="n"/>
      <c r="L237" s="6" t="n"/>
      <c r="M237" s="6" t="n"/>
      <c r="N237" s="6" t="n"/>
      <c r="O237" s="6" t="n"/>
      <c r="P237" s="6" t="n"/>
      <c r="Q237" s="29" t="n"/>
      <c r="R237" s="58">
        <f>IF(J237-D237&lt;0,0,J237-D237)</f>
        <v/>
      </c>
      <c r="S237" s="60">
        <f>IF(D237-J237&lt;0,0,D237-J237)</f>
        <v/>
      </c>
      <c r="T237" s="29" t="n"/>
      <c r="U237" s="47">
        <f>SUM(D237:T237)</f>
        <v/>
      </c>
    </row>
    <row r="238" ht="34.5" customHeight="1">
      <c r="A238" s="38" t="n"/>
      <c r="B238" s="74" t="inlineStr">
        <is>
          <t>причіп-цистерна для води на базі спец. причепу платформи ЛЕВ</t>
        </is>
      </c>
      <c r="C238" s="32" t="n"/>
      <c r="D238" s="58">
        <f>F238+H238</f>
        <v/>
      </c>
      <c r="E238" s="60">
        <f>G238+I238</f>
        <v/>
      </c>
      <c r="F238" s="6" t="n"/>
      <c r="G238" s="6" t="n"/>
      <c r="H238" s="6" t="n"/>
      <c r="I238" s="29" t="n"/>
      <c r="J238" s="58">
        <f>SUM(K238:Q238)</f>
        <v/>
      </c>
      <c r="K238" s="6" t="n"/>
      <c r="L238" s="6" t="n"/>
      <c r="M238" s="6" t="n"/>
      <c r="N238" s="6" t="n"/>
      <c r="O238" s="6" t="n"/>
      <c r="P238" s="6" t="n"/>
      <c r="Q238" s="29" t="n"/>
      <c r="R238" s="58">
        <f>IF(J238-D238&lt;0,0,J238-D238)</f>
        <v/>
      </c>
      <c r="S238" s="60">
        <f>IF(D238-J238&lt;0,0,D238-J238)</f>
        <v/>
      </c>
      <c r="T238" s="29" t="n"/>
      <c r="U238" s="47">
        <f>SUM(D238:T238)</f>
        <v/>
      </c>
    </row>
    <row r="239" ht="34.5" customHeight="1">
      <c r="A239" s="38" t="n"/>
      <c r="B239" s="7" t="n"/>
      <c r="C239" s="32" t="n"/>
      <c r="D239" s="58">
        <f>F239+H239</f>
        <v/>
      </c>
      <c r="E239" s="60">
        <f>G239+I239</f>
        <v/>
      </c>
      <c r="F239" s="6" t="n"/>
      <c r="G239" s="6" t="n"/>
      <c r="H239" s="6" t="n"/>
      <c r="I239" s="29" t="n"/>
      <c r="J239" s="58">
        <f>SUM(K239:Q239)</f>
        <v/>
      </c>
      <c r="K239" s="6" t="n"/>
      <c r="L239" s="6" t="n"/>
      <c r="M239" s="6" t="n"/>
      <c r="N239" s="6" t="n"/>
      <c r="O239" s="6" t="n"/>
      <c r="P239" s="6" t="n"/>
      <c r="Q239" s="29" t="n"/>
      <c r="R239" s="58">
        <f>IF(J239-D239&lt;0,0,J239-D239)</f>
        <v/>
      </c>
      <c r="S239" s="60">
        <f>IF(D239-J239&lt;0,0,D239-J239)</f>
        <v/>
      </c>
      <c r="T239" s="29" t="n"/>
      <c r="U239" s="47">
        <f>SUM(D239:T239)</f>
        <v/>
      </c>
    </row>
    <row r="240" ht="34.5" customHeight="1">
      <c r="A240" s="37" t="n">
        <v>15</v>
      </c>
      <c r="B240" s="3" t="inlineStr">
        <is>
          <t>Засоби підвозу води переносні:</t>
        </is>
      </c>
      <c r="C240" s="28" t="inlineStr">
        <is>
          <t>к-т</t>
        </is>
      </c>
      <c r="D240" s="27">
        <f>F240+H240</f>
        <v/>
      </c>
      <c r="E240" s="4">
        <f>G240+I240</f>
        <v/>
      </c>
      <c r="F240" s="4">
        <f>F241+F242+F243+F244+F249+F250+F245+F246+F247+F248</f>
        <v/>
      </c>
      <c r="G240" s="4">
        <f>G241+G242+G243+G244+G249+G250+G245+G246+G247+G248</f>
        <v/>
      </c>
      <c r="H240" s="4">
        <f>H241+H242+H243+H244+H249+H250+H245+H246+H247+H248</f>
        <v/>
      </c>
      <c r="I240" s="28">
        <f>I241+I242+I243+I244+I249+I250+I245+I246+I247+I248</f>
        <v/>
      </c>
      <c r="J240" s="27">
        <f>SUM(K240:Q240)</f>
        <v/>
      </c>
      <c r="K240" s="4">
        <f>K241+K242+K243+K244+K249+K250+K245+K246+K247+K248</f>
        <v/>
      </c>
      <c r="L240" s="4">
        <f>L241+L242+L243+L244+L249+L250+L245+L246+L247+L248</f>
        <v/>
      </c>
      <c r="M240" s="4">
        <f>M241+M242+M243+M244+M249+M250+M245+M246+M247+M248</f>
        <v/>
      </c>
      <c r="N240" s="4">
        <f>N241+N242+N243+N244+N249+N250+N245+N246+N247+N248</f>
        <v/>
      </c>
      <c r="O240" s="4">
        <f>O241+O242+O243+O244+O249+O250+O245+O246+O247+O248</f>
        <v/>
      </c>
      <c r="P240" s="4">
        <f>P241+P242+P243+P244+P249+P250+P245+P246+P247+P248</f>
        <v/>
      </c>
      <c r="Q240" s="28">
        <f>Q241+Q242+Q243+Q244+Q249+Q250+Q245+Q246+Q247+Q248</f>
        <v/>
      </c>
      <c r="R240" s="27">
        <f>IF(J240-D240&lt;0,0,J240-D240)</f>
        <v/>
      </c>
      <c r="S240" s="4">
        <f>IF(D240-J240&lt;0,0,D240-J240)</f>
        <v/>
      </c>
      <c r="T240" s="28">
        <f>T241+T242+T243+T244+T249+T250+T245+T246+T247+T248</f>
        <v/>
      </c>
      <c r="U240" s="47">
        <f>SUM(D240:T240)</f>
        <v/>
      </c>
    </row>
    <row r="241" ht="34.5" customHeight="1">
      <c r="A241" s="38" t="n"/>
      <c r="B241" s="5" t="inlineStr">
        <is>
          <t xml:space="preserve">цистерна для води ЦВ-3 </t>
        </is>
      </c>
      <c r="C241" s="39" t="inlineStr">
        <is>
          <t>к-т</t>
        </is>
      </c>
      <c r="D241" s="58">
        <f>F241+H241</f>
        <v/>
      </c>
      <c r="E241" s="60">
        <f>G241+I241</f>
        <v/>
      </c>
      <c r="F241" s="6" t="n"/>
      <c r="G241" s="6" t="n"/>
      <c r="H241" s="6" t="n"/>
      <c r="I241" s="29" t="n"/>
      <c r="J241" s="58">
        <f>SUM(K241:Q241)</f>
        <v/>
      </c>
      <c r="K241" s="6" t="n"/>
      <c r="L241" s="6" t="n"/>
      <c r="M241" s="6" t="n"/>
      <c r="N241" s="6" t="n"/>
      <c r="O241" s="6" t="n"/>
      <c r="P241" s="6" t="n"/>
      <c r="Q241" s="29" t="n"/>
      <c r="R241" s="58">
        <f>IF(J241-D241&lt;0,0,J241-D241)</f>
        <v/>
      </c>
      <c r="S241" s="60">
        <f>IF(D241-J241&lt;0,0,D241-J241)</f>
        <v/>
      </c>
      <c r="T241" s="29" t="n"/>
      <c r="U241" s="47">
        <f>SUM(D241:T241)</f>
        <v/>
      </c>
    </row>
    <row r="242" ht="34.5" customHeight="1">
      <c r="A242" s="38" t="n"/>
      <c r="B242" s="13" t="inlineStr">
        <is>
          <t>цистерна для води ЦВ-4</t>
        </is>
      </c>
      <c r="C242" s="39" t="inlineStr">
        <is>
          <t>к-т</t>
        </is>
      </c>
      <c r="D242" s="58">
        <f>F242+H242</f>
        <v/>
      </c>
      <c r="E242" s="60">
        <f>G242+I242</f>
        <v/>
      </c>
      <c r="F242" s="6" t="n"/>
      <c r="G242" s="6" t="n"/>
      <c r="H242" s="6" t="n"/>
      <c r="I242" s="29" t="n"/>
      <c r="J242" s="58">
        <f>SUM(K242:Q242)</f>
        <v/>
      </c>
      <c r="K242" s="6" t="n"/>
      <c r="L242" s="6" t="n"/>
      <c r="M242" s="6" t="n"/>
      <c r="N242" s="6" t="n"/>
      <c r="O242" s="6" t="n"/>
      <c r="P242" s="6" t="n"/>
      <c r="Q242" s="29" t="n"/>
      <c r="R242" s="58">
        <f>IF(J242-D242&lt;0,0,J242-D242)</f>
        <v/>
      </c>
      <c r="S242" s="60">
        <f>IF(D242-J242&lt;0,0,D242-J242)</f>
        <v/>
      </c>
      <c r="T242" s="29" t="n"/>
      <c r="U242" s="47">
        <f>SUM(D242:T242)</f>
        <v/>
      </c>
    </row>
    <row r="243" ht="34.5" customHeight="1">
      <c r="A243" s="38" t="n"/>
      <c r="B243" s="5" t="inlineStr">
        <is>
          <t>Євррокуб для води 1000 л.</t>
        </is>
      </c>
      <c r="C243" s="39" t="inlineStr">
        <is>
          <t>шт</t>
        </is>
      </c>
      <c r="D243" s="58">
        <f>F243+H243</f>
        <v/>
      </c>
      <c r="E243" s="60">
        <f>G243+I243</f>
        <v/>
      </c>
      <c r="F243" s="6" t="n"/>
      <c r="G243" s="6" t="n"/>
      <c r="H243" s="6" t="n"/>
      <c r="I243" s="29" t="n"/>
      <c r="J243" s="58">
        <f>SUM(K243:Q243)</f>
        <v/>
      </c>
      <c r="K243" s="6" t="n"/>
      <c r="L243" s="6" t="n"/>
      <c r="M243" s="6" t="n"/>
      <c r="N243" s="6" t="n"/>
      <c r="O243" s="6" t="n"/>
      <c r="P243" s="6" t="n"/>
      <c r="Q243" s="29" t="n"/>
      <c r="R243" s="58">
        <f>IF(J243-D243&lt;0,0,J243-D243)</f>
        <v/>
      </c>
      <c r="S243" s="60">
        <f>IF(D243-J243&lt;0,0,D243-J243)</f>
        <v/>
      </c>
      <c r="T243" s="29" t="n"/>
      <c r="U243" s="47">
        <f>SUM(D243:T243)</f>
        <v/>
      </c>
    </row>
    <row r="244" ht="34.5" customHeight="1">
      <c r="A244" s="38" t="n"/>
      <c r="B244" s="5" t="inlineStr">
        <is>
          <t>Ємність для питної води 150 л.</t>
        </is>
      </c>
      <c r="C244" s="39" t="inlineStr">
        <is>
          <t>шт</t>
        </is>
      </c>
      <c r="D244" s="58">
        <f>F244+H244</f>
        <v/>
      </c>
      <c r="E244" s="60">
        <f>G244+I244</f>
        <v/>
      </c>
      <c r="F244" s="6" t="n"/>
      <c r="G244" s="6" t="n"/>
      <c r="H244" s="6" t="n"/>
      <c r="I244" s="29" t="n"/>
      <c r="J244" s="58">
        <f>SUM(K244:Q244)</f>
        <v/>
      </c>
      <c r="K244" s="6" t="n"/>
      <c r="L244" s="6" t="n"/>
      <c r="M244" s="6" t="n"/>
      <c r="N244" s="6" t="n"/>
      <c r="O244" s="6" t="n"/>
      <c r="P244" s="6" t="n"/>
      <c r="Q244" s="29" t="n"/>
      <c r="R244" s="58">
        <f>IF(J244-D244&lt;0,0,J244-D244)</f>
        <v/>
      </c>
      <c r="S244" s="60">
        <f>IF(D244-J244&lt;0,0,D244-J244)</f>
        <v/>
      </c>
      <c r="T244" s="29" t="n"/>
      <c r="U244" s="47">
        <f>SUM(D244:T244)</f>
        <v/>
      </c>
    </row>
    <row r="245" ht="34.5" customHeight="1">
      <c r="A245" s="38" t="n"/>
      <c r="B245" s="7" t="n"/>
      <c r="C245" s="32" t="n"/>
      <c r="D245" s="58">
        <f>F245+H245</f>
        <v/>
      </c>
      <c r="E245" s="60">
        <f>G245+I245</f>
        <v/>
      </c>
      <c r="F245" s="6" t="n"/>
      <c r="G245" s="6" t="n"/>
      <c r="H245" s="6" t="n"/>
      <c r="I245" s="29" t="n"/>
      <c r="J245" s="58">
        <f>SUM(K245:Q245)</f>
        <v/>
      </c>
      <c r="K245" s="6" t="n"/>
      <c r="L245" s="6" t="n"/>
      <c r="M245" s="6" t="n"/>
      <c r="N245" s="6" t="n"/>
      <c r="O245" s="6" t="n"/>
      <c r="P245" s="6" t="n"/>
      <c r="Q245" s="29" t="n"/>
      <c r="R245" s="58">
        <f>IF(J245-D245&lt;0,0,J245-D245)</f>
        <v/>
      </c>
      <c r="S245" s="60">
        <f>IF(D245-J245&lt;0,0,D245-J245)</f>
        <v/>
      </c>
      <c r="T245" s="29" t="n"/>
      <c r="U245" s="47">
        <f>SUM(D245:T245)</f>
        <v/>
      </c>
    </row>
    <row r="246" ht="34.5" customHeight="1">
      <c r="A246" s="38" t="n"/>
      <c r="B246" s="7" t="n"/>
      <c r="C246" s="32" t="n"/>
      <c r="D246" s="58">
        <f>F246+H246</f>
        <v/>
      </c>
      <c r="E246" s="60">
        <f>G246+I246</f>
        <v/>
      </c>
      <c r="F246" s="6" t="n"/>
      <c r="G246" s="6" t="n"/>
      <c r="H246" s="6" t="n"/>
      <c r="I246" s="29" t="n"/>
      <c r="J246" s="58">
        <f>SUM(K246:Q246)</f>
        <v/>
      </c>
      <c r="K246" s="6" t="n"/>
      <c r="L246" s="6" t="n"/>
      <c r="M246" s="6" t="n"/>
      <c r="N246" s="6" t="n"/>
      <c r="O246" s="6" t="n"/>
      <c r="P246" s="6" t="n"/>
      <c r="Q246" s="29" t="n"/>
      <c r="R246" s="58">
        <f>IF(J246-D246&lt;0,0,J246-D246)</f>
        <v/>
      </c>
      <c r="S246" s="60">
        <f>IF(D246-J246&lt;0,0,D246-J246)</f>
        <v/>
      </c>
      <c r="T246" s="29" t="n"/>
      <c r="U246" s="47">
        <f>SUM(D246:T246)</f>
        <v/>
      </c>
    </row>
    <row r="247" ht="34.5" customHeight="1">
      <c r="A247" s="38" t="n"/>
      <c r="B247" s="7" t="n"/>
      <c r="C247" s="32" t="n"/>
      <c r="D247" s="58">
        <f>F247+H247</f>
        <v/>
      </c>
      <c r="E247" s="60">
        <f>G247+I247</f>
        <v/>
      </c>
      <c r="F247" s="6" t="n"/>
      <c r="G247" s="6" t="n"/>
      <c r="H247" s="6" t="n"/>
      <c r="I247" s="29" t="n"/>
      <c r="J247" s="58">
        <f>SUM(K247:Q247)</f>
        <v/>
      </c>
      <c r="K247" s="6" t="n"/>
      <c r="L247" s="6" t="n"/>
      <c r="M247" s="6" t="n"/>
      <c r="N247" s="6" t="n"/>
      <c r="O247" s="6" t="n"/>
      <c r="P247" s="6" t="n"/>
      <c r="Q247" s="29" t="n"/>
      <c r="R247" s="58">
        <f>IF(J247-D247&lt;0,0,J247-D247)</f>
        <v/>
      </c>
      <c r="S247" s="60">
        <f>IF(D247-J247&lt;0,0,D247-J247)</f>
        <v/>
      </c>
      <c r="T247" s="29" t="n"/>
      <c r="U247" s="47">
        <f>SUM(D247:T247)</f>
        <v/>
      </c>
    </row>
    <row r="248" ht="34.5" customHeight="1">
      <c r="A248" s="38" t="n"/>
      <c r="B248" s="7" t="n"/>
      <c r="C248" s="32" t="n"/>
      <c r="D248" s="58">
        <f>F248+H248</f>
        <v/>
      </c>
      <c r="E248" s="60">
        <f>G248+I248</f>
        <v/>
      </c>
      <c r="F248" s="6" t="n"/>
      <c r="G248" s="6" t="n"/>
      <c r="H248" s="6" t="n"/>
      <c r="I248" s="29" t="n"/>
      <c r="J248" s="58">
        <f>SUM(K248:Q248)</f>
        <v/>
      </c>
      <c r="K248" s="6" t="n"/>
      <c r="L248" s="6" t="n"/>
      <c r="M248" s="6" t="n"/>
      <c r="N248" s="6" t="n"/>
      <c r="O248" s="6" t="n"/>
      <c r="P248" s="6" t="n"/>
      <c r="Q248" s="29" t="n"/>
      <c r="R248" s="58">
        <f>IF(J248-D248&lt;0,0,J248-D248)</f>
        <v/>
      </c>
      <c r="S248" s="60">
        <f>IF(D248-J248&lt;0,0,D248-J248)</f>
        <v/>
      </c>
      <c r="T248" s="29" t="n"/>
      <c r="U248" s="47">
        <f>SUM(D248:T248)</f>
        <v/>
      </c>
    </row>
    <row r="249" ht="34.5" customHeight="1">
      <c r="A249" s="38" t="n"/>
      <c r="B249" s="7" t="n"/>
      <c r="C249" s="32" t="n"/>
      <c r="D249" s="58">
        <f>F249+H249</f>
        <v/>
      </c>
      <c r="E249" s="60">
        <f>G249+I249</f>
        <v/>
      </c>
      <c r="F249" s="6" t="n"/>
      <c r="G249" s="6" t="n"/>
      <c r="H249" s="6" t="n"/>
      <c r="I249" s="29" t="n"/>
      <c r="J249" s="58">
        <f>SUM(K249:Q249)</f>
        <v/>
      </c>
      <c r="K249" s="6" t="n"/>
      <c r="L249" s="6" t="n"/>
      <c r="M249" s="6" t="n"/>
      <c r="N249" s="6" t="n"/>
      <c r="O249" s="6" t="n"/>
      <c r="P249" s="6" t="n"/>
      <c r="Q249" s="29" t="n"/>
      <c r="R249" s="58">
        <f>IF(J249-D249&lt;0,0,J249-D249)</f>
        <v/>
      </c>
      <c r="S249" s="60">
        <f>IF(D249-J249&lt;0,0,D249-J249)</f>
        <v/>
      </c>
      <c r="T249" s="29" t="n"/>
      <c r="U249" s="47">
        <f>SUM(D249:T249)</f>
        <v/>
      </c>
    </row>
    <row r="250" ht="34.5" customHeight="1">
      <c r="A250" s="38" t="n"/>
      <c r="B250" s="7" t="n"/>
      <c r="C250" s="32" t="n"/>
      <c r="D250" s="58">
        <f>F250+H250</f>
        <v/>
      </c>
      <c r="E250" s="60">
        <f>G250+I250</f>
        <v/>
      </c>
      <c r="F250" s="6" t="n"/>
      <c r="G250" s="6" t="n"/>
      <c r="H250" s="6" t="n"/>
      <c r="I250" s="29" t="n"/>
      <c r="J250" s="58">
        <f>SUM(K250:Q250)</f>
        <v/>
      </c>
      <c r="K250" s="6" t="n"/>
      <c r="L250" s="6" t="n"/>
      <c r="M250" s="6" t="n"/>
      <c r="N250" s="6" t="n"/>
      <c r="O250" s="6" t="n"/>
      <c r="P250" s="6" t="n"/>
      <c r="Q250" s="29" t="n"/>
      <c r="R250" s="58">
        <f>IF(J250-D250&lt;0,0,J250-D250)</f>
        <v/>
      </c>
      <c r="S250" s="60">
        <f>IF(D250-J250&lt;0,0,D250-J250)</f>
        <v/>
      </c>
      <c r="T250" s="29" t="n"/>
      <c r="U250" s="47">
        <f>SUM(D250:T250)</f>
        <v/>
      </c>
    </row>
    <row r="251" ht="34.5" customHeight="1">
      <c r="A251" s="37" t="n">
        <v>16</v>
      </c>
      <c r="B251" s="3" t="inlineStr">
        <is>
          <t>Польові холодильні засоби</t>
        </is>
      </c>
      <c r="C251" s="28" t="inlineStr">
        <is>
          <t>к-т</t>
        </is>
      </c>
      <c r="D251" s="27">
        <f>F251+H251</f>
        <v/>
      </c>
      <c r="E251" s="4">
        <f>G251+I251</f>
        <v/>
      </c>
      <c r="F251" s="4">
        <f>F252+F253+F254+F255+F256+F257+F258+F259+F260+F261+F262+F263+F264+F265+F266+F267+F268+F269+F270+F271+F283+F284+F285+F272+F278+F279+F280+F281+F282</f>
        <v/>
      </c>
      <c r="G251" s="4">
        <f>G252+G253+G254+G255+G256+G257+G258+G259+G260+G261+G262+G263+G264+G265+G266+G267+G268+G269+G270+G271+G283+G284+G285+G272+G278+G279+G280+G281+G282</f>
        <v/>
      </c>
      <c r="H251" s="4">
        <f>H252+H253+H254+H255+H256+H257+H258+H259+H260+H261+H262+H263+H264+H265+H266+H267+H268+H269+H270+H271+H283+H284+H285+H272+H278+H279+H280+H281+H282</f>
        <v/>
      </c>
      <c r="I251" s="28">
        <f>I252+I253+I254+I255+I256+I257+I258+I259+I260+I261+I262+I263+I264+I265+I266+I267+I268+I269+I270+I271+I283+I284+I285+I272+I278+I279+I280+I281+I282</f>
        <v/>
      </c>
      <c r="J251" s="27">
        <f>SUM(K251:Q251)</f>
        <v/>
      </c>
      <c r="K251" s="4">
        <f>K252+K253+K254+K255+K256+K257+K258+K259+K260+K261+K262+K263+K264+K265+K266+K267+K268+K269+K270+K271+K283+K284+K285+K272+K278+K279+K280+K281+K282</f>
        <v/>
      </c>
      <c r="L251" s="4">
        <f>L252+L253+L254+L255+L256+L257+L258+L259+L260+L261+L262+L263+L264+L265+L266+L267+L268+L269+L270+L271+L283+L284+L285+L272+L278+L279+L280+L281+L282</f>
        <v/>
      </c>
      <c r="M251" s="4">
        <f>M252+M253+M254+M255+M256+M257+M258+M259+M260+M261+M262+M263+M264+M265+M266+M267+M268+M269+M270+M271+M283+M284+M285+M272+M278+M279+M280+M281+M282</f>
        <v/>
      </c>
      <c r="N251" s="4">
        <f>N252+N253+N254+N255+N256+N257+N258+N259+N260+N261+N262+N263+N264+N265+N266+N267+N268+N269+N270+N271+N283+N284+N285+N272+N278+N279+N280+N281+N282</f>
        <v/>
      </c>
      <c r="O251" s="4">
        <f>O252+O253+O254+O255+O256+O257+O258+O259+O260+O261+O262+O263+O264+O265+O266+O267+O268+O269+O270+O271+O283+O284+O285+O272+O278+O279+O280+O281+O282</f>
        <v/>
      </c>
      <c r="P251" s="4">
        <f>P252+P253+P254+P255+P256+P257+P258+P259+P260+P261+P262+P263+P264+P265+P266+P267+P268+P269+P270+P271+P283+P284+P285+P272+P278+P279+P280+P281+P282</f>
        <v/>
      </c>
      <c r="Q251" s="28">
        <f>Q252+Q253+Q254+Q255+Q256+Q257+Q258+Q259+Q260+Q261+Q262+Q263+Q264+Q265+Q266+Q267+Q268+Q269+Q270+Q271+Q283+Q284+Q285+Q272+Q278+Q279+Q280+Q281+Q282</f>
        <v/>
      </c>
      <c r="R251" s="27">
        <f>IF(J251-D251&lt;0,0,J251-D251)</f>
        <v/>
      </c>
      <c r="S251" s="4">
        <f>IF(D251-J251&lt;0,0,D251-J251)</f>
        <v/>
      </c>
      <c r="T251" s="28">
        <f>T252+T253+T254+T255+T256+T257+T258+T259+T260+T261+T262+T263+T264+T265+T266+T267+T268+T269+T270+T271+T283+T284+T285+T272+T278+T279+T280+T281+T282</f>
        <v/>
      </c>
      <c r="U251" s="47">
        <f>SUM(D251:T251)</f>
        <v/>
      </c>
    </row>
    <row r="252" ht="34.5" customHeight="1">
      <c r="A252" s="38" t="n"/>
      <c r="B252" s="5" t="inlineStr">
        <is>
          <t>маина холодильна 2ІХМЗ-1,2</t>
        </is>
      </c>
      <c r="C252" s="39" t="inlineStr">
        <is>
          <t>к-т</t>
        </is>
      </c>
      <c r="D252" s="58">
        <f>F252+H252</f>
        <v/>
      </c>
      <c r="E252" s="60">
        <f>G252+I252</f>
        <v/>
      </c>
      <c r="F252" s="8" t="n"/>
      <c r="G252" s="8" t="n"/>
      <c r="H252" s="8" t="n"/>
      <c r="I252" s="32" t="n"/>
      <c r="J252" s="58">
        <f>SUM(K252:Q252)</f>
        <v/>
      </c>
      <c r="K252" s="8" t="n"/>
      <c r="L252" s="8" t="n"/>
      <c r="M252" s="8" t="n"/>
      <c r="N252" s="8" t="n"/>
      <c r="O252" s="8" t="n"/>
      <c r="P252" s="8" t="n"/>
      <c r="Q252" s="32" t="n"/>
      <c r="R252" s="58">
        <f>IF(J252-D252&lt;0,0,J252-D252)</f>
        <v/>
      </c>
      <c r="S252" s="60">
        <f>IF(D252-J252&lt;0,0,D252-J252)</f>
        <v/>
      </c>
      <c r="T252" s="32" t="n"/>
      <c r="U252" s="47">
        <f>SUM(D252:T252)</f>
        <v/>
      </c>
    </row>
    <row r="253" ht="34.5" customHeight="1">
      <c r="A253" s="38" t="n"/>
      <c r="B253" s="5" t="inlineStr">
        <is>
          <t>машина холодильна ПРХУ</t>
        </is>
      </c>
      <c r="C253" s="39" t="inlineStr">
        <is>
          <t>к-т</t>
        </is>
      </c>
      <c r="D253" s="58">
        <f>F253+H253</f>
        <v/>
      </c>
      <c r="E253" s="60">
        <f>G253+I253</f>
        <v/>
      </c>
      <c r="F253" s="8" t="n"/>
      <c r="G253" s="8" t="n"/>
      <c r="H253" s="8" t="n"/>
      <c r="I253" s="32" t="n"/>
      <c r="J253" s="58">
        <f>SUM(K253:Q253)</f>
        <v/>
      </c>
      <c r="K253" s="8" t="n"/>
      <c r="L253" s="8" t="n"/>
      <c r="M253" s="8" t="n"/>
      <c r="N253" s="8" t="n"/>
      <c r="O253" s="8" t="n"/>
      <c r="P253" s="8" t="n"/>
      <c r="Q253" s="32" t="n"/>
      <c r="R253" s="58">
        <f>IF(J253-D253&lt;0,0,J253-D253)</f>
        <v/>
      </c>
      <c r="S253" s="60">
        <f>IF(D253-J253&lt;0,0,D253-J253)</f>
        <v/>
      </c>
      <c r="T253" s="32" t="n"/>
      <c r="U253" s="47">
        <f>SUM(D253:T253)</f>
        <v/>
      </c>
    </row>
    <row r="254" ht="34.5" customHeight="1">
      <c r="A254" s="38" t="n"/>
      <c r="B254" s="5" t="inlineStr">
        <is>
          <t>машина холодильна ПХМ-5</t>
        </is>
      </c>
      <c r="C254" s="39" t="inlineStr">
        <is>
          <t>к-т</t>
        </is>
      </c>
      <c r="D254" s="58">
        <f>F254+H254</f>
        <v/>
      </c>
      <c r="E254" s="60">
        <f>G254+I254</f>
        <v/>
      </c>
      <c r="F254" s="8" t="n"/>
      <c r="G254" s="8" t="n"/>
      <c r="H254" s="8" t="n"/>
      <c r="I254" s="32" t="n"/>
      <c r="J254" s="58">
        <f>SUM(K254:Q254)</f>
        <v/>
      </c>
      <c r="K254" s="8" t="n"/>
      <c r="L254" s="8" t="n"/>
      <c r="M254" s="8" t="n"/>
      <c r="N254" s="8" t="n"/>
      <c r="O254" s="8" t="n"/>
      <c r="P254" s="8" t="n"/>
      <c r="Q254" s="32" t="n"/>
      <c r="R254" s="58">
        <f>IF(J254-D254&lt;0,0,J254-D254)</f>
        <v/>
      </c>
      <c r="S254" s="60">
        <f>IF(D254-J254&lt;0,0,D254-J254)</f>
        <v/>
      </c>
      <c r="T254" s="32" t="n"/>
      <c r="U254" s="47">
        <f>SUM(D254:T254)</f>
        <v/>
      </c>
    </row>
    <row r="255" ht="34.5" customHeight="1">
      <c r="A255" s="38" t="n"/>
      <c r="B255" s="5" t="inlineStr">
        <is>
          <t>камера холодильна ПРХУ-7</t>
        </is>
      </c>
      <c r="C255" s="39" t="inlineStr">
        <is>
          <t>к-т</t>
        </is>
      </c>
      <c r="D255" s="58">
        <f>F255+H255</f>
        <v/>
      </c>
      <c r="E255" s="60">
        <f>G255+I255</f>
        <v/>
      </c>
      <c r="F255" s="8" t="n"/>
      <c r="G255" s="8" t="n"/>
      <c r="H255" s="8" t="n"/>
      <c r="I255" s="32" t="n"/>
      <c r="J255" s="58">
        <f>SUM(K255:Q255)</f>
        <v/>
      </c>
      <c r="K255" s="8" t="n"/>
      <c r="L255" s="8" t="n"/>
      <c r="M255" s="8" t="n"/>
      <c r="N255" s="8" t="n"/>
      <c r="O255" s="8" t="n"/>
      <c r="P255" s="8" t="n"/>
      <c r="Q255" s="32" t="n"/>
      <c r="R255" s="58">
        <f>IF(J255-D255&lt;0,0,J255-D255)</f>
        <v/>
      </c>
      <c r="S255" s="60">
        <f>IF(D255-J255&lt;0,0,D255-J255)</f>
        <v/>
      </c>
      <c r="T255" s="32" t="n"/>
      <c r="U255" s="47">
        <f>SUM(D255:T255)</f>
        <v/>
      </c>
    </row>
    <row r="256" ht="34.5" customHeight="1">
      <c r="A256" s="38" t="n"/>
      <c r="B256" s="5" t="inlineStr">
        <is>
          <t>камера холодильна КХС-6</t>
        </is>
      </c>
      <c r="C256" s="39" t="inlineStr">
        <is>
          <t>к-т</t>
        </is>
      </c>
      <c r="D256" s="58">
        <f>F256+H256</f>
        <v/>
      </c>
      <c r="E256" s="60">
        <f>G256+I256</f>
        <v/>
      </c>
      <c r="F256" s="6" t="n"/>
      <c r="G256" s="6" t="n"/>
      <c r="H256" s="6" t="n"/>
      <c r="I256" s="29" t="n"/>
      <c r="J256" s="58">
        <f>SUM(K256:Q256)</f>
        <v/>
      </c>
      <c r="K256" s="6" t="n"/>
      <c r="L256" s="6" t="n"/>
      <c r="M256" s="6" t="n"/>
      <c r="N256" s="6" t="n"/>
      <c r="O256" s="6" t="n"/>
      <c r="P256" s="6" t="n"/>
      <c r="Q256" s="29" t="n"/>
      <c r="R256" s="58">
        <f>IF(J256-D256&lt;0,0,J256-D256)</f>
        <v/>
      </c>
      <c r="S256" s="60">
        <f>IF(D256-J256&lt;0,0,D256-J256)</f>
        <v/>
      </c>
      <c r="T256" s="29" t="n"/>
      <c r="U256" s="47">
        <f>SUM(D256:T256)</f>
        <v/>
      </c>
    </row>
    <row r="257" ht="34.5" customHeight="1">
      <c r="A257" s="38" t="n"/>
      <c r="B257" s="5" t="inlineStr">
        <is>
          <t>камера холодильна КХС-2-6</t>
        </is>
      </c>
      <c r="C257" s="39" t="inlineStr">
        <is>
          <t>к-т</t>
        </is>
      </c>
      <c r="D257" s="58">
        <f>F257+H257</f>
        <v/>
      </c>
      <c r="E257" s="60">
        <f>G257+I257</f>
        <v/>
      </c>
      <c r="F257" s="6" t="n"/>
      <c r="G257" s="6" t="n"/>
      <c r="H257" s="6" t="n"/>
      <c r="I257" s="29" t="n"/>
      <c r="J257" s="58">
        <f>SUM(K257:Q257)</f>
        <v/>
      </c>
      <c r="K257" s="6" t="n"/>
      <c r="L257" s="6" t="n"/>
      <c r="M257" s="6" t="n"/>
      <c r="N257" s="6" t="n"/>
      <c r="O257" s="6" t="n"/>
      <c r="P257" s="6" t="n"/>
      <c r="Q257" s="29" t="n"/>
      <c r="R257" s="58">
        <f>IF(J257-D257&lt;0,0,J257-D257)</f>
        <v/>
      </c>
      <c r="S257" s="60">
        <f>IF(D257-J257&lt;0,0,D257-J257)</f>
        <v/>
      </c>
      <c r="T257" s="29" t="n"/>
      <c r="U257" s="47">
        <f>SUM(D257:T257)</f>
        <v/>
      </c>
    </row>
    <row r="258" ht="34.5" customHeight="1">
      <c r="A258" s="38" t="n"/>
      <c r="B258" s="5" t="inlineStr">
        <is>
          <t>камера холодильна КХС-2-12</t>
        </is>
      </c>
      <c r="C258" s="39" t="inlineStr">
        <is>
          <t>к-т</t>
        </is>
      </c>
      <c r="D258" s="58">
        <f>F258+H258</f>
        <v/>
      </c>
      <c r="E258" s="60">
        <f>G258+I258</f>
        <v/>
      </c>
      <c r="F258" s="6" t="n"/>
      <c r="G258" s="6" t="n"/>
      <c r="H258" s="6" t="n"/>
      <c r="I258" s="29" t="n"/>
      <c r="J258" s="58">
        <f>SUM(K258:Q258)</f>
        <v/>
      </c>
      <c r="K258" s="6" t="n"/>
      <c r="L258" s="6" t="n"/>
      <c r="M258" s="6" t="n"/>
      <c r="N258" s="6" t="n"/>
      <c r="O258" s="6" t="n"/>
      <c r="P258" s="6" t="n"/>
      <c r="Q258" s="29" t="n"/>
      <c r="R258" s="58">
        <f>IF(J258-D258&lt;0,0,J258-D258)</f>
        <v/>
      </c>
      <c r="S258" s="60">
        <f>IF(D258-J258&lt;0,0,D258-J258)</f>
        <v/>
      </c>
      <c r="T258" s="29" t="n"/>
      <c r="U258" s="47">
        <f>SUM(D258:T258)</f>
        <v/>
      </c>
    </row>
    <row r="259" ht="34.5" customHeight="1">
      <c r="A259" s="38" t="n"/>
      <c r="B259" s="5" t="inlineStr">
        <is>
          <t>камера холодильна КХС-2-18</t>
        </is>
      </c>
      <c r="C259" s="39" t="inlineStr">
        <is>
          <t>к-т</t>
        </is>
      </c>
      <c r="D259" s="58">
        <f>F259+H259</f>
        <v/>
      </c>
      <c r="E259" s="60">
        <f>G259+I259</f>
        <v/>
      </c>
      <c r="F259" s="6" t="n"/>
      <c r="G259" s="6" t="n"/>
      <c r="H259" s="6" t="n"/>
      <c r="I259" s="29" t="n"/>
      <c r="J259" s="58">
        <f>SUM(K259:Q259)</f>
        <v/>
      </c>
      <c r="K259" s="6" t="n"/>
      <c r="L259" s="6" t="n"/>
      <c r="M259" s="6" t="n"/>
      <c r="N259" s="6" t="n"/>
      <c r="O259" s="6" t="n"/>
      <c r="P259" s="6" t="n"/>
      <c r="Q259" s="29" t="n"/>
      <c r="R259" s="58">
        <f>IF(J259-D259&lt;0,0,J259-D259)</f>
        <v/>
      </c>
      <c r="S259" s="60">
        <f>IF(D259-J259&lt;0,0,D259-J259)</f>
        <v/>
      </c>
      <c r="T259" s="29" t="n"/>
      <c r="U259" s="47">
        <f>SUM(D259:T259)</f>
        <v/>
      </c>
    </row>
    <row r="260" ht="34.5" customHeight="1">
      <c r="A260" s="38" t="n"/>
      <c r="B260" s="5" t="inlineStr">
        <is>
          <t>камера холодильна розбірна КХР-8</t>
        </is>
      </c>
      <c r="C260" s="39" t="inlineStr">
        <is>
          <t>к-т</t>
        </is>
      </c>
      <c r="D260" s="58">
        <f>F260+H260</f>
        <v/>
      </c>
      <c r="E260" s="60">
        <f>G260+I260</f>
        <v/>
      </c>
      <c r="F260" s="6" t="n"/>
      <c r="G260" s="6" t="n"/>
      <c r="H260" s="6" t="n"/>
      <c r="I260" s="29" t="n"/>
      <c r="J260" s="58">
        <f>SUM(K260:Q260)</f>
        <v/>
      </c>
      <c r="K260" s="6" t="n"/>
      <c r="L260" s="6" t="n"/>
      <c r="M260" s="6" t="n"/>
      <c r="N260" s="6" t="n"/>
      <c r="O260" s="6" t="n"/>
      <c r="P260" s="6" t="n"/>
      <c r="Q260" s="29" t="n"/>
      <c r="R260" s="58">
        <f>IF(J260-D260&lt;0,0,J260-D260)</f>
        <v/>
      </c>
      <c r="S260" s="60">
        <f>IF(D260-J260&lt;0,0,D260-J260)</f>
        <v/>
      </c>
      <c r="T260" s="29" t="n"/>
      <c r="U260" s="47">
        <f>SUM(D260:T260)</f>
        <v/>
      </c>
    </row>
    <row r="261" ht="34.5" customHeight="1">
      <c r="A261" s="38" t="n"/>
      <c r="B261" s="5" t="inlineStr">
        <is>
          <t>камера холодильна низькотемпературна об. 6-8 м3 в комплекті з холодильним агрегатом КХН-6</t>
        </is>
      </c>
      <c r="C261" s="39" t="inlineStr">
        <is>
          <t>к-т</t>
        </is>
      </c>
      <c r="D261" s="58">
        <f>F261+H261</f>
        <v/>
      </c>
      <c r="E261" s="60">
        <f>G261+I261</f>
        <v/>
      </c>
      <c r="F261" s="6" t="n"/>
      <c r="G261" s="6" t="n"/>
      <c r="H261" s="6" t="n"/>
      <c r="I261" s="29" t="n"/>
      <c r="J261" s="58">
        <f>SUM(K261:Q261)</f>
        <v/>
      </c>
      <c r="K261" s="6" t="n"/>
      <c r="L261" s="6" t="n"/>
      <c r="M261" s="6" t="n"/>
      <c r="N261" s="6" t="n"/>
      <c r="O261" s="6" t="n"/>
      <c r="P261" s="6" t="n"/>
      <c r="Q261" s="29" t="n"/>
      <c r="R261" s="58">
        <f>IF(J261-D261&lt;0,0,J261-D261)</f>
        <v/>
      </c>
      <c r="S261" s="60">
        <f>IF(D261-J261&lt;0,0,D261-J261)</f>
        <v/>
      </c>
      <c r="T261" s="29" t="n"/>
      <c r="U261" s="47">
        <f>SUM(D261:T261)</f>
        <v/>
      </c>
    </row>
    <row r="262" ht="34.5" customHeight="1">
      <c r="A262" s="38" t="n"/>
      <c r="B262" s="5" t="inlineStr">
        <is>
          <t>камера холодильна низькотемпературна об. 10 м3 в комплекті з холодильним агрегатом</t>
        </is>
      </c>
      <c r="C262" s="39" t="inlineStr">
        <is>
          <t>к-т</t>
        </is>
      </c>
      <c r="D262" s="58">
        <f>F262+H262</f>
        <v/>
      </c>
      <c r="E262" s="60">
        <f>G262+I262</f>
        <v/>
      </c>
      <c r="F262" s="6" t="n"/>
      <c r="G262" s="6" t="n"/>
      <c r="H262" s="6" t="n"/>
      <c r="I262" s="29" t="n"/>
      <c r="J262" s="58">
        <f>SUM(K262:Q262)</f>
        <v/>
      </c>
      <c r="K262" s="6" t="n"/>
      <c r="L262" s="6" t="n"/>
      <c r="M262" s="6" t="n"/>
      <c r="N262" s="6" t="n"/>
      <c r="O262" s="6" t="n"/>
      <c r="P262" s="6" t="n"/>
      <c r="Q262" s="29" t="n"/>
      <c r="R262" s="58">
        <f>IF(J262-D262&lt;0,0,J262-D262)</f>
        <v/>
      </c>
      <c r="S262" s="60">
        <f>IF(D262-J262&lt;0,0,D262-J262)</f>
        <v/>
      </c>
      <c r="T262" s="29" t="n"/>
      <c r="U262" s="47">
        <f>SUM(D262:T262)</f>
        <v/>
      </c>
    </row>
    <row r="263" ht="34.5" customHeight="1">
      <c r="A263" s="38" t="n"/>
      <c r="B263" s="5" t="inlineStr">
        <is>
          <t>камера холодильна низькотемпературна об. 20 м3 в комплекті з холодильним агрегатом</t>
        </is>
      </c>
      <c r="C263" s="39" t="inlineStr">
        <is>
          <t>к-т</t>
        </is>
      </c>
      <c r="D263" s="58">
        <f>F263+H263</f>
        <v/>
      </c>
      <c r="E263" s="60">
        <f>G263+I263</f>
        <v/>
      </c>
      <c r="F263" s="6" t="n"/>
      <c r="G263" s="6" t="n"/>
      <c r="H263" s="6" t="n"/>
      <c r="I263" s="29" t="n"/>
      <c r="J263" s="58">
        <f>SUM(K263:Q263)</f>
        <v/>
      </c>
      <c r="K263" s="6" t="n"/>
      <c r="L263" s="6" t="n"/>
      <c r="M263" s="6" t="n"/>
      <c r="N263" s="6" t="n"/>
      <c r="O263" s="6" t="n"/>
      <c r="P263" s="6" t="n"/>
      <c r="Q263" s="29" t="n"/>
      <c r="R263" s="58">
        <f>IF(J263-D263&lt;0,0,J263-D263)</f>
        <v/>
      </c>
      <c r="S263" s="60">
        <f>IF(D263-J263&lt;0,0,D263-J263)</f>
        <v/>
      </c>
      <c r="T263" s="29" t="n"/>
      <c r="U263" s="47">
        <f>SUM(D263:T263)</f>
        <v/>
      </c>
    </row>
    <row r="264" ht="34.5" customHeight="1">
      <c r="A264" s="38" t="n"/>
      <c r="B264" s="5" t="inlineStr">
        <is>
          <t>камера холодильна низькотемпературна об. 18-20 м3 в комплекті з холодильним агрегатом КХН-18</t>
        </is>
      </c>
      <c r="C264" s="39" t="inlineStr">
        <is>
          <t>к-т</t>
        </is>
      </c>
      <c r="D264" s="58">
        <f>F264+H264</f>
        <v/>
      </c>
      <c r="E264" s="60">
        <f>G264+I264</f>
        <v/>
      </c>
      <c r="F264" s="6" t="n"/>
      <c r="G264" s="6" t="n"/>
      <c r="H264" s="6" t="n"/>
      <c r="I264" s="29" t="n"/>
      <c r="J264" s="58">
        <f>SUM(K264:Q264)</f>
        <v/>
      </c>
      <c r="K264" s="6" t="n"/>
      <c r="L264" s="6" t="n"/>
      <c r="M264" s="6" t="n"/>
      <c r="N264" s="6" t="n"/>
      <c r="O264" s="6" t="n"/>
      <c r="P264" s="6" t="n"/>
      <c r="Q264" s="29" t="n"/>
      <c r="R264" s="58">
        <f>IF(J264-D264&lt;0,0,J264-D264)</f>
        <v/>
      </c>
      <c r="S264" s="60">
        <f>IF(D264-J264&lt;0,0,D264-J264)</f>
        <v/>
      </c>
      <c r="T264" s="29" t="n"/>
      <c r="U264" s="47">
        <f>SUM(D264:T264)</f>
        <v/>
      </c>
    </row>
    <row r="265" ht="34.5" customHeight="1">
      <c r="A265" s="38" t="n"/>
      <c r="B265" s="5" t="inlineStr">
        <is>
          <t>камера холодильна середньотемпературна КХС-5,5</t>
        </is>
      </c>
      <c r="C265" s="39" t="inlineStr">
        <is>
          <t>к-т</t>
        </is>
      </c>
      <c r="D265" s="58">
        <f>F265+H265</f>
        <v/>
      </c>
      <c r="E265" s="60">
        <f>G265+I265</f>
        <v/>
      </c>
      <c r="F265" s="6" t="n"/>
      <c r="G265" s="6" t="n"/>
      <c r="H265" s="6" t="n"/>
      <c r="I265" s="29" t="n"/>
      <c r="J265" s="58">
        <f>SUM(K265:Q265)</f>
        <v/>
      </c>
      <c r="K265" s="6" t="n"/>
      <c r="L265" s="6" t="n"/>
      <c r="M265" s="6" t="n"/>
      <c r="N265" s="6" t="n"/>
      <c r="O265" s="6" t="n"/>
      <c r="P265" s="6" t="n"/>
      <c r="Q265" s="29" t="n"/>
      <c r="R265" s="58">
        <f>IF(J265-D265&lt;0,0,J265-D265)</f>
        <v/>
      </c>
      <c r="S265" s="60">
        <f>IF(D265-J265&lt;0,0,D265-J265)</f>
        <v/>
      </c>
      <c r="T265" s="29" t="n"/>
      <c r="U265" s="47">
        <f>SUM(D265:T265)</f>
        <v/>
      </c>
    </row>
    <row r="266" ht="34.5" customHeight="1">
      <c r="A266" s="38" t="n"/>
      <c r="B266" s="5" t="inlineStr">
        <is>
          <t>камера холодильна середньотемпературна КХС-10</t>
        </is>
      </c>
      <c r="C266" s="39" t="inlineStr">
        <is>
          <t>к-т</t>
        </is>
      </c>
      <c r="D266" s="58">
        <f>F266+H266</f>
        <v/>
      </c>
      <c r="E266" s="60">
        <f>G266+I266</f>
        <v/>
      </c>
      <c r="F266" s="6" t="n"/>
      <c r="G266" s="6" t="n"/>
      <c r="H266" s="6" t="n"/>
      <c r="I266" s="29" t="n"/>
      <c r="J266" s="58">
        <f>SUM(K266:Q266)</f>
        <v/>
      </c>
      <c r="K266" s="6" t="n"/>
      <c r="L266" s="6" t="n"/>
      <c r="M266" s="6" t="n"/>
      <c r="N266" s="6" t="n"/>
      <c r="O266" s="6" t="n"/>
      <c r="P266" s="6" t="n"/>
      <c r="Q266" s="29" t="n"/>
      <c r="R266" s="58">
        <f>IF(J266-D266&lt;0,0,J266-D266)</f>
        <v/>
      </c>
      <c r="S266" s="60">
        <f>IF(D266-J266&lt;0,0,D266-J266)</f>
        <v/>
      </c>
      <c r="T266" s="29" t="n"/>
      <c r="U266" s="47">
        <f>SUM(D266:T266)</f>
        <v/>
      </c>
    </row>
    <row r="267" ht="34.5" customHeight="1">
      <c r="A267" s="38" t="n"/>
      <c r="B267" s="5" t="inlineStr">
        <is>
          <t>камера холодильна середньотемпературна КХС-20</t>
        </is>
      </c>
      <c r="C267" s="39" t="inlineStr">
        <is>
          <t>к-т</t>
        </is>
      </c>
      <c r="D267" s="58">
        <f>F267+H267</f>
        <v/>
      </c>
      <c r="E267" s="60">
        <f>G267+I267</f>
        <v/>
      </c>
      <c r="F267" s="6" t="n"/>
      <c r="G267" s="6" t="n"/>
      <c r="H267" s="6" t="n"/>
      <c r="I267" s="29" t="n"/>
      <c r="J267" s="58">
        <f>SUM(K267:Q267)</f>
        <v/>
      </c>
      <c r="K267" s="6" t="n"/>
      <c r="L267" s="6" t="n"/>
      <c r="M267" s="6" t="n"/>
      <c r="N267" s="6" t="n"/>
      <c r="O267" s="6" t="n"/>
      <c r="P267" s="6" t="n"/>
      <c r="Q267" s="29" t="n"/>
      <c r="R267" s="58">
        <f>IF(J267-D267&lt;0,0,J267-D267)</f>
        <v/>
      </c>
      <c r="S267" s="60">
        <f>IF(D267-J267&lt;0,0,D267-J267)</f>
        <v/>
      </c>
      <c r="T267" s="29" t="n"/>
      <c r="U267" s="47">
        <f>SUM(D267:T267)</f>
        <v/>
      </c>
    </row>
    <row r="268" ht="34.5" customHeight="1">
      <c r="A268" s="38" t="n"/>
      <c r="B268" s="5" t="inlineStr">
        <is>
          <t>камера холодильна середньотемпературна об. 6 м3 в комплекті з холодильним агрегатом</t>
        </is>
      </c>
      <c r="C268" s="39" t="inlineStr">
        <is>
          <t>к-т</t>
        </is>
      </c>
      <c r="D268" s="58">
        <f>F268+H268</f>
        <v/>
      </c>
      <c r="E268" s="60">
        <f>G268+I268</f>
        <v/>
      </c>
      <c r="F268" s="6" t="n"/>
      <c r="G268" s="6" t="n"/>
      <c r="H268" s="6" t="n"/>
      <c r="I268" s="29" t="n"/>
      <c r="J268" s="58">
        <f>SUM(K268:Q268)</f>
        <v/>
      </c>
      <c r="K268" s="6" t="n"/>
      <c r="L268" s="6" t="n"/>
      <c r="M268" s="6" t="n"/>
      <c r="N268" s="6" t="n"/>
      <c r="O268" s="6" t="n"/>
      <c r="P268" s="6" t="n"/>
      <c r="Q268" s="29" t="n"/>
      <c r="R268" s="58">
        <f>IF(J268-D268&lt;0,0,J268-D268)</f>
        <v/>
      </c>
      <c r="S268" s="60">
        <f>IF(D268-J268&lt;0,0,D268-J268)</f>
        <v/>
      </c>
      <c r="T268" s="29" t="n"/>
      <c r="U268" s="47">
        <f>SUM(D268:T268)</f>
        <v/>
      </c>
    </row>
    <row r="269" ht="34.5" customHeight="1">
      <c r="A269" s="38" t="n"/>
      <c r="B269" s="5" t="inlineStr">
        <is>
          <t>камера холодильна середньотемпературна об. 6-8 м3 в комплекті з холодильним агрегатом</t>
        </is>
      </c>
      <c r="C269" s="39" t="inlineStr">
        <is>
          <t>к-т</t>
        </is>
      </c>
      <c r="D269" s="58">
        <f>F269+H269</f>
        <v/>
      </c>
      <c r="E269" s="60">
        <f>G269+I269</f>
        <v/>
      </c>
      <c r="F269" s="6" t="n"/>
      <c r="G269" s="6" t="n"/>
      <c r="H269" s="6" t="n"/>
      <c r="I269" s="29" t="n"/>
      <c r="J269" s="58">
        <f>SUM(K269:Q269)</f>
        <v/>
      </c>
      <c r="K269" s="6" t="n"/>
      <c r="L269" s="6" t="n"/>
      <c r="M269" s="6" t="n"/>
      <c r="N269" s="6" t="n"/>
      <c r="O269" s="6" t="n"/>
      <c r="P269" s="6" t="n"/>
      <c r="Q269" s="29" t="n"/>
      <c r="R269" s="58">
        <f>IF(J269-D269&lt;0,0,J269-D269)</f>
        <v/>
      </c>
      <c r="S269" s="60">
        <f>IF(D269-J269&lt;0,0,D269-J269)</f>
        <v/>
      </c>
      <c r="T269" s="29" t="n"/>
      <c r="U269" s="47">
        <f>SUM(D269:T269)</f>
        <v/>
      </c>
    </row>
    <row r="270" ht="34.5" customHeight="1">
      <c r="A270" s="38" t="n"/>
      <c r="B270" s="5" t="inlineStr">
        <is>
          <t>камера холодильна середньотемпературна об. 10-12 м3 в комплекті з холодильним агрегатом</t>
        </is>
      </c>
      <c r="C270" s="39" t="inlineStr">
        <is>
          <t>к-т</t>
        </is>
      </c>
      <c r="D270" s="58">
        <f>F270+H270</f>
        <v/>
      </c>
      <c r="E270" s="60">
        <f>G270+I270</f>
        <v/>
      </c>
      <c r="F270" s="6" t="n"/>
      <c r="G270" s="6" t="n"/>
      <c r="H270" s="6" t="n"/>
      <c r="I270" s="29" t="n"/>
      <c r="J270" s="58">
        <f>SUM(K270:Q270)</f>
        <v/>
      </c>
      <c r="K270" s="6" t="n"/>
      <c r="L270" s="6" t="n"/>
      <c r="M270" s="6" t="n"/>
      <c r="N270" s="6" t="n"/>
      <c r="O270" s="6" t="n"/>
      <c r="P270" s="6" t="n"/>
      <c r="Q270" s="29" t="n"/>
      <c r="R270" s="58">
        <f>IF(J270-D270&lt;0,0,J270-D270)</f>
        <v/>
      </c>
      <c r="S270" s="60">
        <f>IF(D270-J270&lt;0,0,D270-J270)</f>
        <v/>
      </c>
      <c r="T270" s="29" t="n"/>
      <c r="U270" s="47">
        <f>SUM(D270:T270)</f>
        <v/>
      </c>
    </row>
    <row r="271" ht="34.5" customHeight="1">
      <c r="A271" s="38" t="n"/>
      <c r="B271" s="5" t="inlineStr">
        <is>
          <t>морозильний контейнер</t>
        </is>
      </c>
      <c r="C271" s="39" t="inlineStr">
        <is>
          <t>к-т</t>
        </is>
      </c>
      <c r="D271" s="58">
        <f>F271+H271</f>
        <v/>
      </c>
      <c r="E271" s="60">
        <f>G271+I271</f>
        <v/>
      </c>
      <c r="F271" s="6" t="n"/>
      <c r="G271" s="6" t="n"/>
      <c r="H271" s="6" t="n"/>
      <c r="I271" s="29" t="n"/>
      <c r="J271" s="58">
        <f>SUM(K271:Q271)</f>
        <v/>
      </c>
      <c r="K271" s="6" t="n"/>
      <c r="L271" s="6" t="n"/>
      <c r="M271" s="6" t="n"/>
      <c r="N271" s="6" t="n"/>
      <c r="O271" s="6" t="n"/>
      <c r="P271" s="6" t="n"/>
      <c r="Q271" s="29" t="n"/>
      <c r="R271" s="58">
        <f>IF(J271-D271&lt;0,0,J271-D271)</f>
        <v/>
      </c>
      <c r="S271" s="60">
        <f>IF(D271-J271&lt;0,0,D271-J271)</f>
        <v/>
      </c>
      <c r="T271" s="29" t="n"/>
      <c r="U271" s="47">
        <f>SUM(D271:T271)</f>
        <v/>
      </c>
    </row>
    <row r="272" ht="34.5" customHeight="1">
      <c r="A272" s="38" t="n"/>
      <c r="B272" s="7" t="inlineStr">
        <is>
          <t>Камери холодильні розбірні КХР-6</t>
        </is>
      </c>
      <c r="C272" s="32" t="n"/>
      <c r="D272" s="58">
        <f>F272+H272</f>
        <v/>
      </c>
      <c r="E272" s="60">
        <f>G272+I272</f>
        <v/>
      </c>
      <c r="F272" s="6" t="n"/>
      <c r="G272" s="6" t="n"/>
      <c r="H272" s="6" t="n"/>
      <c r="I272" s="29" t="n"/>
      <c r="J272" s="58">
        <f>SUM(K272:Q272)</f>
        <v/>
      </c>
      <c r="K272" s="6" t="n"/>
      <c r="L272" s="6" t="n"/>
      <c r="M272" s="6" t="n"/>
      <c r="N272" s="6" t="n"/>
      <c r="O272" s="6" t="n"/>
      <c r="P272" s="6" t="n"/>
      <c r="Q272" s="29" t="n"/>
      <c r="R272" s="58">
        <f>IF(J272-D272&lt;0,0,J272-D272)</f>
        <v/>
      </c>
      <c r="S272" s="60">
        <f>IF(D272-J272&lt;0,0,D272-J272)</f>
        <v/>
      </c>
      <c r="T272" s="29" t="n"/>
      <c r="U272" s="47">
        <f>SUM(D272:T272)</f>
        <v/>
      </c>
    </row>
    <row r="273" ht="34.5" customHeight="1">
      <c r="A273" s="38" t="n"/>
      <c r="B273" s="7" t="inlineStr">
        <is>
          <t>Холодильний агрегат ВС - 3000</t>
        </is>
      </c>
      <c r="C273" s="32" t="n"/>
      <c r="D273" s="58" t="n"/>
      <c r="E273" s="60" t="n"/>
      <c r="F273" s="6" t="n"/>
      <c r="G273" s="6" t="n"/>
      <c r="H273" s="6" t="n"/>
      <c r="I273" s="29" t="n"/>
      <c r="J273" s="58" t="n"/>
      <c r="K273" s="6" t="n"/>
      <c r="L273" s="6" t="n"/>
      <c r="M273" s="6" t="n"/>
      <c r="N273" s="6" t="n"/>
      <c r="O273" s="6" t="n"/>
      <c r="P273" s="6" t="n"/>
      <c r="Q273" s="29" t="n"/>
      <c r="R273" s="58" t="n"/>
      <c r="S273" s="60" t="n"/>
      <c r="T273" s="29" t="n"/>
      <c r="U273" s="47" t="n"/>
    </row>
    <row r="274" ht="34.5" customHeight="1">
      <c r="A274" s="38" t="n"/>
      <c r="B274" s="7" t="inlineStr">
        <is>
          <t>Холодильний агрегат ВС - 1500</t>
        </is>
      </c>
      <c r="C274" s="32" t="n"/>
      <c r="D274" s="58" t="n"/>
      <c r="E274" s="60" t="n"/>
      <c r="F274" s="6" t="n"/>
      <c r="G274" s="6" t="n"/>
      <c r="H274" s="6" t="n"/>
      <c r="I274" s="29" t="n"/>
      <c r="J274" s="58" t="n"/>
      <c r="K274" s="6" t="n"/>
      <c r="L274" s="6" t="n"/>
      <c r="M274" s="6" t="n"/>
      <c r="N274" s="6" t="n"/>
      <c r="O274" s="6" t="n"/>
      <c r="P274" s="6" t="n"/>
      <c r="Q274" s="29" t="n"/>
      <c r="R274" s="58" t="n"/>
      <c r="S274" s="60" t="n"/>
      <c r="T274" s="29" t="n"/>
      <c r="U274" s="47" t="n"/>
    </row>
    <row r="275" ht="34.5" customHeight="1">
      <c r="A275" s="38" t="n"/>
      <c r="B275" s="7" t="inlineStr">
        <is>
          <t>Скриня морозильна</t>
        </is>
      </c>
      <c r="C275" s="32" t="n"/>
      <c r="D275" s="58" t="n"/>
      <c r="E275" s="60" t="n"/>
      <c r="F275" s="6" t="n"/>
      <c r="G275" s="6" t="n"/>
      <c r="H275" s="6" t="n"/>
      <c r="I275" s="29" t="n"/>
      <c r="J275" s="58" t="n"/>
      <c r="K275" s="6" t="n"/>
      <c r="L275" s="6" t="n"/>
      <c r="M275" s="6" t="n"/>
      <c r="N275" s="6" t="n"/>
      <c r="O275" s="6" t="n"/>
      <c r="P275" s="6" t="n"/>
      <c r="Q275" s="29" t="n"/>
      <c r="R275" s="58" t="n"/>
      <c r="S275" s="60" t="n"/>
      <c r="T275" s="29" t="n"/>
      <c r="U275" s="47" t="n"/>
    </row>
    <row r="276" ht="34.5" customHeight="1">
      <c r="A276" s="38" t="n"/>
      <c r="B276" s="7" t="inlineStr">
        <is>
          <t>Шафа холодильна середньотемпературна ШХ-0,6</t>
        </is>
      </c>
      <c r="C276" s="32" t="n"/>
      <c r="D276" s="58" t="n"/>
      <c r="E276" s="60" t="n"/>
      <c r="F276" s="6" t="n"/>
      <c r="G276" s="6" t="n"/>
      <c r="H276" s="6" t="n"/>
      <c r="I276" s="29" t="n"/>
      <c r="J276" s="58" t="n"/>
      <c r="K276" s="6" t="n"/>
      <c r="L276" s="6" t="n"/>
      <c r="M276" s="6" t="n"/>
      <c r="N276" s="6" t="n"/>
      <c r="O276" s="6" t="n"/>
      <c r="P276" s="6" t="n"/>
      <c r="Q276" s="29" t="n"/>
      <c r="R276" s="58" t="n"/>
      <c r="S276" s="60" t="n"/>
      <c r="T276" s="29" t="n"/>
      <c r="U276" s="47" t="n"/>
    </row>
    <row r="277" ht="34.5" customHeight="1">
      <c r="A277" s="38" t="n"/>
      <c r="B277" s="7" t="inlineStr">
        <is>
          <t>Скриня морозильна GJRENJE FH401 GCFW-370 л.</t>
        </is>
      </c>
      <c r="C277" s="32" t="n"/>
      <c r="D277" s="58" t="n"/>
      <c r="E277" s="60" t="n"/>
      <c r="F277" s="6" t="n"/>
      <c r="G277" s="6" t="n"/>
      <c r="H277" s="6" t="n"/>
      <c r="I277" s="29" t="n"/>
      <c r="J277" s="58" t="n"/>
      <c r="K277" s="6" t="n"/>
      <c r="L277" s="6" t="n"/>
      <c r="M277" s="6" t="n"/>
      <c r="N277" s="6" t="n"/>
      <c r="O277" s="6" t="n"/>
      <c r="P277" s="6" t="n"/>
      <c r="Q277" s="29" t="n"/>
      <c r="R277" s="58" t="n"/>
      <c r="S277" s="60" t="n"/>
      <c r="T277" s="29" t="n"/>
      <c r="U277" s="47" t="n"/>
    </row>
    <row r="278" ht="34.5" customHeight="1">
      <c r="A278" s="38" t="n"/>
      <c r="B278" s="7" t="inlineStr">
        <is>
          <t>Скриня морозильна GJRENJE FH401 GCFW-145 л.</t>
        </is>
      </c>
      <c r="C278" s="32" t="n"/>
      <c r="D278" s="58">
        <f>F278+H278</f>
        <v/>
      </c>
      <c r="E278" s="60">
        <f>G278+I278</f>
        <v/>
      </c>
      <c r="F278" s="6" t="n"/>
      <c r="G278" s="6" t="n"/>
      <c r="H278" s="6" t="n"/>
      <c r="I278" s="29" t="n"/>
      <c r="J278" s="58">
        <f>SUM(K278:Q278)</f>
        <v/>
      </c>
      <c r="K278" s="6" t="n"/>
      <c r="L278" s="6" t="n"/>
      <c r="M278" s="6" t="n"/>
      <c r="N278" s="6" t="n"/>
      <c r="O278" s="6" t="n"/>
      <c r="P278" s="6" t="n"/>
      <c r="Q278" s="29" t="n"/>
      <c r="R278" s="58">
        <f>IF(J278-D278&lt;0,0,J278-D278)</f>
        <v/>
      </c>
      <c r="S278" s="60">
        <f>IF(D278-J278&lt;0,0,D278-J278)</f>
        <v/>
      </c>
      <c r="T278" s="29" t="n"/>
      <c r="U278" s="47">
        <f>SUM(D278:T278)</f>
        <v/>
      </c>
    </row>
    <row r="279" ht="34.5" customHeight="1">
      <c r="A279" s="38" t="n"/>
      <c r="B279" s="7" t="inlineStr">
        <is>
          <t>Шафа холодильна середньотемпературна однодверна TATRA TRC 700 TN</t>
        </is>
      </c>
      <c r="C279" s="32" t="n"/>
      <c r="D279" s="58">
        <f>F279+H279</f>
        <v/>
      </c>
      <c r="E279" s="60">
        <f>G279+I279</f>
        <v/>
      </c>
      <c r="F279" s="6" t="n"/>
      <c r="G279" s="6" t="n"/>
      <c r="H279" s="6" t="n"/>
      <c r="I279" s="29" t="n"/>
      <c r="J279" s="58">
        <f>SUM(K279:Q279)</f>
        <v/>
      </c>
      <c r="K279" s="6" t="n"/>
      <c r="L279" s="6" t="n"/>
      <c r="M279" s="6" t="n"/>
      <c r="N279" s="6" t="n"/>
      <c r="O279" s="6" t="n"/>
      <c r="P279" s="6" t="n"/>
      <c r="Q279" s="29" t="n"/>
      <c r="R279" s="58">
        <f>IF(J279-D279&lt;0,0,J279-D279)</f>
        <v/>
      </c>
      <c r="S279" s="60">
        <f>IF(D279-J279&lt;0,0,D279-J279)</f>
        <v/>
      </c>
      <c r="T279" s="29" t="n"/>
      <c r="U279" s="47">
        <f>SUM(D279:T279)</f>
        <v/>
      </c>
    </row>
    <row r="280" ht="34.5" customHeight="1">
      <c r="A280" s="38" t="n"/>
      <c r="B280" s="7" t="inlineStr">
        <is>
          <t>Холодильник побутовий</t>
        </is>
      </c>
      <c r="C280" s="32" t="n"/>
      <c r="D280" s="58">
        <f>F280+H280</f>
        <v/>
      </c>
      <c r="E280" s="60">
        <f>G280+I280</f>
        <v/>
      </c>
      <c r="F280" s="6" t="n"/>
      <c r="G280" s="6" t="n"/>
      <c r="H280" s="6" t="n"/>
      <c r="I280" s="29" t="n"/>
      <c r="J280" s="58">
        <f>SUM(K280:Q280)</f>
        <v/>
      </c>
      <c r="K280" s="6" t="n"/>
      <c r="L280" s="6" t="n"/>
      <c r="M280" s="6" t="n"/>
      <c r="N280" s="6" t="n"/>
      <c r="O280" s="6" t="n"/>
      <c r="P280" s="6" t="n"/>
      <c r="Q280" s="29" t="n"/>
      <c r="R280" s="58">
        <f>IF(J280-D280&lt;0,0,J280-D280)</f>
        <v/>
      </c>
      <c r="S280" s="60">
        <f>IF(D280-J280&lt;0,0,D280-J280)</f>
        <v/>
      </c>
      <c r="T280" s="29" t="n"/>
      <c r="U280" s="47">
        <f>SUM(D280:T280)</f>
        <v/>
      </c>
    </row>
    <row r="281" ht="34.5" customHeight="1">
      <c r="A281" s="38" t="n"/>
      <c r="B281" s="7" t="inlineStr">
        <is>
          <t>Шафа (скриня) холодильна низькотемпературна Grunhelm GCFW-251</t>
        </is>
      </c>
      <c r="C281" s="32" t="n"/>
      <c r="D281" s="58">
        <f>F281+H281</f>
        <v/>
      </c>
      <c r="E281" s="60">
        <f>G281+I281</f>
        <v/>
      </c>
      <c r="F281" s="6" t="n"/>
      <c r="G281" s="6" t="n"/>
      <c r="H281" s="6" t="n"/>
      <c r="I281" s="29" t="n"/>
      <c r="J281" s="58">
        <f>SUM(K281:Q281)</f>
        <v/>
      </c>
      <c r="K281" s="6" t="n"/>
      <c r="L281" s="6" t="n"/>
      <c r="M281" s="6" t="n"/>
      <c r="N281" s="6" t="n"/>
      <c r="O281" s="6" t="n"/>
      <c r="P281" s="6" t="n"/>
      <c r="Q281" s="29" t="n"/>
      <c r="R281" s="58">
        <f>IF(J281-D281&lt;0,0,J281-D281)</f>
        <v/>
      </c>
      <c r="S281" s="60">
        <f>IF(D281-J281&lt;0,0,D281-J281)</f>
        <v/>
      </c>
      <c r="T281" s="29" t="n"/>
      <c r="U281" s="47">
        <f>SUM(D281:T281)</f>
        <v/>
      </c>
    </row>
    <row r="282" ht="34.5" customHeight="1">
      <c r="A282" s="38" t="n"/>
      <c r="B282" s="7" t="n"/>
      <c r="C282" s="32" t="n"/>
      <c r="D282" s="58">
        <f>F282+H282</f>
        <v/>
      </c>
      <c r="E282" s="60">
        <f>G282+I282</f>
        <v/>
      </c>
      <c r="F282" s="6" t="n"/>
      <c r="G282" s="6" t="n"/>
      <c r="H282" s="6" t="n"/>
      <c r="I282" s="29" t="n"/>
      <c r="J282" s="58">
        <f>SUM(K282:Q282)</f>
        <v/>
      </c>
      <c r="K282" s="6" t="n"/>
      <c r="L282" s="6" t="n"/>
      <c r="M282" s="6" t="n"/>
      <c r="N282" s="6" t="n"/>
      <c r="O282" s="6" t="n"/>
      <c r="P282" s="6" t="n"/>
      <c r="Q282" s="29" t="n"/>
      <c r="R282" s="58">
        <f>IF(J282-D282&lt;0,0,J282-D282)</f>
        <v/>
      </c>
      <c r="S282" s="60">
        <f>IF(D282-J282&lt;0,0,D282-J282)</f>
        <v/>
      </c>
      <c r="T282" s="29" t="n"/>
      <c r="U282" s="47">
        <f>SUM(D282:T282)</f>
        <v/>
      </c>
    </row>
    <row r="283" ht="34.5" customHeight="1">
      <c r="A283" s="38" t="n"/>
      <c r="B283" s="7" t="n"/>
      <c r="C283" s="32" t="n"/>
      <c r="D283" s="58">
        <f>F283+H283</f>
        <v/>
      </c>
      <c r="E283" s="60">
        <f>G283+I283</f>
        <v/>
      </c>
      <c r="F283" s="6" t="n"/>
      <c r="G283" s="6" t="n"/>
      <c r="H283" s="6" t="n"/>
      <c r="I283" s="29" t="n"/>
      <c r="J283" s="58">
        <f>SUM(K283:Q283)</f>
        <v/>
      </c>
      <c r="K283" s="6" t="n"/>
      <c r="L283" s="6" t="n"/>
      <c r="M283" s="6" t="n"/>
      <c r="N283" s="6" t="n"/>
      <c r="O283" s="6" t="n"/>
      <c r="P283" s="6" t="n"/>
      <c r="Q283" s="29" t="n"/>
      <c r="R283" s="58">
        <f>IF(J283-D283&lt;0,0,J283-D283)</f>
        <v/>
      </c>
      <c r="S283" s="60">
        <f>IF(D283-J283&lt;0,0,D283-J283)</f>
        <v/>
      </c>
      <c r="T283" s="29" t="n"/>
      <c r="U283" s="47">
        <f>SUM(D283:T283)</f>
        <v/>
      </c>
    </row>
    <row r="284" ht="34.5" customHeight="1">
      <c r="A284" s="38" t="n"/>
      <c r="B284" s="7" t="n"/>
      <c r="C284" s="32" t="n"/>
      <c r="D284" s="58">
        <f>F284+H284</f>
        <v/>
      </c>
      <c r="E284" s="60">
        <f>G284+I284</f>
        <v/>
      </c>
      <c r="F284" s="6" t="n"/>
      <c r="G284" s="6" t="n"/>
      <c r="H284" s="6" t="n"/>
      <c r="I284" s="29" t="n"/>
      <c r="J284" s="58">
        <f>SUM(K284:Q284)</f>
        <v/>
      </c>
      <c r="K284" s="6" t="n"/>
      <c r="L284" s="6" t="n"/>
      <c r="M284" s="6" t="n"/>
      <c r="N284" s="6" t="n"/>
      <c r="O284" s="6" t="n"/>
      <c r="P284" s="6" t="n"/>
      <c r="Q284" s="29" t="n"/>
      <c r="R284" s="58">
        <f>IF(J284-D284&lt;0,0,J284-D284)</f>
        <v/>
      </c>
      <c r="S284" s="60">
        <f>IF(D284-J284&lt;0,0,D284-J284)</f>
        <v/>
      </c>
      <c r="T284" s="29" t="n"/>
      <c r="U284" s="47">
        <f>SUM(D284:T284)</f>
        <v/>
      </c>
    </row>
    <row r="285" ht="34.5" customHeight="1">
      <c r="A285" s="38" t="n"/>
      <c r="B285" s="7" t="n"/>
      <c r="C285" s="32" t="n"/>
      <c r="D285" s="58">
        <f>F285+H285</f>
        <v/>
      </c>
      <c r="E285" s="60">
        <f>G285+I285</f>
        <v/>
      </c>
      <c r="F285" s="6" t="n"/>
      <c r="G285" s="6" t="n"/>
      <c r="H285" s="6" t="n"/>
      <c r="I285" s="29" t="n"/>
      <c r="J285" s="58">
        <f>SUM(K285:Q285)</f>
        <v/>
      </c>
      <c r="K285" s="6" t="n"/>
      <c r="L285" s="6" t="n"/>
      <c r="M285" s="6" t="n"/>
      <c r="N285" s="6" t="n"/>
      <c r="O285" s="6" t="n"/>
      <c r="P285" s="6" t="n"/>
      <c r="Q285" s="29" t="n"/>
      <c r="R285" s="58">
        <f>IF(J285-D285&lt;0,0,J285-D285)</f>
        <v/>
      </c>
      <c r="S285" s="60">
        <f>IF(D285-J285&lt;0,0,D285-J285)</f>
        <v/>
      </c>
      <c r="T285" s="29" t="n"/>
      <c r="U285" s="47">
        <f>SUM(D285:T285)</f>
        <v/>
      </c>
    </row>
    <row r="286" ht="34.5" customHeight="1">
      <c r="A286" s="37" t="n">
        <v>17</v>
      </c>
      <c r="B286" s="3" t="inlineStr">
        <is>
          <t xml:space="preserve">Технічні засоби ремонту </t>
        </is>
      </c>
      <c r="C286" s="28" t="inlineStr">
        <is>
          <t>к-т</t>
        </is>
      </c>
      <c r="D286" s="27">
        <f>F286+H286</f>
        <v/>
      </c>
      <c r="E286" s="4">
        <f>G286+I286</f>
        <v/>
      </c>
      <c r="F286" s="4">
        <f>F287+F288+F289+F290+F291</f>
        <v/>
      </c>
      <c r="G286" s="4">
        <f>G287+G288+G289+G290+G291</f>
        <v/>
      </c>
      <c r="H286" s="4">
        <f>H287+H288+H289+H290+H291</f>
        <v/>
      </c>
      <c r="I286" s="28">
        <f>I287+I288+I289+I290+I291</f>
        <v/>
      </c>
      <c r="J286" s="27">
        <f>SUM(K286:Q286)</f>
        <v/>
      </c>
      <c r="K286" s="4">
        <f>K287+K288+K289+K290+K291</f>
        <v/>
      </c>
      <c r="L286" s="4">
        <f>L287+L288+L289+L290+L291</f>
        <v/>
      </c>
      <c r="M286" s="4">
        <f>M287+M288+M289+M290+M291</f>
        <v/>
      </c>
      <c r="N286" s="4">
        <f>N287+N288+N289+N290+N291</f>
        <v/>
      </c>
      <c r="O286" s="4">
        <f>O287+O288+O289+O290+O291</f>
        <v/>
      </c>
      <c r="P286" s="4">
        <f>P287+P288+P289+P290+P291</f>
        <v/>
      </c>
      <c r="Q286" s="28">
        <f>Q287+Q288+Q289+Q290+Q291</f>
        <v/>
      </c>
      <c r="R286" s="27">
        <f>IF(J286-D286&lt;0,0,J286-D286)</f>
        <v/>
      </c>
      <c r="S286" s="4">
        <f>IF(D286-J286&lt;0,0,D286-J286)</f>
        <v/>
      </c>
      <c r="T286" s="28">
        <f>T287+T288+T289+T290+T291</f>
        <v/>
      </c>
      <c r="U286" s="47">
        <f>SUM(D286:T286)</f>
        <v/>
      </c>
    </row>
    <row r="287" ht="34.5" customHeight="1">
      <c r="A287" s="38" t="n"/>
      <c r="B287" s="5" t="inlineStr">
        <is>
          <t>майстерня РМТП-А</t>
        </is>
      </c>
      <c r="C287" s="39" t="inlineStr">
        <is>
          <t>к-т</t>
        </is>
      </c>
      <c r="D287" s="58">
        <f>F287+H287</f>
        <v/>
      </c>
      <c r="E287" s="60">
        <f>G287+I287</f>
        <v/>
      </c>
      <c r="F287" s="6" t="n"/>
      <c r="G287" s="6" t="n"/>
      <c r="H287" s="6" t="n"/>
      <c r="I287" s="29" t="n"/>
      <c r="J287" s="58">
        <f>SUM(K287:Q287)</f>
        <v/>
      </c>
      <c r="K287" s="6" t="n"/>
      <c r="L287" s="6" t="n"/>
      <c r="M287" s="6" t="n"/>
      <c r="N287" s="6" t="n"/>
      <c r="O287" s="6" t="n"/>
      <c r="P287" s="6" t="n"/>
      <c r="Q287" s="29" t="n"/>
      <c r="R287" s="58">
        <f>IF(J287-D287&lt;0,0,J287-D287)</f>
        <v/>
      </c>
      <c r="S287" s="60">
        <f>IF(D287-J287&lt;0,0,D287-J287)</f>
        <v/>
      </c>
      <c r="T287" s="29" t="n"/>
      <c r="U287" s="47">
        <f>SUM(D287:T287)</f>
        <v/>
      </c>
    </row>
    <row r="288" ht="34.5" customHeight="1">
      <c r="A288" s="38" t="n"/>
      <c r="B288" s="5" t="inlineStr">
        <is>
          <t>майстерня РМТП-Ф</t>
        </is>
      </c>
      <c r="C288" s="39" t="inlineStr">
        <is>
          <t>к-т</t>
        </is>
      </c>
      <c r="D288" s="58">
        <f>F288+H288</f>
        <v/>
      </c>
      <c r="E288" s="60">
        <f>G288+I288</f>
        <v/>
      </c>
      <c r="F288" s="6" t="n"/>
      <c r="G288" s="6" t="n"/>
      <c r="H288" s="6" t="n"/>
      <c r="I288" s="29" t="n"/>
      <c r="J288" s="58">
        <f>SUM(K288:Q288)</f>
        <v/>
      </c>
      <c r="K288" s="6" t="n"/>
      <c r="L288" s="6" t="n"/>
      <c r="M288" s="6" t="n"/>
      <c r="N288" s="6" t="n"/>
      <c r="O288" s="6" t="n"/>
      <c r="P288" s="6" t="n"/>
      <c r="Q288" s="29" t="n"/>
      <c r="R288" s="58">
        <f>IF(J288-D288&lt;0,0,J288-D288)</f>
        <v/>
      </c>
      <c r="S288" s="60">
        <f>IF(D288-J288&lt;0,0,D288-J288)</f>
        <v/>
      </c>
      <c r="T288" s="29" t="n"/>
      <c r="U288" s="47">
        <f>SUM(D288:T288)</f>
        <v/>
      </c>
    </row>
    <row r="289" ht="34.5" customHeight="1">
      <c r="A289" s="38" t="n"/>
      <c r="B289" s="5" t="inlineStr">
        <is>
          <t>майстерня МРМ-АТ</t>
        </is>
      </c>
      <c r="C289" s="39" t="inlineStr">
        <is>
          <t>к-т</t>
        </is>
      </c>
      <c r="D289" s="58">
        <f>F289+H289</f>
        <v/>
      </c>
      <c r="E289" s="60">
        <f>G289+I289</f>
        <v/>
      </c>
      <c r="F289" s="6" t="n"/>
      <c r="G289" s="6" t="n"/>
      <c r="H289" s="6" t="n"/>
      <c r="I289" s="29" t="n"/>
      <c r="J289" s="58">
        <f>SUM(K289:Q289)</f>
        <v/>
      </c>
      <c r="K289" s="6" t="n"/>
      <c r="L289" s="6" t="n"/>
      <c r="M289" s="6" t="n"/>
      <c r="N289" s="6" t="n"/>
      <c r="O289" s="6" t="n"/>
      <c r="P289" s="6" t="n"/>
      <c r="Q289" s="29" t="n"/>
      <c r="R289" s="58">
        <f>IF(J289-D289&lt;0,0,J289-D289)</f>
        <v/>
      </c>
      <c r="S289" s="60">
        <f>IF(D289-J289&lt;0,0,D289-J289)</f>
        <v/>
      </c>
      <c r="T289" s="29" t="n"/>
      <c r="U289" s="47">
        <f>SUM(D289:T289)</f>
        <v/>
      </c>
    </row>
    <row r="290" ht="34.5" customHeight="1">
      <c r="A290" s="38" t="n"/>
      <c r="B290" s="5" t="inlineStr">
        <is>
          <t>майстерня МРС-АТ</t>
        </is>
      </c>
      <c r="C290" s="39" t="inlineStr">
        <is>
          <t>к-т</t>
        </is>
      </c>
      <c r="D290" s="58">
        <f>F290+H290</f>
        <v/>
      </c>
      <c r="E290" s="60">
        <f>G290+I290</f>
        <v/>
      </c>
      <c r="F290" s="6" t="n"/>
      <c r="G290" s="6" t="n"/>
      <c r="H290" s="6" t="n"/>
      <c r="I290" s="29" t="n"/>
      <c r="J290" s="58">
        <f>SUM(K290:Q290)</f>
        <v/>
      </c>
      <c r="K290" s="6" t="n"/>
      <c r="L290" s="6" t="n"/>
      <c r="M290" s="6" t="n"/>
      <c r="N290" s="6" t="n"/>
      <c r="O290" s="6" t="n"/>
      <c r="P290" s="6" t="n"/>
      <c r="Q290" s="29" t="n"/>
      <c r="R290" s="58">
        <f>IF(J290-D290&lt;0,0,J290-D290)</f>
        <v/>
      </c>
      <c r="S290" s="60">
        <f>IF(D290-J290&lt;0,0,D290-J290)</f>
        <v/>
      </c>
      <c r="T290" s="29" t="n"/>
      <c r="U290" s="47">
        <f>SUM(D290:T290)</f>
        <v/>
      </c>
    </row>
    <row r="291" ht="34.5" customHeight="1">
      <c r="A291" s="38" t="n"/>
      <c r="B291" s="5" t="inlineStr">
        <is>
          <t>майстерня МРХТО-53</t>
        </is>
      </c>
      <c r="C291" s="39" t="inlineStr">
        <is>
          <t>к-т</t>
        </is>
      </c>
      <c r="D291" s="58">
        <f>F291+H291</f>
        <v/>
      </c>
      <c r="E291" s="60">
        <f>G291+I291</f>
        <v/>
      </c>
      <c r="F291" s="6" t="n"/>
      <c r="G291" s="6" t="n"/>
      <c r="H291" s="6" t="n"/>
      <c r="I291" s="29" t="n"/>
      <c r="J291" s="58">
        <f>SUM(K291:Q291)</f>
        <v/>
      </c>
      <c r="K291" s="6" t="n"/>
      <c r="L291" s="6" t="n"/>
      <c r="M291" s="6" t="n"/>
      <c r="N291" s="6" t="n"/>
      <c r="O291" s="6" t="n"/>
      <c r="P291" s="6" t="n"/>
      <c r="Q291" s="29" t="n"/>
      <c r="R291" s="58">
        <f>IF(J291-D291&lt;0,0,J291-D291)</f>
        <v/>
      </c>
      <c r="S291" s="60">
        <f>IF(D291-J291&lt;0,0,D291-J291)</f>
        <v/>
      </c>
      <c r="T291" s="29" t="n"/>
      <c r="U291" s="47">
        <f>SUM(D291:T291)</f>
        <v/>
      </c>
    </row>
    <row r="292" ht="34.5" customHeight="1">
      <c r="A292" s="38" t="n"/>
      <c r="B292" s="7" t="n"/>
      <c r="C292" s="32" t="n"/>
      <c r="D292" s="58">
        <f>F292+H292</f>
        <v/>
      </c>
      <c r="E292" s="60">
        <f>G292+I292</f>
        <v/>
      </c>
      <c r="F292" s="6" t="n"/>
      <c r="G292" s="6" t="n"/>
      <c r="H292" s="6" t="n"/>
      <c r="I292" s="29" t="n"/>
      <c r="J292" s="58">
        <f>SUM(K292:Q292)</f>
        <v/>
      </c>
      <c r="K292" s="6" t="n"/>
      <c r="L292" s="6" t="n"/>
      <c r="M292" s="6" t="n"/>
      <c r="N292" s="6" t="n"/>
      <c r="O292" s="6" t="n"/>
      <c r="P292" s="6" t="n"/>
      <c r="Q292" s="29" t="n"/>
      <c r="R292" s="58">
        <f>IF(J292-D292&lt;0,0,J292-D292)</f>
        <v/>
      </c>
      <c r="S292" s="60">
        <f>IF(D292-J292&lt;0,0,D292-J292)</f>
        <v/>
      </c>
      <c r="T292" s="29" t="n"/>
      <c r="U292" s="47">
        <f>SUM(D292:T292)</f>
        <v/>
      </c>
    </row>
    <row r="293" ht="34.5" customHeight="1">
      <c r="A293" s="37" t="n">
        <v>18</v>
      </c>
      <c r="B293" s="3" t="inlineStr">
        <is>
          <t>Намети, брезенти</t>
        </is>
      </c>
      <c r="C293" s="28" t="inlineStr">
        <is>
          <t>к-т</t>
        </is>
      </c>
      <c r="D293" s="27">
        <f>F293+H293</f>
        <v/>
      </c>
      <c r="E293" s="4">
        <f>G293+I293</f>
        <v/>
      </c>
      <c r="F293" s="4">
        <f>F294+F295+F296+F297+F300+F301+F298+F299</f>
        <v/>
      </c>
      <c r="G293" s="4">
        <f>G294+G295+G296+G297+G300+G301+G298+G299</f>
        <v/>
      </c>
      <c r="H293" s="4">
        <f>H294+H295+H296+H297+H300+H301+H298+H299</f>
        <v/>
      </c>
      <c r="I293" s="28">
        <f>I294+I295+I296+I297+I300+I301+I298+I299</f>
        <v/>
      </c>
      <c r="J293" s="27">
        <f>SUM(K293:Q293)</f>
        <v/>
      </c>
      <c r="K293" s="4">
        <f>K294+K295+K296+K297+K300+K301+K298+K299</f>
        <v/>
      </c>
      <c r="L293" s="4">
        <f>L294+L295+L296+L297+L300+L301+L298+L299</f>
        <v/>
      </c>
      <c r="M293" s="4">
        <f>M294+M295+M296+M297+M300+M301+M298+M299</f>
        <v/>
      </c>
      <c r="N293" s="4">
        <f>N294+N295+N296+N297+N300+N301+N298+N299</f>
        <v/>
      </c>
      <c r="O293" s="4">
        <f>O294+O295+O296+O297+O300+O301+O298+O299</f>
        <v/>
      </c>
      <c r="P293" s="4">
        <f>P294+P295+P296+P297+P300+P301+P298+P299</f>
        <v/>
      </c>
      <c r="Q293" s="28">
        <f>Q294+Q295+Q296+Q297+Q300+Q301+Q298+Q299</f>
        <v/>
      </c>
      <c r="R293" s="27">
        <f>IF(J293-D293&lt;0,0,J293-D293)</f>
        <v/>
      </c>
      <c r="S293" s="4">
        <f>IF(D293-J293&lt;0,0,D293-J293)</f>
        <v/>
      </c>
      <c r="T293" s="28">
        <f>T294+T295+T296+T297+T300+T301+T298+T299</f>
        <v/>
      </c>
      <c r="U293" s="47">
        <f>SUM(D293:T293)</f>
        <v/>
      </c>
    </row>
    <row r="294" ht="34.5" customHeight="1">
      <c r="A294" s="38" t="n"/>
      <c r="B294" s="5" t="inlineStr">
        <is>
          <t>намет підсобного призначення</t>
        </is>
      </c>
      <c r="C294" s="39" t="inlineStr">
        <is>
          <t>к-т</t>
        </is>
      </c>
      <c r="D294" s="58">
        <f>F294+H294</f>
        <v/>
      </c>
      <c r="E294" s="60">
        <f>G294+I294</f>
        <v/>
      </c>
      <c r="F294" s="6" t="n"/>
      <c r="G294" s="6" t="n"/>
      <c r="H294" s="6" t="n"/>
      <c r="I294" s="29" t="n"/>
      <c r="J294" s="58">
        <f>SUM(K294:Q294)</f>
        <v/>
      </c>
      <c r="K294" s="6" t="n"/>
      <c r="L294" s="6" t="n"/>
      <c r="M294" s="6" t="n"/>
      <c r="N294" s="6" t="n"/>
      <c r="O294" s="6" t="n"/>
      <c r="P294" s="6" t="n"/>
      <c r="Q294" s="29" t="n"/>
      <c r="R294" s="58">
        <f>IF(J294-D294&lt;0,0,J294-D294)</f>
        <v/>
      </c>
      <c r="S294" s="60">
        <f>IF(D294-J294&lt;0,0,D294-J294)</f>
        <v/>
      </c>
      <c r="T294" s="29" t="n"/>
      <c r="U294" s="47">
        <f>SUM(D294:T294)</f>
        <v/>
      </c>
    </row>
    <row r="295" ht="34.5" customHeight="1">
      <c r="A295" s="38" t="n"/>
      <c r="B295" s="5" t="inlineStr">
        <is>
          <t>намет ПМХ</t>
        </is>
      </c>
      <c r="C295" s="39" t="inlineStr">
        <is>
          <t>к-т</t>
        </is>
      </c>
      <c r="D295" s="58">
        <f>F295+H295</f>
        <v/>
      </c>
      <c r="E295" s="60">
        <f>G295+I295</f>
        <v/>
      </c>
      <c r="F295" s="6" t="n"/>
      <c r="G295" s="6" t="n"/>
      <c r="H295" s="6" t="n"/>
      <c r="I295" s="29" t="n"/>
      <c r="J295" s="58">
        <f>SUM(K295:Q295)</f>
        <v/>
      </c>
      <c r="K295" s="6" t="n"/>
      <c r="L295" s="6" t="n"/>
      <c r="M295" s="6" t="n"/>
      <c r="N295" s="6" t="n"/>
      <c r="O295" s="6" t="n"/>
      <c r="P295" s="6" t="n"/>
      <c r="Q295" s="29" t="n"/>
      <c r="R295" s="58">
        <f>IF(J295-D295&lt;0,0,J295-D295)</f>
        <v/>
      </c>
      <c r="S295" s="60">
        <f>IF(D295-J295&lt;0,0,D295-J295)</f>
        <v/>
      </c>
      <c r="T295" s="29" t="n"/>
      <c r="U295" s="47">
        <f>SUM(D295:T295)</f>
        <v/>
      </c>
    </row>
    <row r="296" ht="34.5" customHeight="1">
      <c r="A296" s="38" t="n"/>
      <c r="B296" s="5" t="inlineStr">
        <is>
          <t>брезент для накриття продовольства</t>
        </is>
      </c>
      <c r="C296" s="39" t="inlineStr">
        <is>
          <t>к-т</t>
        </is>
      </c>
      <c r="D296" s="58">
        <f>F296+H296</f>
        <v/>
      </c>
      <c r="E296" s="60">
        <f>G296+I296</f>
        <v/>
      </c>
      <c r="F296" s="6" t="n"/>
      <c r="G296" s="6" t="n"/>
      <c r="H296" s="6" t="n"/>
      <c r="I296" s="29" t="n"/>
      <c r="J296" s="58">
        <f>SUM(K296:Q296)</f>
        <v/>
      </c>
      <c r="K296" s="6" t="n"/>
      <c r="L296" s="6" t="n"/>
      <c r="M296" s="6" t="n"/>
      <c r="N296" s="6" t="n"/>
      <c r="O296" s="6" t="n"/>
      <c r="P296" s="6" t="n"/>
      <c r="Q296" s="29" t="n"/>
      <c r="R296" s="58">
        <f>IF(J296-D296&lt;0,0,J296-D296)</f>
        <v/>
      </c>
      <c r="S296" s="60">
        <f>IF(D296-J296&lt;0,0,D296-J296)</f>
        <v/>
      </c>
      <c r="T296" s="29" t="n"/>
      <c r="U296" s="47">
        <f>SUM(D296:T296)</f>
        <v/>
      </c>
    </row>
    <row r="297" ht="34.5" customHeight="1">
      <c r="A297" s="38" t="n"/>
      <c r="B297" s="5" t="inlineStr">
        <is>
          <t>намет ПХРЗ</t>
        </is>
      </c>
      <c r="C297" s="39" t="inlineStr">
        <is>
          <t>к-т</t>
        </is>
      </c>
      <c r="D297" s="58">
        <f>F297+H297</f>
        <v/>
      </c>
      <c r="E297" s="60">
        <f>G297+I297</f>
        <v/>
      </c>
      <c r="F297" s="6" t="n"/>
      <c r="G297" s="6" t="n"/>
      <c r="H297" s="6" t="n"/>
      <c r="I297" s="29" t="n"/>
      <c r="J297" s="58">
        <f>SUM(K297:Q297)</f>
        <v/>
      </c>
      <c r="K297" s="6" t="n"/>
      <c r="L297" s="6" t="n"/>
      <c r="M297" s="6" t="n"/>
      <c r="N297" s="6" t="n"/>
      <c r="O297" s="6" t="n"/>
      <c r="P297" s="6" t="n"/>
      <c r="Q297" s="29" t="n"/>
      <c r="R297" s="58">
        <f>IF(J297-D297&lt;0,0,J297-D297)</f>
        <v/>
      </c>
      <c r="S297" s="60">
        <f>IF(D297-J297&lt;0,0,D297-J297)</f>
        <v/>
      </c>
      <c r="T297" s="29" t="n"/>
      <c r="U297" s="47">
        <f>SUM(D297:T297)</f>
        <v/>
      </c>
    </row>
    <row r="298" ht="34.5" customHeight="1">
      <c r="A298" s="38" t="n"/>
      <c r="B298" s="7" t="n"/>
      <c r="C298" s="32" t="n"/>
      <c r="D298" s="58">
        <f>F298+H298</f>
        <v/>
      </c>
      <c r="E298" s="60">
        <f>G298+I298</f>
        <v/>
      </c>
      <c r="F298" s="6" t="n"/>
      <c r="G298" s="6" t="n"/>
      <c r="H298" s="6" t="n"/>
      <c r="I298" s="29" t="n"/>
      <c r="J298" s="58">
        <f>SUM(K298:Q298)</f>
        <v/>
      </c>
      <c r="K298" s="6" t="n"/>
      <c r="L298" s="6" t="n"/>
      <c r="M298" s="6" t="n"/>
      <c r="N298" s="6" t="n"/>
      <c r="O298" s="6" t="n"/>
      <c r="P298" s="6" t="n"/>
      <c r="Q298" s="29" t="n"/>
      <c r="R298" s="58">
        <f>IF(J298-D298&lt;0,0,J298-D298)</f>
        <v/>
      </c>
      <c r="S298" s="60">
        <f>IF(D298-J298&lt;0,0,D298-J298)</f>
        <v/>
      </c>
      <c r="T298" s="29" t="n"/>
      <c r="U298" s="47">
        <f>SUM(D298:T298)</f>
        <v/>
      </c>
    </row>
    <row r="299" ht="34.5" customHeight="1">
      <c r="A299" s="38" t="n"/>
      <c r="B299" s="7" t="n"/>
      <c r="C299" s="32" t="n"/>
      <c r="D299" s="58">
        <f>F299+H299</f>
        <v/>
      </c>
      <c r="E299" s="60">
        <f>G299+I299</f>
        <v/>
      </c>
      <c r="F299" s="6" t="n"/>
      <c r="G299" s="6" t="n"/>
      <c r="H299" s="6" t="n"/>
      <c r="I299" s="29" t="n"/>
      <c r="J299" s="58">
        <f>SUM(K299:Q299)</f>
        <v/>
      </c>
      <c r="K299" s="6" t="n"/>
      <c r="L299" s="6" t="n"/>
      <c r="M299" s="6" t="n"/>
      <c r="N299" s="6" t="n"/>
      <c r="O299" s="6" t="n"/>
      <c r="P299" s="6" t="n"/>
      <c r="Q299" s="29" t="n"/>
      <c r="R299" s="58">
        <f>IF(J299-D299&lt;0,0,J299-D299)</f>
        <v/>
      </c>
      <c r="S299" s="60">
        <f>IF(D299-J299&lt;0,0,D299-J299)</f>
        <v/>
      </c>
      <c r="T299" s="29" t="n"/>
      <c r="U299" s="47">
        <f>SUM(D299:T299)</f>
        <v/>
      </c>
    </row>
    <row r="300" ht="34.5" customHeight="1">
      <c r="A300" s="38" t="n"/>
      <c r="B300" s="7" t="n"/>
      <c r="C300" s="32" t="n"/>
      <c r="D300" s="58">
        <f>F300+H300</f>
        <v/>
      </c>
      <c r="E300" s="60">
        <f>G300+I300</f>
        <v/>
      </c>
      <c r="F300" s="6" t="n"/>
      <c r="G300" s="6" t="n"/>
      <c r="H300" s="6" t="n"/>
      <c r="I300" s="29" t="n"/>
      <c r="J300" s="58">
        <f>SUM(K300:Q300)</f>
        <v/>
      </c>
      <c r="K300" s="6" t="n"/>
      <c r="L300" s="6" t="n"/>
      <c r="M300" s="6" t="n"/>
      <c r="N300" s="6" t="n"/>
      <c r="O300" s="6" t="n"/>
      <c r="P300" s="6" t="n"/>
      <c r="Q300" s="29" t="n"/>
      <c r="R300" s="58">
        <f>IF(J300-D300&lt;0,0,J300-D300)</f>
        <v/>
      </c>
      <c r="S300" s="60">
        <f>IF(D300-J300&lt;0,0,D300-J300)</f>
        <v/>
      </c>
      <c r="T300" s="29" t="n"/>
      <c r="U300" s="47">
        <f>SUM(D300:T300)</f>
        <v/>
      </c>
    </row>
    <row r="301" ht="34.5" customHeight="1">
      <c r="A301" s="38" t="n"/>
      <c r="B301" s="7" t="n"/>
      <c r="C301" s="32" t="n"/>
      <c r="D301" s="58">
        <f>F301+H301</f>
        <v/>
      </c>
      <c r="E301" s="60">
        <f>G301+I301</f>
        <v/>
      </c>
      <c r="F301" s="6" t="n"/>
      <c r="G301" s="6" t="n"/>
      <c r="H301" s="6" t="n"/>
      <c r="I301" s="29" t="n"/>
      <c r="J301" s="58">
        <f>SUM(K301:Q301)</f>
        <v/>
      </c>
      <c r="K301" s="6" t="n"/>
      <c r="L301" s="6" t="n"/>
      <c r="M301" s="6" t="n"/>
      <c r="N301" s="6" t="n"/>
      <c r="O301" s="6" t="n"/>
      <c r="P301" s="6" t="n"/>
      <c r="Q301" s="29" t="n"/>
      <c r="R301" s="58">
        <f>IF(J301-D301&lt;0,0,J301-D301)</f>
        <v/>
      </c>
      <c r="S301" s="60">
        <f>IF(D301-J301&lt;0,0,D301-J301)</f>
        <v/>
      </c>
      <c r="T301" s="29" t="n"/>
      <c r="U301" s="47">
        <f>SUM(D301:T301)</f>
        <v/>
      </c>
    </row>
    <row r="302" ht="34.5" customHeight="1">
      <c r="A302" s="37" t="n">
        <v>19</v>
      </c>
      <c r="B302" s="3" t="inlineStr">
        <is>
          <t>Інше майно:</t>
        </is>
      </c>
      <c r="C302" s="28" t="n"/>
      <c r="D302" s="27">
        <f>F302+H302</f>
        <v/>
      </c>
      <c r="E302" s="4">
        <f>G302+I302</f>
        <v/>
      </c>
      <c r="F302" s="4">
        <f>F303+F304+F305+F320+F321+F322+F323+F306+F307+F308+F309+F310+F311+F312+F313+F314+F315+F316+F317+F318+F319</f>
        <v/>
      </c>
      <c r="G302" s="4">
        <f>G303+G304+G305+G320+G321+G322+G323+G306+G307+G308+G309+G310+G311+G312+G313+G314+G315+G316+G317+G318+G319</f>
        <v/>
      </c>
      <c r="H302" s="4">
        <f>H303+H304+H305+H320+H321+H322+H323+H306+H307+H308+H309+H310+H311+H312+H313+H314+H315+H316+H317+H318+H319</f>
        <v/>
      </c>
      <c r="I302" s="28">
        <f>I303+I304+I305+I320+I321+I322+I323+I306+I307+I308+I309+I310+I311+I312+I313+I314+I315+I316+I317+I318+I319</f>
        <v/>
      </c>
      <c r="J302" s="27">
        <f>SUM(K302:Q302)</f>
        <v/>
      </c>
      <c r="K302" s="4">
        <f>K303+K304+K305+K320+K321+K322+K323+K306+K307+K308+K309+K310+K311+K312+K313+K314+K315+K316+K317+K318+K319</f>
        <v/>
      </c>
      <c r="L302" s="4">
        <f>L303+L304+L305+L320+L321+L322+L323+L306+L307+L308+L309+L310+L311+L312+L313+L314+L315+L316+L317+L318+L319</f>
        <v/>
      </c>
      <c r="M302" s="4">
        <f>M303+M304+M305+M320+M321+M322+M323+M306+M307+M308+M309+M310+M311+M312+M313+M314+M315+M316+M317+M318+M319</f>
        <v/>
      </c>
      <c r="N302" s="4">
        <f>N303+N304+N305+N320+N321+N322+N323+N306+N307+N308+N309+N310+N311+N312+N313+N314+N315+N316+N317+N318+N319</f>
        <v/>
      </c>
      <c r="O302" s="4">
        <f>O303+O304+O305+O320+O321+O322+O323+O306+O307+O308+O309+O310+O311+O312+O313+O314+O315+O316+O317+O318+O319</f>
        <v/>
      </c>
      <c r="P302" s="4">
        <f>P303+P304+P305+P320+P321+P322+P323+P306+P307+P308+P309+P310+P311+P312+P313+P314+P315+P316+P317+P318+P319</f>
        <v/>
      </c>
      <c r="Q302" s="28">
        <f>Q303+Q304+Q305+Q320+Q321+Q322+Q323+Q306+Q307+Q308+Q309+Q310+Q311+Q312+Q313+Q314+Q315+Q316+Q317+Q318+Q319</f>
        <v/>
      </c>
      <c r="R302" s="27">
        <f>IF(J302-D302&lt;0,0,J302-D302)</f>
        <v/>
      </c>
      <c r="S302" s="4">
        <f>IF(D302-J302&lt;0,0,D302-J302)</f>
        <v/>
      </c>
      <c r="T302" s="28">
        <f>T303+T304+T305+T320+T321+T322+T323+T306+T307+T308+T309+T310+T311+T312+T313+T314+T315+T316+T317+T318+T319</f>
        <v/>
      </c>
      <c r="U302" s="47">
        <f>SUM(D302:T302)</f>
        <v/>
      </c>
    </row>
    <row r="303" ht="34.5" customHeight="1">
      <c r="A303" s="38" t="n"/>
      <c r="B303" s="5" t="n"/>
      <c r="C303" s="39" t="n"/>
      <c r="D303" s="58">
        <f>F303+H303</f>
        <v/>
      </c>
      <c r="E303" s="60">
        <f>G303+I303</f>
        <v/>
      </c>
      <c r="F303" s="6" t="n"/>
      <c r="G303" s="6" t="n"/>
      <c r="H303" s="6" t="n"/>
      <c r="I303" s="29" t="n"/>
      <c r="J303" s="58">
        <f>SUM(K303:Q303)</f>
        <v/>
      </c>
      <c r="K303" s="6" t="n"/>
      <c r="L303" s="6" t="n"/>
      <c r="M303" s="6" t="n"/>
      <c r="N303" s="6" t="n"/>
      <c r="O303" s="6" t="n"/>
      <c r="P303" s="6" t="n"/>
      <c r="Q303" s="29" t="n"/>
      <c r="R303" s="58">
        <f>IF(J303-D303&lt;0,0,J303-D303)</f>
        <v/>
      </c>
      <c r="S303" s="60">
        <f>IF(D303-J303&lt;0,0,D303-J303)</f>
        <v/>
      </c>
      <c r="T303" s="29" t="n"/>
      <c r="U303" s="47">
        <f>SUM(D303:T303)</f>
        <v/>
      </c>
    </row>
    <row r="304" ht="34.5" customHeight="1">
      <c r="A304" s="43" t="n"/>
      <c r="B304" s="5" t="n"/>
      <c r="C304" s="39" t="n"/>
      <c r="D304" s="58">
        <f>F304+H304</f>
        <v/>
      </c>
      <c r="E304" s="60">
        <f>G304+I304</f>
        <v/>
      </c>
      <c r="F304" s="6" t="n"/>
      <c r="G304" s="6" t="n"/>
      <c r="H304" s="6" t="n"/>
      <c r="I304" s="29" t="n"/>
      <c r="J304" s="58">
        <f>SUM(K304:Q304)</f>
        <v/>
      </c>
      <c r="K304" s="6" t="n"/>
      <c r="L304" s="6" t="n"/>
      <c r="M304" s="6" t="n"/>
      <c r="N304" s="6" t="n"/>
      <c r="O304" s="6" t="n"/>
      <c r="P304" s="6" t="n"/>
      <c r="Q304" s="29" t="n"/>
      <c r="R304" s="58">
        <f>IF(J304-D304&lt;0,0,J304-D304)</f>
        <v/>
      </c>
      <c r="S304" s="60">
        <f>IF(D304-J304&lt;0,0,D304-J304)</f>
        <v/>
      </c>
      <c r="T304" s="29" t="n"/>
      <c r="U304" s="47">
        <f>SUM(D304:T304)</f>
        <v/>
      </c>
    </row>
    <row r="305" ht="34.5" customHeight="1">
      <c r="A305" s="38" t="n"/>
      <c r="B305" s="5" t="n"/>
      <c r="C305" s="39" t="n"/>
      <c r="D305" s="58">
        <f>F305+H305</f>
        <v/>
      </c>
      <c r="E305" s="60">
        <f>G305+I305</f>
        <v/>
      </c>
      <c r="F305" s="6" t="n"/>
      <c r="G305" s="6" t="n"/>
      <c r="H305" s="6" t="n"/>
      <c r="I305" s="29" t="n"/>
      <c r="J305" s="58">
        <f>SUM(K305:Q305)</f>
        <v/>
      </c>
      <c r="K305" s="6" t="n"/>
      <c r="L305" s="6" t="n"/>
      <c r="M305" s="6" t="n"/>
      <c r="N305" s="6" t="n"/>
      <c r="O305" s="6" t="n"/>
      <c r="P305" s="6" t="n"/>
      <c r="Q305" s="29" t="n"/>
      <c r="R305" s="58">
        <f>IF(J305-D305&lt;0,0,J305-D305)</f>
        <v/>
      </c>
      <c r="S305" s="60">
        <f>IF(D305-J305&lt;0,0,D305-J305)</f>
        <v/>
      </c>
      <c r="T305" s="29" t="n"/>
      <c r="U305" s="47">
        <f>SUM(D305:T305)</f>
        <v/>
      </c>
    </row>
    <row r="306" ht="34.5" customHeight="1">
      <c r="A306" s="38" t="n"/>
      <c r="B306" s="7" t="n"/>
      <c r="C306" s="32" t="n"/>
      <c r="D306" s="58">
        <f>F306+H306</f>
        <v/>
      </c>
      <c r="E306" s="60">
        <f>G306+I306</f>
        <v/>
      </c>
      <c r="F306" s="6" t="n"/>
      <c r="G306" s="6" t="n"/>
      <c r="H306" s="6" t="n"/>
      <c r="I306" s="29" t="n"/>
      <c r="J306" s="58">
        <f>SUM(K306:Q306)</f>
        <v/>
      </c>
      <c r="K306" s="6" t="n"/>
      <c r="L306" s="6" t="n"/>
      <c r="M306" s="6" t="n"/>
      <c r="N306" s="6" t="n"/>
      <c r="O306" s="6" t="n"/>
      <c r="P306" s="6" t="n"/>
      <c r="Q306" s="29" t="n"/>
      <c r="R306" s="58">
        <f>IF(J306-D306&lt;0,0,J306-D306)</f>
        <v/>
      </c>
      <c r="S306" s="60">
        <f>IF(D306-J306&lt;0,0,D306-J306)</f>
        <v/>
      </c>
      <c r="T306" s="29" t="n"/>
      <c r="U306" s="47">
        <f>SUM(D306:T306)</f>
        <v/>
      </c>
    </row>
    <row r="307" ht="34.5" customHeight="1">
      <c r="A307" s="38" t="n"/>
      <c r="B307" s="7" t="n"/>
      <c r="C307" s="32" t="n"/>
      <c r="D307" s="58">
        <f>F307+H307</f>
        <v/>
      </c>
      <c r="E307" s="60">
        <f>G307+I307</f>
        <v/>
      </c>
      <c r="F307" s="6" t="n"/>
      <c r="G307" s="6" t="n"/>
      <c r="H307" s="6" t="n"/>
      <c r="I307" s="29" t="n"/>
      <c r="J307" s="58">
        <f>SUM(K307:Q307)</f>
        <v/>
      </c>
      <c r="K307" s="6" t="n"/>
      <c r="L307" s="6" t="n"/>
      <c r="M307" s="6" t="n"/>
      <c r="N307" s="6" t="n"/>
      <c r="O307" s="6" t="n"/>
      <c r="P307" s="6" t="n"/>
      <c r="Q307" s="29" t="n"/>
      <c r="R307" s="58">
        <f>IF(J307-D307&lt;0,0,J307-D307)</f>
        <v/>
      </c>
      <c r="S307" s="60">
        <f>IF(D307-J307&lt;0,0,D307-J307)</f>
        <v/>
      </c>
      <c r="T307" s="29" t="n"/>
      <c r="U307" s="47">
        <f>SUM(D307:T307)</f>
        <v/>
      </c>
    </row>
    <row r="308" ht="34.5" customHeight="1">
      <c r="A308" s="38" t="n"/>
      <c r="B308" s="7" t="n"/>
      <c r="C308" s="32" t="n"/>
      <c r="D308" s="58">
        <f>F308+H308</f>
        <v/>
      </c>
      <c r="E308" s="60">
        <f>G308+I308</f>
        <v/>
      </c>
      <c r="F308" s="6" t="n"/>
      <c r="G308" s="6" t="n"/>
      <c r="H308" s="6" t="n"/>
      <c r="I308" s="29" t="n"/>
      <c r="J308" s="58">
        <f>SUM(K308:Q308)</f>
        <v/>
      </c>
      <c r="K308" s="6" t="n"/>
      <c r="L308" s="6" t="n"/>
      <c r="M308" s="6" t="n"/>
      <c r="N308" s="6" t="n"/>
      <c r="O308" s="6" t="n"/>
      <c r="P308" s="6" t="n"/>
      <c r="Q308" s="29" t="n"/>
      <c r="R308" s="58">
        <f>IF(J308-D308&lt;0,0,J308-D308)</f>
        <v/>
      </c>
      <c r="S308" s="60">
        <f>IF(D308-J308&lt;0,0,D308-J308)</f>
        <v/>
      </c>
      <c r="T308" s="29" t="n"/>
      <c r="U308" s="47">
        <f>SUM(D308:T308)</f>
        <v/>
      </c>
    </row>
    <row r="309" ht="34.5" customHeight="1">
      <c r="A309" s="38" t="n"/>
      <c r="B309" s="7" t="n"/>
      <c r="C309" s="32" t="n"/>
      <c r="D309" s="58">
        <f>F309+H309</f>
        <v/>
      </c>
      <c r="E309" s="60">
        <f>G309+I309</f>
        <v/>
      </c>
      <c r="F309" s="6" t="n"/>
      <c r="G309" s="6" t="n"/>
      <c r="H309" s="6" t="n"/>
      <c r="I309" s="29" t="n"/>
      <c r="J309" s="58">
        <f>SUM(K309:Q309)</f>
        <v/>
      </c>
      <c r="K309" s="6" t="n"/>
      <c r="L309" s="6" t="n"/>
      <c r="M309" s="6" t="n"/>
      <c r="N309" s="6" t="n"/>
      <c r="O309" s="6" t="n"/>
      <c r="P309" s="6" t="n"/>
      <c r="Q309" s="29" t="n"/>
      <c r="R309" s="58">
        <f>IF(J309-D309&lt;0,0,J309-D309)</f>
        <v/>
      </c>
      <c r="S309" s="60">
        <f>IF(D309-J309&lt;0,0,D309-J309)</f>
        <v/>
      </c>
      <c r="T309" s="29" t="n"/>
      <c r="U309" s="47">
        <f>SUM(D309:T309)</f>
        <v/>
      </c>
    </row>
    <row r="310" ht="34.5" customHeight="1">
      <c r="A310" s="38" t="n"/>
      <c r="B310" s="7" t="n"/>
      <c r="C310" s="32" t="n"/>
      <c r="D310" s="58">
        <f>F310+H310</f>
        <v/>
      </c>
      <c r="E310" s="60">
        <f>G310+I310</f>
        <v/>
      </c>
      <c r="F310" s="6" t="n"/>
      <c r="G310" s="6" t="n"/>
      <c r="H310" s="6" t="n"/>
      <c r="I310" s="29" t="n"/>
      <c r="J310" s="58">
        <f>SUM(K310:Q310)</f>
        <v/>
      </c>
      <c r="K310" s="6" t="n"/>
      <c r="L310" s="6" t="n"/>
      <c r="M310" s="6" t="n"/>
      <c r="N310" s="6" t="n"/>
      <c r="O310" s="6" t="n"/>
      <c r="P310" s="6" t="n"/>
      <c r="Q310" s="29" t="n"/>
      <c r="R310" s="58">
        <f>IF(J310-D310&lt;0,0,J310-D310)</f>
        <v/>
      </c>
      <c r="S310" s="60">
        <f>IF(D310-J310&lt;0,0,D310-J310)</f>
        <v/>
      </c>
      <c r="T310" s="29" t="n"/>
      <c r="U310" s="47">
        <f>SUM(D310:T310)</f>
        <v/>
      </c>
    </row>
    <row r="311" ht="34.5" customHeight="1">
      <c r="A311" s="38" t="n"/>
      <c r="B311" s="7" t="n"/>
      <c r="C311" s="32" t="n"/>
      <c r="D311" s="58">
        <f>F311+H311</f>
        <v/>
      </c>
      <c r="E311" s="60">
        <f>G311+I311</f>
        <v/>
      </c>
      <c r="F311" s="6" t="n"/>
      <c r="G311" s="6" t="n"/>
      <c r="H311" s="6" t="n"/>
      <c r="I311" s="29" t="n"/>
      <c r="J311" s="58">
        <f>SUM(K311:Q311)</f>
        <v/>
      </c>
      <c r="K311" s="6" t="n"/>
      <c r="L311" s="6" t="n"/>
      <c r="M311" s="6" t="n"/>
      <c r="N311" s="6" t="n"/>
      <c r="O311" s="6" t="n"/>
      <c r="P311" s="6" t="n"/>
      <c r="Q311" s="29" t="n"/>
      <c r="R311" s="58">
        <f>IF(J311-D311&lt;0,0,J311-D311)</f>
        <v/>
      </c>
      <c r="S311" s="60">
        <f>IF(D311-J311&lt;0,0,D311-J311)</f>
        <v/>
      </c>
      <c r="T311" s="29" t="n"/>
      <c r="U311" s="47">
        <f>SUM(D311:T311)</f>
        <v/>
      </c>
    </row>
    <row r="312" ht="34.5" customHeight="1">
      <c r="A312" s="38" t="n"/>
      <c r="B312" s="7" t="n"/>
      <c r="C312" s="32" t="n"/>
      <c r="D312" s="58">
        <f>F312+H312</f>
        <v/>
      </c>
      <c r="E312" s="60">
        <f>G312+I312</f>
        <v/>
      </c>
      <c r="F312" s="6" t="n"/>
      <c r="G312" s="6" t="n"/>
      <c r="H312" s="6" t="n"/>
      <c r="I312" s="29" t="n"/>
      <c r="J312" s="58">
        <f>SUM(K312:Q312)</f>
        <v/>
      </c>
      <c r="K312" s="6" t="n"/>
      <c r="L312" s="6" t="n"/>
      <c r="M312" s="6" t="n"/>
      <c r="N312" s="6" t="n"/>
      <c r="O312" s="6" t="n"/>
      <c r="P312" s="6" t="n"/>
      <c r="Q312" s="29" t="n"/>
      <c r="R312" s="58">
        <f>IF(J312-D312&lt;0,0,J312-D312)</f>
        <v/>
      </c>
      <c r="S312" s="60">
        <f>IF(D312-J312&lt;0,0,D312-J312)</f>
        <v/>
      </c>
      <c r="T312" s="29" t="n"/>
      <c r="U312" s="47">
        <f>SUM(D312:T312)</f>
        <v/>
      </c>
    </row>
    <row r="313" ht="34.5" customHeight="1">
      <c r="A313" s="38" t="n"/>
      <c r="B313" s="7" t="n"/>
      <c r="C313" s="32" t="n"/>
      <c r="D313" s="58">
        <f>F313+H313</f>
        <v/>
      </c>
      <c r="E313" s="60">
        <f>G313+I313</f>
        <v/>
      </c>
      <c r="F313" s="6" t="n"/>
      <c r="G313" s="6" t="n"/>
      <c r="H313" s="6" t="n"/>
      <c r="I313" s="29" t="n"/>
      <c r="J313" s="58">
        <f>SUM(K313:Q313)</f>
        <v/>
      </c>
      <c r="K313" s="6" t="n"/>
      <c r="L313" s="6" t="n"/>
      <c r="M313" s="6" t="n"/>
      <c r="N313" s="6" t="n"/>
      <c r="O313" s="6" t="n"/>
      <c r="P313" s="6" t="n"/>
      <c r="Q313" s="29" t="n"/>
      <c r="R313" s="58">
        <f>IF(J313-D313&lt;0,0,J313-D313)</f>
        <v/>
      </c>
      <c r="S313" s="60">
        <f>IF(D313-J313&lt;0,0,D313-J313)</f>
        <v/>
      </c>
      <c r="T313" s="29" t="n"/>
      <c r="U313" s="47">
        <f>SUM(D313:T313)</f>
        <v/>
      </c>
    </row>
    <row r="314" ht="34.5" customHeight="1">
      <c r="A314" s="38" t="n"/>
      <c r="B314" s="7" t="n"/>
      <c r="C314" s="32" t="n"/>
      <c r="D314" s="58">
        <f>F314+H314</f>
        <v/>
      </c>
      <c r="E314" s="60">
        <f>G314+I314</f>
        <v/>
      </c>
      <c r="F314" s="6" t="n"/>
      <c r="G314" s="6" t="n"/>
      <c r="H314" s="6" t="n"/>
      <c r="I314" s="29" t="n"/>
      <c r="J314" s="58">
        <f>SUM(K314:Q314)</f>
        <v/>
      </c>
      <c r="K314" s="6" t="n"/>
      <c r="L314" s="6" t="n"/>
      <c r="M314" s="6" t="n"/>
      <c r="N314" s="6" t="n"/>
      <c r="O314" s="6" t="n"/>
      <c r="P314" s="6" t="n"/>
      <c r="Q314" s="29" t="n"/>
      <c r="R314" s="58">
        <f>IF(J314-D314&lt;0,0,J314-D314)</f>
        <v/>
      </c>
      <c r="S314" s="60">
        <f>IF(D314-J314&lt;0,0,D314-J314)</f>
        <v/>
      </c>
      <c r="T314" s="29" t="n"/>
      <c r="U314" s="47">
        <f>SUM(D314:T314)</f>
        <v/>
      </c>
    </row>
    <row r="315" ht="34.5" customHeight="1">
      <c r="A315" s="38" t="n"/>
      <c r="B315" s="7" t="n"/>
      <c r="C315" s="32" t="n"/>
      <c r="D315" s="58">
        <f>F315+H315</f>
        <v/>
      </c>
      <c r="E315" s="60">
        <f>G315+I315</f>
        <v/>
      </c>
      <c r="F315" s="6" t="n"/>
      <c r="G315" s="6" t="n"/>
      <c r="H315" s="6" t="n"/>
      <c r="I315" s="29" t="n"/>
      <c r="J315" s="58">
        <f>SUM(K315:Q315)</f>
        <v/>
      </c>
      <c r="K315" s="6" t="n"/>
      <c r="L315" s="6" t="n"/>
      <c r="M315" s="6" t="n"/>
      <c r="N315" s="6" t="n"/>
      <c r="O315" s="6" t="n"/>
      <c r="P315" s="6" t="n"/>
      <c r="Q315" s="29" t="n"/>
      <c r="R315" s="58">
        <f>IF(J315-D315&lt;0,0,J315-D315)</f>
        <v/>
      </c>
      <c r="S315" s="60">
        <f>IF(D315-J315&lt;0,0,D315-J315)</f>
        <v/>
      </c>
      <c r="T315" s="29" t="n"/>
      <c r="U315" s="47">
        <f>SUM(D315:T315)</f>
        <v/>
      </c>
    </row>
    <row r="316" ht="34.5" customHeight="1">
      <c r="A316" s="38" t="n"/>
      <c r="B316" s="7" t="n"/>
      <c r="C316" s="32" t="n"/>
      <c r="D316" s="58">
        <f>F316+H316</f>
        <v/>
      </c>
      <c r="E316" s="60">
        <f>G316+I316</f>
        <v/>
      </c>
      <c r="F316" s="6" t="n"/>
      <c r="G316" s="6" t="n"/>
      <c r="H316" s="6" t="n"/>
      <c r="I316" s="29" t="n"/>
      <c r="J316" s="58">
        <f>SUM(K316:Q316)</f>
        <v/>
      </c>
      <c r="K316" s="6" t="n"/>
      <c r="L316" s="6" t="n"/>
      <c r="M316" s="6" t="n"/>
      <c r="N316" s="6" t="n"/>
      <c r="O316" s="6" t="n"/>
      <c r="P316" s="6" t="n"/>
      <c r="Q316" s="29" t="n"/>
      <c r="R316" s="58">
        <f>IF(J316-D316&lt;0,0,J316-D316)</f>
        <v/>
      </c>
      <c r="S316" s="60">
        <f>IF(D316-J316&lt;0,0,D316-J316)</f>
        <v/>
      </c>
      <c r="T316" s="29" t="n"/>
      <c r="U316" s="47">
        <f>SUM(D316:T316)</f>
        <v/>
      </c>
    </row>
    <row r="317" ht="34.5" customHeight="1">
      <c r="A317" s="38" t="n"/>
      <c r="B317" s="7" t="n"/>
      <c r="C317" s="32" t="n"/>
      <c r="D317" s="58">
        <f>F317+H317</f>
        <v/>
      </c>
      <c r="E317" s="60">
        <f>G317+I317</f>
        <v/>
      </c>
      <c r="F317" s="6" t="n"/>
      <c r="G317" s="6" t="n"/>
      <c r="H317" s="6" t="n"/>
      <c r="I317" s="29" t="n"/>
      <c r="J317" s="58">
        <f>SUM(K317:Q317)</f>
        <v/>
      </c>
      <c r="K317" s="6" t="n"/>
      <c r="L317" s="6" t="n"/>
      <c r="M317" s="6" t="n"/>
      <c r="N317" s="6" t="n"/>
      <c r="O317" s="6" t="n"/>
      <c r="P317" s="6" t="n"/>
      <c r="Q317" s="29" t="n"/>
      <c r="R317" s="58">
        <f>IF(J317-D317&lt;0,0,J317-D317)</f>
        <v/>
      </c>
      <c r="S317" s="60">
        <f>IF(D317-J317&lt;0,0,D317-J317)</f>
        <v/>
      </c>
      <c r="T317" s="29" t="n"/>
      <c r="U317" s="47">
        <f>SUM(D317:T317)</f>
        <v/>
      </c>
    </row>
    <row r="318" ht="34.5" customHeight="1">
      <c r="A318" s="38" t="n"/>
      <c r="B318" s="7" t="n"/>
      <c r="C318" s="32" t="n"/>
      <c r="D318" s="58">
        <f>F318+H318</f>
        <v/>
      </c>
      <c r="E318" s="60">
        <f>G318+I318</f>
        <v/>
      </c>
      <c r="F318" s="6" t="n"/>
      <c r="G318" s="6" t="n"/>
      <c r="H318" s="6" t="n"/>
      <c r="I318" s="29" t="n"/>
      <c r="J318" s="58">
        <f>SUM(K318:Q318)</f>
        <v/>
      </c>
      <c r="K318" s="6" t="n"/>
      <c r="L318" s="6" t="n"/>
      <c r="M318" s="6" t="n"/>
      <c r="N318" s="6" t="n"/>
      <c r="O318" s="6" t="n"/>
      <c r="P318" s="6" t="n"/>
      <c r="Q318" s="29" t="n"/>
      <c r="R318" s="58">
        <f>IF(J318-D318&lt;0,0,J318-D318)</f>
        <v/>
      </c>
      <c r="S318" s="60">
        <f>IF(D318-J318&lt;0,0,D318-J318)</f>
        <v/>
      </c>
      <c r="T318" s="29" t="n"/>
      <c r="U318" s="47">
        <f>SUM(D318:T318)</f>
        <v/>
      </c>
    </row>
    <row r="319" ht="34.5" customHeight="1">
      <c r="A319" s="38" t="n"/>
      <c r="B319" s="7" t="n"/>
      <c r="C319" s="32" t="n"/>
      <c r="D319" s="58">
        <f>F319+H319</f>
        <v/>
      </c>
      <c r="E319" s="60">
        <f>G319+I319</f>
        <v/>
      </c>
      <c r="F319" s="6" t="n"/>
      <c r="G319" s="6" t="n"/>
      <c r="H319" s="6" t="n"/>
      <c r="I319" s="29" t="n"/>
      <c r="J319" s="58">
        <f>SUM(K319:Q319)</f>
        <v/>
      </c>
      <c r="K319" s="6" t="n"/>
      <c r="L319" s="6" t="n"/>
      <c r="M319" s="6" t="n"/>
      <c r="N319" s="6" t="n"/>
      <c r="O319" s="6" t="n"/>
      <c r="P319" s="6" t="n"/>
      <c r="Q319" s="29" t="n"/>
      <c r="R319" s="58">
        <f>IF(J319-D319&lt;0,0,J319-D319)</f>
        <v/>
      </c>
      <c r="S319" s="60">
        <f>IF(D319-J319&lt;0,0,D319-J319)</f>
        <v/>
      </c>
      <c r="T319" s="29" t="n"/>
      <c r="U319" s="47">
        <f>SUM(D319:T319)</f>
        <v/>
      </c>
    </row>
    <row r="320" ht="34.5" customHeight="1">
      <c r="A320" s="38" t="n"/>
      <c r="B320" s="7" t="n"/>
      <c r="C320" s="32" t="n"/>
      <c r="D320" s="58">
        <f>F320+H320</f>
        <v/>
      </c>
      <c r="E320" s="60">
        <f>G320+I320</f>
        <v/>
      </c>
      <c r="F320" s="6" t="n"/>
      <c r="G320" s="6" t="n"/>
      <c r="H320" s="6" t="n"/>
      <c r="I320" s="29" t="n"/>
      <c r="J320" s="58">
        <f>SUM(K320:Q320)</f>
        <v/>
      </c>
      <c r="K320" s="6" t="n"/>
      <c r="L320" s="6" t="n"/>
      <c r="M320" s="6" t="n"/>
      <c r="N320" s="6" t="n"/>
      <c r="O320" s="6" t="n"/>
      <c r="P320" s="6" t="n"/>
      <c r="Q320" s="29" t="n"/>
      <c r="R320" s="58">
        <f>IF(J320-D320&lt;0,0,J320-D320)</f>
        <v/>
      </c>
      <c r="S320" s="60">
        <f>IF(D320-J320&lt;0,0,D320-J320)</f>
        <v/>
      </c>
      <c r="T320" s="29" t="n"/>
      <c r="U320" s="47">
        <f>SUM(D320:T320)</f>
        <v/>
      </c>
    </row>
    <row r="321" ht="34.5" customHeight="1">
      <c r="A321" s="38" t="n"/>
      <c r="B321" s="7" t="n"/>
      <c r="C321" s="32" t="n"/>
      <c r="D321" s="58">
        <f>F321+H321</f>
        <v/>
      </c>
      <c r="E321" s="60">
        <f>G321+I321</f>
        <v/>
      </c>
      <c r="F321" s="6" t="n"/>
      <c r="G321" s="6" t="n"/>
      <c r="H321" s="6" t="n"/>
      <c r="I321" s="29" t="n"/>
      <c r="J321" s="58">
        <f>SUM(K321:Q321)</f>
        <v/>
      </c>
      <c r="K321" s="6" t="n"/>
      <c r="L321" s="6" t="n"/>
      <c r="M321" s="6" t="n"/>
      <c r="N321" s="6" t="n"/>
      <c r="O321" s="6" t="n"/>
      <c r="P321" s="6" t="n"/>
      <c r="Q321" s="29" t="n"/>
      <c r="R321" s="58">
        <f>IF(J321-D321&lt;0,0,J321-D321)</f>
        <v/>
      </c>
      <c r="S321" s="60">
        <f>IF(D321-J321&lt;0,0,D321-J321)</f>
        <v/>
      </c>
      <c r="T321" s="29" t="n"/>
      <c r="U321" s="47">
        <f>SUM(D321:T321)</f>
        <v/>
      </c>
    </row>
    <row r="322" ht="34.5" customHeight="1">
      <c r="A322" s="38" t="n"/>
      <c r="B322" s="7" t="n"/>
      <c r="C322" s="32" t="n"/>
      <c r="D322" s="58">
        <f>F322+H322</f>
        <v/>
      </c>
      <c r="E322" s="60">
        <f>G322+I322</f>
        <v/>
      </c>
      <c r="F322" s="6" t="n"/>
      <c r="G322" s="6" t="n"/>
      <c r="H322" s="6" t="n"/>
      <c r="I322" s="29" t="n"/>
      <c r="J322" s="58">
        <f>SUM(K322:Q322)</f>
        <v/>
      </c>
      <c r="K322" s="6" t="n"/>
      <c r="L322" s="6" t="n"/>
      <c r="M322" s="6" t="n"/>
      <c r="N322" s="6" t="n"/>
      <c r="O322" s="6" t="n"/>
      <c r="P322" s="6" t="n"/>
      <c r="Q322" s="29" t="n"/>
      <c r="R322" s="58">
        <f>IF(J322-D322&lt;0,0,J322-D322)</f>
        <v/>
      </c>
      <c r="S322" s="60">
        <f>IF(D322-J322&lt;0,0,D322-J322)</f>
        <v/>
      </c>
      <c r="T322" s="29" t="n"/>
      <c r="U322" s="47">
        <f>SUM(D322:T322)</f>
        <v/>
      </c>
    </row>
    <row r="323" ht="34.5" customHeight="1">
      <c r="A323" s="38" t="n"/>
      <c r="B323" s="7" t="n"/>
      <c r="C323" s="32" t="n"/>
      <c r="D323" s="58">
        <f>F323+H323</f>
        <v/>
      </c>
      <c r="E323" s="60">
        <f>G323+I323</f>
        <v/>
      </c>
      <c r="F323" s="6" t="n"/>
      <c r="G323" s="6" t="n"/>
      <c r="H323" s="6" t="n"/>
      <c r="I323" s="29" t="n"/>
      <c r="J323" s="58">
        <f>SUM(K323:Q323)</f>
        <v/>
      </c>
      <c r="K323" s="6" t="n"/>
      <c r="L323" s="6" t="n"/>
      <c r="M323" s="6" t="n"/>
      <c r="N323" s="6" t="n"/>
      <c r="O323" s="6" t="n"/>
      <c r="P323" s="6" t="n"/>
      <c r="Q323" s="29" t="n"/>
      <c r="R323" s="58">
        <f>IF(J323-D323&lt;0,0,J323-D323)</f>
        <v/>
      </c>
      <c r="S323" s="60">
        <f>IF(D323-J323&lt;0,0,D323-J323)</f>
        <v/>
      </c>
      <c r="T323" s="29" t="n"/>
      <c r="U323" s="47">
        <f>SUM(D323:T323)</f>
        <v/>
      </c>
    </row>
    <row r="324" ht="34.5" customFormat="1" customHeight="1" s="21">
      <c r="A324" s="44" t="n"/>
      <c r="B324" s="3" t="inlineStr">
        <is>
          <t>Всього ТЗ на АБШ:</t>
        </is>
      </c>
      <c r="C324" s="28" t="inlineStr">
        <is>
          <t>к-т</t>
        </is>
      </c>
      <c r="D324" s="27">
        <f>F324+H324</f>
        <v/>
      </c>
      <c r="E324" s="4">
        <f>G324+I324</f>
        <v/>
      </c>
      <c r="F324" s="4">
        <f>F19+F93+F156+F286</f>
        <v/>
      </c>
      <c r="G324" s="4">
        <f>G19+G93+G156+G286</f>
        <v/>
      </c>
      <c r="H324" s="4">
        <f>H19+H93+H156+H286</f>
        <v/>
      </c>
      <c r="I324" s="28">
        <f>I19+I93+I156+I286</f>
        <v/>
      </c>
      <c r="J324" s="27">
        <f>SUM(K324:Q324)</f>
        <v/>
      </c>
      <c r="K324" s="4">
        <f>K19+K93+K156+K286</f>
        <v/>
      </c>
      <c r="L324" s="4">
        <f>L19+L93+L156+L286</f>
        <v/>
      </c>
      <c r="M324" s="4">
        <f>M19+M93+M156+M286</f>
        <v/>
      </c>
      <c r="N324" s="4">
        <f>N19+N93+N156+N286</f>
        <v/>
      </c>
      <c r="O324" s="4">
        <f>O19+O93+O156+O286</f>
        <v/>
      </c>
      <c r="P324" s="4">
        <f>P19+P93+P156+P286</f>
        <v/>
      </c>
      <c r="Q324" s="28">
        <f>Q19+Q93+Q156+Q286</f>
        <v/>
      </c>
      <c r="R324" s="27">
        <f>IF(J324-D324&lt;0,0,J324-D324)</f>
        <v/>
      </c>
      <c r="S324" s="4">
        <f>IF(D324-J324&lt;0,0,D324-J324)</f>
        <v/>
      </c>
      <c r="T324" s="28">
        <f>T19+T93+T156+T286</f>
        <v/>
      </c>
      <c r="U324" s="47">
        <f>SUM(D324:T324)</f>
        <v/>
      </c>
    </row>
    <row r="325" ht="64.5" customFormat="1" customHeight="1" s="21" thickBot="1">
      <c r="A325" s="45" t="n"/>
      <c r="B325" s="46" t="inlineStr">
        <is>
          <t>Всього ТЗ на ПБШ:</t>
        </is>
      </c>
      <c r="C325" s="35" t="inlineStr">
        <is>
          <t>к-т</t>
        </is>
      </c>
      <c r="D325" s="33">
        <f>F325+H325</f>
        <v/>
      </c>
      <c r="E325" s="34">
        <f>G325+I325</f>
        <v/>
      </c>
      <c r="F325" s="34">
        <f>F9+F25+F31+F70+F142+F213</f>
        <v/>
      </c>
      <c r="G325" s="34">
        <f>G9+G25+G31+G70+G142+G213</f>
        <v/>
      </c>
      <c r="H325" s="34">
        <f>H9+H25+H31+H70+H142+H213</f>
        <v/>
      </c>
      <c r="I325" s="35">
        <f>I9+I25+I31+I70+I142+I213</f>
        <v/>
      </c>
      <c r="J325" s="33">
        <f>SUM(K325:Q325)</f>
        <v/>
      </c>
      <c r="K325" s="34">
        <f>K9+K25+K31+K70+K142+K213</f>
        <v/>
      </c>
      <c r="L325" s="34">
        <f>L9+L25+L31+L70+L142+L213</f>
        <v/>
      </c>
      <c r="M325" s="34">
        <f>M9+M25+M31+M70+M142+M213</f>
        <v/>
      </c>
      <c r="N325" s="34">
        <f>N9+N25+N31+N70+N142+N213</f>
        <v/>
      </c>
      <c r="O325" s="34">
        <f>O9+O25+O31+O70+O142+O213</f>
        <v/>
      </c>
      <c r="P325" s="34">
        <f>P9+P25+P31+P70+P142+P213</f>
        <v/>
      </c>
      <c r="Q325" s="35">
        <f>Q9+Q25+Q31+Q70+Q142+Q213</f>
        <v/>
      </c>
      <c r="R325" s="33">
        <f>IF(J325-D325&lt;0,0,J325-D325)</f>
        <v/>
      </c>
      <c r="S325" s="34">
        <f>IF(D325-J325&lt;0,0,D325-J325)</f>
        <v/>
      </c>
      <c r="T325" s="35">
        <f>T9+T25+T31+T70+T142+T213</f>
        <v/>
      </c>
      <c r="U325" s="47">
        <f>SUM(D325:T325)</f>
        <v/>
      </c>
    </row>
    <row r="326" ht="30" customFormat="1" customHeight="1" s="21">
      <c r="A326" s="68" t="inlineStr">
        <is>
          <t>Донесення складається щоквартально у двох примірниках:
у військових частинах (установах) - на підставі штатів, табелів, норм забезпечення і даних обліку матеріальних засобів;
у видах ЗС України - на підставі донесень військових частин (установ).   
Донесення затверджується командиром частини (начальником установи) підписується начальником логістики 
(тилу) військової частини та начальником продовольчої служби.
Перший примірник донесення подається до вищого органу, у терміни, визначені Табелем, другий – залишається 
у військовій частині (установі).
Заповнення граф донесення виконується в суворій відповідності з їх призначенням. Зміна найменувань матеріальних 
засобів не допускається.
До звіту надається пояснювальна записка (розшифровку) в довільній формі, де зазначаються:
причини незабезпечення військової частини технікою та майном продовольчої служби;
причини зміни потреби в матеріальних засобах порівняно зі звітом за попередній квартал;
причини зміни наявності матеріально-технічних засобів порівняно зі звітом за попередній квартал.
В графі "Примітка" відображати втрати (які ще не списані встановленим порядком).</t>
        </is>
      </c>
      <c r="B326" s="92" t="n"/>
      <c r="C326" s="92" t="n"/>
      <c r="D326" s="92" t="n"/>
      <c r="E326" s="92" t="n"/>
      <c r="F326" s="92" t="n"/>
      <c r="G326" s="92" t="n"/>
      <c r="H326" s="92" t="n"/>
      <c r="I326" s="92" t="n"/>
      <c r="J326" s="92" t="n"/>
      <c r="K326" s="92" t="n"/>
      <c r="L326" s="92" t="n"/>
      <c r="M326" s="92" t="n"/>
      <c r="N326" s="92" t="n"/>
      <c r="O326" s="92" t="n"/>
      <c r="P326" s="92" t="n"/>
      <c r="Q326" s="92" t="n"/>
      <c r="R326" s="92" t="n"/>
      <c r="S326" s="92" t="n"/>
      <c r="T326" s="92" t="n"/>
    </row>
    <row r="327" ht="75.75" customFormat="1" customHeight="1" s="21">
      <c r="A327" s="49" t="n"/>
      <c r="B327" s="69" t="n"/>
      <c r="C327" s="86" t="n"/>
      <c r="D327" s="86" t="n"/>
      <c r="E327" s="86" t="n"/>
      <c r="F327" s="86" t="n"/>
      <c r="G327" s="86" t="n"/>
      <c r="H327" s="86" t="n"/>
      <c r="I327" s="86" t="n"/>
      <c r="J327" s="86" t="n"/>
      <c r="K327" s="86" t="n"/>
      <c r="L327" s="86" t="n"/>
      <c r="M327" s="86" t="n"/>
      <c r="N327" s="86" t="n"/>
      <c r="O327" s="86" t="n"/>
      <c r="P327" s="86" t="n"/>
      <c r="Q327" s="86" t="n"/>
      <c r="R327" s="86" t="n"/>
      <c r="S327" s="86" t="n"/>
      <c r="T327" s="86" t="n"/>
      <c r="U327" s="21" t="n"/>
    </row>
  </sheetData>
  <autoFilter ref="A8:U327"/>
  <mergeCells count="22">
    <mergeCell ref="F6:G6"/>
    <mergeCell ref="R3:R7"/>
    <mergeCell ref="H6:I6"/>
    <mergeCell ref="K4:Q4"/>
    <mergeCell ref="A2:R2"/>
    <mergeCell ref="T3:T7"/>
    <mergeCell ref="C3:C7"/>
    <mergeCell ref="D3:I3"/>
    <mergeCell ref="B327:T327"/>
    <mergeCell ref="N6:P6"/>
    <mergeCell ref="A326:T326"/>
    <mergeCell ref="J4:J7"/>
    <mergeCell ref="K6:M6"/>
    <mergeCell ref="S3:S7"/>
    <mergeCell ref="B3:B7"/>
    <mergeCell ref="R1:T1"/>
    <mergeCell ref="D4:E6"/>
    <mergeCell ref="Q5:Q7"/>
    <mergeCell ref="K5:P5"/>
    <mergeCell ref="J3:Q3"/>
    <mergeCell ref="F4:I5"/>
    <mergeCell ref="A3:A7"/>
  </mergeCells>
  <printOptions horizontalCentered="1"/>
  <pageMargins left="0.1574803149606299" right="0.1574803149606299" top="0.3937007874015748" bottom="0.1574803149606299" header="0.3543307086614174" footer="0.5118110236220472"/>
  <pageSetup orientation="landscape" paperSize="9" scale="40" fitToWidth="0"/>
  <headerFooter differentFirst="1">
    <oddHeader/>
    <oddFooter>&amp;R&amp;P 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Облік ТЗ ПС</dc:creator>
  <dc:language xmlns:dc="http://purl.org/dc/elements/1.1/">uk-UA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2026-10-01T07:35:53Z</dcterms:modified>
  <cp:lastModifiedBy>Облік ТЗ ПС</cp:lastModifiedBy>
  <cp:revision>28</cp:revision>
</cp:coreProperties>
</file>