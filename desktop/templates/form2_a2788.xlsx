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звіт" sheetId="1" state="visible" r:id="rId1"/>
  </sheets>
  <definedNames>
    <definedName name="_xlnm.Print_Titles" localSheetId="0">'звіт'!$19:$22</definedName>
    <definedName name="_xlnm.Print_Area" localSheetId="0">'звіт'!$A$1:$AC$1848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8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sz val="10"/>
    </font>
    <font>
      <name val="Times New Roman"/>
      <charset val="204"/>
      <family val="1"/>
      <sz val="10"/>
    </font>
    <font>
      <name val="Times New Roman"/>
      <charset val="204"/>
      <family val="1"/>
      <sz val="14"/>
    </font>
    <font>
      <name val="Times New Roman"/>
      <charset val="204"/>
      <family val="1"/>
      <sz val="14"/>
      <vertAlign val="superscript"/>
    </font>
    <font>
      <name val="Times New Roman"/>
      <charset val="204"/>
      <family val="1"/>
      <sz val="8"/>
    </font>
    <font>
      <name val="Times New Roman"/>
      <charset val="204"/>
      <family val="1"/>
      <b val="1"/>
      <sz val="14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Times New Roman"/>
      <charset val="204"/>
      <family val="1"/>
      <color indexed="8"/>
      <sz val="14"/>
    </font>
    <font>
      <name val="Times New Roman"/>
      <charset val="204"/>
      <family val="1"/>
      <i val="1"/>
      <color indexed="8"/>
      <sz val="14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10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96">
    <xf numFmtId="0" fontId="0" fillId="0" borderId="0" pivotButton="0" quotePrefix="0" xfId="0"/>
    <xf numFmtId="0" fontId="9" fillId="2" borderId="2" applyAlignment="1" pivotButton="0" quotePrefix="0" xfId="1">
      <alignment horizontal="center" vertical="center" wrapText="1"/>
    </xf>
    <xf numFmtId="0" fontId="15" fillId="0" borderId="0" pivotButton="0" quotePrefix="0" xfId="0"/>
    <xf numFmtId="0" fontId="3" fillId="3" borderId="2" applyAlignment="1" pivotButton="0" quotePrefix="0" xfId="1">
      <alignment horizontal="center" vertical="center" wrapText="1"/>
    </xf>
    <xf numFmtId="0" fontId="3" fillId="0" borderId="2" applyAlignment="1" pivotButton="0" quotePrefix="0" xfId="1">
      <alignment horizontal="center" vertical="center"/>
    </xf>
    <xf numFmtId="164" fontId="3" fillId="3" borderId="2" applyAlignment="1" pivotButton="0" quotePrefix="0" xfId="1">
      <alignment horizontal="center" vertical="center"/>
    </xf>
    <xf numFmtId="164" fontId="3" fillId="0" borderId="2" applyAlignment="1" pivotButton="0" quotePrefix="0" xfId="1">
      <alignment horizontal="center" vertical="center"/>
    </xf>
    <xf numFmtId="0" fontId="16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2" pivotButton="0" quotePrefix="0" xfId="0"/>
    <xf numFmtId="164" fontId="15" fillId="0" borderId="0" pivotButton="0" quotePrefix="0" xfId="0"/>
    <xf numFmtId="0" fontId="15" fillId="0" borderId="2" applyAlignment="1" pivotButton="0" quotePrefix="0" xfId="0">
      <alignment horizontal="center" vertical="center"/>
    </xf>
    <xf numFmtId="0" fontId="14" fillId="0" borderId="0" pivotButton="0" quotePrefix="0" xfId="0"/>
    <xf numFmtId="164" fontId="3" fillId="0" borderId="2" applyAlignment="1" pivotButton="0" quotePrefix="0" xfId="1">
      <alignment horizontal="center" vertical="center" wrapText="1"/>
    </xf>
    <xf numFmtId="164" fontId="3" fillId="3" borderId="2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 vertical="top" wrapText="1"/>
    </xf>
    <xf numFmtId="0" fontId="3" fillId="0" borderId="0" applyAlignment="1" pivotButton="0" quotePrefix="0" xfId="1">
      <alignment vertical="center"/>
    </xf>
    <xf numFmtId="0" fontId="3" fillId="0" borderId="0" pivotButton="0" quotePrefix="0" xfId="1"/>
    <xf numFmtId="0" fontId="4" fillId="0" borderId="0" pivotButton="0" quotePrefix="0" xfId="1"/>
    <xf numFmtId="0" fontId="3" fillId="0" borderId="0" applyAlignment="1" pivotButton="0" quotePrefix="0" xfId="1">
      <alignment vertical="top" wrapText="1"/>
    </xf>
    <xf numFmtId="0" fontId="6" fillId="0" borderId="0" pivotButton="0" quotePrefix="0" xfId="1"/>
    <xf numFmtId="0" fontId="3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 vertical="top" wrapText="1"/>
    </xf>
    <xf numFmtId="0" fontId="6" fillId="0" borderId="0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/>
    </xf>
    <xf numFmtId="0" fontId="9" fillId="0" borderId="2" applyAlignment="1" pivotButton="0" quotePrefix="0" xfId="1">
      <alignment horizontal="center" vertical="center" textRotation="90" wrapText="1"/>
    </xf>
    <xf numFmtId="0" fontId="9" fillId="0" borderId="2" applyAlignment="1" pivotButton="0" quotePrefix="0" xfId="1">
      <alignment horizontal="center" vertical="center" wrapText="1"/>
    </xf>
    <xf numFmtId="14" fontId="3" fillId="0" borderId="0" pivotButton="0" quotePrefix="0" xfId="1"/>
    <xf numFmtId="0" fontId="10" fillId="0" borderId="6" applyAlignment="1" pivotButton="0" quotePrefix="0" xfId="1">
      <alignment horizontal="center" vertical="center" textRotation="90" wrapText="1"/>
    </xf>
    <xf numFmtId="0" fontId="10" fillId="0" borderId="2" applyAlignment="1" pivotButton="0" quotePrefix="0" xfId="1">
      <alignment horizontal="center" vertical="center" textRotation="90" wrapText="1"/>
    </xf>
    <xf numFmtId="0" fontId="3" fillId="0" borderId="0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top" wrapText="1"/>
    </xf>
    <xf numFmtId="0" fontId="3" fillId="0" borderId="2" applyAlignment="1" pivotButton="0" quotePrefix="0" xfId="1">
      <alignment horizontal="center" vertical="center" wrapText="1"/>
    </xf>
    <xf numFmtId="0" fontId="7" fillId="0" borderId="2" applyAlignment="1" pivotButton="0" quotePrefix="0" xfId="1">
      <alignment horizontal="center" vertical="top" wrapText="1"/>
    </xf>
    <xf numFmtId="0" fontId="3" fillId="0" borderId="2" applyAlignment="1" pivotButton="0" quotePrefix="0" xfId="2">
      <alignment horizontal="center" vertical="center"/>
    </xf>
    <xf numFmtId="0" fontId="11" fillId="0" borderId="2" applyAlignment="1" pivotButton="0" quotePrefix="0" xfId="1">
      <alignment vertical="top" wrapText="1"/>
    </xf>
    <xf numFmtId="0" fontId="11" fillId="0" borderId="2" applyAlignment="1" pivotButton="0" quotePrefix="0" xfId="1">
      <alignment horizontal="center" vertical="center"/>
    </xf>
    <xf numFmtId="0" fontId="4" fillId="0" borderId="5" applyAlignment="1" pivotButton="0" quotePrefix="0" xfId="1">
      <alignment vertical="top" wrapText="1"/>
    </xf>
    <xf numFmtId="0" fontId="12" fillId="0" borderId="2" applyAlignment="1" pivotButton="0" quotePrefix="0" xfId="1">
      <alignment horizontal="right" vertical="top" wrapText="1"/>
    </xf>
    <xf numFmtId="0" fontId="11" fillId="0" borderId="5" applyAlignment="1" pivotButton="0" quotePrefix="0" xfId="1">
      <alignment vertical="top" wrapText="1"/>
    </xf>
    <xf numFmtId="0" fontId="7" fillId="0" borderId="5" applyAlignment="1" pivotButton="0" quotePrefix="0" xfId="1">
      <alignment horizontal="center" vertical="top" wrapText="1"/>
    </xf>
    <xf numFmtId="0" fontId="11" fillId="0" borderId="2" applyAlignment="1" pivotButton="0" quotePrefix="0" xfId="1">
      <alignment horizontal="left" vertical="top" wrapText="1"/>
    </xf>
    <xf numFmtId="0" fontId="11" fillId="0" borderId="5" applyAlignment="1" pivotButton="0" quotePrefix="0" xfId="1">
      <alignment horizontal="left" vertical="top" wrapText="1"/>
    </xf>
    <xf numFmtId="0" fontId="13" fillId="0" borderId="2" applyAlignment="1" pivotButton="0" quotePrefix="0" xfId="1">
      <alignment horizontal="center" vertical="top" wrapText="1"/>
    </xf>
    <xf numFmtId="0" fontId="11" fillId="0" borderId="6" applyAlignment="1" pivotButton="0" quotePrefix="0" xfId="1">
      <alignment horizontal="center" vertical="center"/>
    </xf>
    <xf numFmtId="0" fontId="11" fillId="0" borderId="2" applyAlignment="1" pivotButton="0" quotePrefix="0" xfId="1">
      <alignment vertical="top"/>
    </xf>
    <xf numFmtId="0" fontId="4" fillId="0" borderId="0" applyAlignment="1" pivotButton="0" quotePrefix="0" xfId="1">
      <alignment vertical="top"/>
    </xf>
    <xf numFmtId="0" fontId="4" fillId="0" borderId="0" applyAlignment="1" pivotButton="0" quotePrefix="0" xfId="1">
      <alignment vertical="top" wrapText="1"/>
    </xf>
    <xf numFmtId="0" fontId="3" fillId="0" borderId="0" applyAlignment="1" pivotButton="0" quotePrefix="0" xfId="1">
      <alignment vertical="top"/>
    </xf>
    <xf numFmtId="0" fontId="9" fillId="0" borderId="3" applyAlignment="1" pivotButton="0" quotePrefix="0" xfId="1">
      <alignment horizontal="center" vertical="center" wrapText="1"/>
    </xf>
    <xf numFmtId="0" fontId="9" fillId="0" borderId="5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3" fillId="0" borderId="6" applyAlignment="1" pivotButton="0" quotePrefix="0" xfId="1">
      <alignment horizontal="center" vertical="center" textRotation="90" wrapText="1"/>
    </xf>
    <xf numFmtId="0" fontId="3" fillId="0" borderId="9" applyAlignment="1" pivotButton="0" quotePrefix="0" xfId="1">
      <alignment horizontal="center" vertical="center" textRotation="90" wrapText="1"/>
    </xf>
    <xf numFmtId="0" fontId="3" fillId="0" borderId="7" applyAlignment="1" pivotButton="0" quotePrefix="0" xfId="1">
      <alignment horizontal="center" vertical="center" textRotation="90" wrapText="1"/>
    </xf>
    <xf numFmtId="0" fontId="9" fillId="0" borderId="6" applyAlignment="1" pivotButton="0" quotePrefix="0" xfId="1">
      <alignment horizontal="center" vertical="center" textRotation="90" wrapText="1"/>
    </xf>
    <xf numFmtId="0" fontId="9" fillId="0" borderId="7" applyAlignment="1" pivotButton="0" quotePrefix="0" xfId="1">
      <alignment horizontal="center" vertical="center" textRotation="90" wrapText="1"/>
    </xf>
    <xf numFmtId="0" fontId="9" fillId="0" borderId="4" applyAlignment="1" pivotButton="0" quotePrefix="0" xfId="1">
      <alignment horizontal="center" vertical="center" wrapText="1"/>
    </xf>
    <xf numFmtId="0" fontId="9" fillId="0" borderId="2" applyAlignment="1" pivotButton="0" quotePrefix="0" xfId="1">
      <alignment horizontal="center" vertical="center" textRotation="90" wrapText="1"/>
    </xf>
    <xf numFmtId="0" fontId="9" fillId="0" borderId="2" applyAlignment="1" pivotButton="0" quotePrefix="0" xfId="1">
      <alignment horizontal="center" vertical="center" wrapText="1"/>
    </xf>
    <xf numFmtId="0" fontId="8" fillId="0" borderId="8" applyAlignment="1" pivotButton="0" quotePrefix="0" xfId="1">
      <alignment horizontal="center"/>
    </xf>
    <xf numFmtId="0" fontId="7" fillId="0" borderId="0" pivotButton="0" quotePrefix="0" xfId="1"/>
    <xf numFmtId="0" fontId="4" fillId="0" borderId="3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9" fillId="0" borderId="6" applyAlignment="1" pivotButton="0" quotePrefix="0" xfId="1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7" applyAlignment="1" pivotButton="0" quotePrefix="0" xfId="1">
      <alignment horizontal="center" vertical="center" wrapText="1"/>
    </xf>
    <xf numFmtId="0" fontId="9" fillId="0" borderId="9" applyAlignment="1" pivotButton="0" quotePrefix="0" xfId="1">
      <alignment horizontal="center" vertical="center" textRotation="90" wrapText="1"/>
    </xf>
    <xf numFmtId="0" fontId="7" fillId="0" borderId="0" applyAlignment="1" pivotButton="0" quotePrefix="0" xfId="1">
      <alignment horizontal="center"/>
    </xf>
    <xf numFmtId="0" fontId="7" fillId="0" borderId="1" applyAlignment="1" pivotButton="0" quotePrefix="0" xfId="1">
      <alignment horizontal="center"/>
    </xf>
    <xf numFmtId="0" fontId="4" fillId="0" borderId="0" pivotButton="0" quotePrefix="0" xfId="1"/>
    <xf numFmtId="0" fontId="3" fillId="0" borderId="0" applyAlignment="1" pivotButton="0" quotePrefix="0" xfId="1">
      <alignment horizontal="left"/>
    </xf>
    <xf numFmtId="0" fontId="3" fillId="0" borderId="0" pivotButton="0" quotePrefix="0" xfId="1"/>
    <xf numFmtId="0" fontId="5" fillId="0" borderId="0" applyAlignment="1" pivotButton="0" quotePrefix="0" xfId="1">
      <alignment vertical="top"/>
    </xf>
    <xf numFmtId="0" fontId="14" fillId="0" borderId="0" applyAlignment="1" pivotButton="0" quotePrefix="0" xfId="0">
      <alignment horizontal="center"/>
    </xf>
    <xf numFmtId="0" fontId="9" fillId="0" borderId="6" applyAlignment="1" pivotButton="0" quotePrefix="0" xfId="1">
      <alignment horizontal="center" vertical="center" textRotation="90"/>
    </xf>
    <xf numFmtId="0" fontId="9" fillId="0" borderId="9" applyAlignment="1" pivotButton="0" quotePrefix="0" xfId="1">
      <alignment horizontal="center" vertical="center" textRotation="90"/>
    </xf>
    <xf numFmtId="0" fontId="9" fillId="0" borderId="7" applyAlignment="1" pivotButton="0" quotePrefix="0" xfId="1">
      <alignment horizontal="center" vertical="center" textRotation="90"/>
    </xf>
    <xf numFmtId="0" fontId="9" fillId="2" borderId="6" applyAlignment="1" pivotButton="0" quotePrefix="0" xfId="1">
      <alignment horizontal="center" vertical="center" textRotation="90" wrapText="1"/>
    </xf>
    <xf numFmtId="0" fontId="9" fillId="2" borderId="9" applyAlignment="1" pivotButton="0" quotePrefix="0" xfId="1">
      <alignment horizontal="center" vertical="center" textRotation="90" wrapText="1"/>
    </xf>
    <xf numFmtId="0" fontId="9" fillId="2" borderId="7" applyAlignment="1" pivotButton="0" quotePrefix="0" xfId="1">
      <alignment horizontal="center" vertical="center" textRotation="90" wrapText="1"/>
    </xf>
    <xf numFmtId="0" fontId="4" fillId="2" borderId="6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4" fillId="2" borderId="7" applyAlignment="1" pivotButton="0" quotePrefix="0" xfId="1">
      <alignment horizontal="center" vertical="center" wrapText="1"/>
    </xf>
    <xf numFmtId="0" fontId="9" fillId="2" borderId="6" applyAlignment="1" pivotButton="0" quotePrefix="0" xfId="1">
      <alignment horizontal="center" vertical="center" wrapText="1"/>
    </xf>
    <xf numFmtId="0" fontId="9" fillId="2" borderId="9" applyAlignment="1" pivotButton="0" quotePrefix="0" xfId="1">
      <alignment horizontal="center" vertical="center" wrapText="1"/>
    </xf>
    <xf numFmtId="0" fontId="9" fillId="2" borderId="7" applyAlignment="1" pivotButton="0" quotePrefix="0" xfId="1">
      <alignment horizontal="center" vertical="center" wrapText="1"/>
    </xf>
    <xf numFmtId="0" fontId="0" fillId="0" borderId="1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2" applyAlignment="1" pivotButton="0" quotePrefix="0" xfId="1">
      <alignment horizontal="center" vertical="center" textRotation="90" wrapText="1"/>
    </xf>
    <xf numFmtId="0" fontId="0" fillId="0" borderId="9" pivotButton="0" quotePrefix="0" xfId="0"/>
    <xf numFmtId="0" fontId="0" fillId="0" borderId="7" pivotButton="0" quotePrefix="0" xfId="0"/>
  </cellXfs>
  <cellStyles count="4">
    <cellStyle name="Звичайний" xfId="0" builtinId="0"/>
    <cellStyle name="Обычный 2" xfId="1"/>
    <cellStyle name="Обычный 2 2" xfId="2"/>
    <cellStyle name="Звичайний 2" xfId="3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I1848"/>
  <sheetViews>
    <sheetView tabSelected="1" view="pageBreakPreview" topLeftCell="A319" zoomScale="70" zoomScaleNormal="60" zoomScaleSheetLayoutView="70" workbookViewId="0">
      <selection activeCell="B329" sqref="B329"/>
    </sheetView>
  </sheetViews>
  <sheetFormatPr baseColWidth="8" defaultRowHeight="12.75"/>
  <cols>
    <col width="6.5703125" customWidth="1" style="74" min="1" max="1"/>
    <col width="49.42578125" customWidth="1" style="20" min="2" max="2"/>
    <col width="7.140625" customWidth="1" style="17" min="3" max="3"/>
    <col width="4.85546875" customWidth="1" style="74" min="4" max="4"/>
    <col width="6.140625" customWidth="1" style="74" min="5" max="5"/>
    <col width="8.140625" customWidth="1" style="74" min="6" max="6"/>
    <col width="7.7109375" customWidth="1" style="74" min="7" max="7"/>
    <col width="8" customWidth="1" style="74" min="8" max="9"/>
    <col width="7.7109375" customWidth="1" style="74" min="10" max="10"/>
    <col width="6.28515625" customWidth="1" style="74" min="11" max="11"/>
    <col width="7.5703125" customWidth="1" style="74" min="12" max="12"/>
    <col width="8.42578125" customWidth="1" style="74" min="13" max="13"/>
    <col width="5.28515625" customWidth="1" style="74" min="14" max="14"/>
    <col width="5.7109375" customWidth="1" style="74" min="15" max="15"/>
    <col width="8.140625" customWidth="1" style="74" min="16" max="16"/>
    <col width="5.42578125" customWidth="1" style="74" min="17" max="17"/>
    <col width="9.7109375" bestFit="1" customWidth="1" style="74" min="18" max="18"/>
    <col width="9.7109375" customWidth="1" style="74" min="19" max="19"/>
    <col width="9" customWidth="1" style="74" min="20" max="20"/>
    <col width="7.140625" customWidth="1" style="74" min="21" max="25"/>
    <col width="7" customWidth="1" style="74" min="26" max="26"/>
    <col width="5.85546875" customWidth="1" style="74" min="27" max="27"/>
    <col width="5.42578125" customWidth="1" style="74" min="28" max="28"/>
    <col width="6" customWidth="1" style="74" min="29" max="29"/>
    <col width="9.140625" customWidth="1" style="74" min="30" max="16384"/>
  </cols>
  <sheetData>
    <row r="1" ht="18.75" customHeight="1">
      <c r="A1" s="73" t="n"/>
      <c r="B1" s="16" t="n"/>
      <c r="Z1" s="72" t="inlineStr">
        <is>
          <t>Форма 2/прод</t>
        </is>
      </c>
    </row>
    <row r="2">
      <c r="A2" s="73" t="n"/>
      <c r="Z2" s="74" t="inlineStr">
        <is>
          <t>_______________________</t>
        </is>
      </c>
    </row>
    <row r="3" ht="13.5" customHeight="1">
      <c r="A3" s="73" t="n"/>
      <c r="B3" s="16" t="n"/>
      <c r="Z3" s="75" t="inlineStr">
        <is>
          <t>(гриф обмеження доступу)</t>
        </is>
      </c>
    </row>
    <row r="4" ht="18.75" customHeight="1">
      <c r="A4" s="73" t="n"/>
      <c r="B4" s="16" t="n"/>
      <c r="Z4" s="72" t="inlineStr">
        <is>
          <t>Прим.№ ____</t>
        </is>
      </c>
    </row>
    <row r="6" ht="18.75" customHeight="1">
      <c r="T6" s="72" t="inlineStr">
        <is>
          <t>ЗАТВЕРДЖУЮ</t>
        </is>
      </c>
      <c r="U6" s="72" t="n"/>
      <c r="V6" s="72" t="n"/>
      <c r="W6" s="72" t="n"/>
      <c r="X6" s="72" t="n"/>
      <c r="Y6" s="72" t="n"/>
      <c r="Z6" s="72" t="n"/>
    </row>
    <row r="7" ht="18.75" customHeight="1">
      <c r="T7" s="72" t="inlineStr">
        <is>
          <t>{КОМАНДИР_ПОСАДА}</t>
        </is>
      </c>
      <c r="U7" s="72" t="n"/>
      <c r="V7" s="72" t="n"/>
      <c r="W7" s="72" t="n"/>
      <c r="X7" s="72" t="n"/>
      <c r="Y7" s="72" t="n"/>
      <c r="Z7" s="72" t="n"/>
    </row>
    <row r="8" ht="27" customHeight="1">
      <c r="T8" s="72" t="inlineStr">
        <is>
          <t>{КОМАНДИР_ЗВАННЯ}</t>
        </is>
      </c>
      <c r="U8" s="72" t="n"/>
      <c r="V8" s="72" t="n"/>
      <c r="W8" s="72" t="n"/>
      <c r="X8" s="72" t="n"/>
      <c r="Y8" s="72" t="n"/>
      <c r="Z8" s="72" t="inlineStr">
        <is>
          <t>{КОМАНДИР_ІМ'Я}</t>
        </is>
      </c>
    </row>
    <row r="9" ht="18.75" customHeight="1">
      <c r="Q9" s="21" t="n"/>
      <c r="R9" s="21" t="n"/>
      <c r="S9" s="21" t="n"/>
      <c r="T9" s="72" t="inlineStr">
        <is>
          <t>"____" __________________________ 20 ___ р.</t>
        </is>
      </c>
      <c r="U9" s="72" t="n"/>
      <c r="V9" s="72" t="n"/>
      <c r="W9" s="72" t="n"/>
      <c r="X9" s="72" t="n"/>
      <c r="Y9" s="72" t="n"/>
      <c r="Z9" s="72" t="n"/>
      <c r="AA9" s="21" t="n"/>
      <c r="AB9" s="21" t="n"/>
      <c r="AC9" s="21" t="n"/>
    </row>
    <row r="11" ht="7.5" customHeight="1"/>
    <row r="12" ht="18.75" customHeight="1">
      <c r="A12" s="70" t="inlineStr">
        <is>
          <t>ЗВІТ - ЗАЯВКА</t>
        </is>
      </c>
    </row>
    <row r="13" ht="18.75" customHeight="1">
      <c r="A13" s="70" t="inlineStr">
        <is>
          <t>про наявність і потребу матеріальних засобів (посудо-господарського майна та обладнання)</t>
        </is>
      </c>
    </row>
    <row r="14" ht="18.75" customHeight="1">
      <c r="A14" s="70" t="inlineStr">
        <is>
          <t>продовольчої служби поточного забезпечення за {Р} рік</t>
        </is>
      </c>
    </row>
    <row r="15" ht="18.75" customHeight="1">
      <c r="A15" s="71" t="inlineStr">
        <is>
          <t>за військову частину {ЧАСТИНА}</t>
        </is>
      </c>
      <c r="B15" s="89" t="n"/>
      <c r="C15" s="89" t="n"/>
      <c r="D15" s="89" t="n"/>
      <c r="E15" s="89" t="n"/>
      <c r="F15" s="89" t="n"/>
      <c r="G15" s="89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  <c r="AA15" s="89" t="n"/>
      <c r="AB15" s="89" t="n"/>
      <c r="AC15" s="89" t="n"/>
    </row>
    <row r="16" ht="16.5" customHeight="1">
      <c r="A16" s="61" t="inlineStr">
        <is>
          <t>(військова частина, установа)</t>
        </is>
      </c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P16" s="90" t="n"/>
      <c r="Q16" s="90" t="n"/>
      <c r="R16" s="90" t="n"/>
      <c r="S16" s="90" t="n"/>
      <c r="T16" s="90" t="n"/>
      <c r="U16" s="90" t="n"/>
      <c r="V16" s="90" t="n"/>
      <c r="W16" s="90" t="n"/>
      <c r="X16" s="90" t="n"/>
      <c r="Y16" s="90" t="n"/>
      <c r="Z16" s="90" t="n"/>
      <c r="AA16" s="90" t="n"/>
      <c r="AB16" s="90" t="n"/>
      <c r="AC16" s="90" t="n"/>
    </row>
    <row r="17" ht="6.75" customHeight="1">
      <c r="A17" s="22" t="n"/>
      <c r="B17" s="23" t="n"/>
      <c r="C17" s="24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 ht="18.75" customHeight="1">
      <c r="A18" s="62" t="inlineStr">
        <is>
          <t>Нарахування. Рух і наявність посудо-господарського майна і обладнання</t>
        </is>
      </c>
      <c r="MW18" s="74" t="inlineStr">
        <is>
          <t>№611</t>
        </is>
      </c>
      <c r="MX18" s="74" t="inlineStr">
        <is>
          <t>№645</t>
        </is>
      </c>
      <c r="NG18" s="74" t="inlineStr">
        <is>
          <t>№670</t>
        </is>
      </c>
      <c r="NH18" s="74" t="inlineStr">
        <is>
          <t>№671</t>
        </is>
      </c>
      <c r="NI18" s="74" t="inlineStr">
        <is>
          <t>№672</t>
        </is>
      </c>
    </row>
    <row r="19" ht="30.75" customHeight="1">
      <c r="A19" s="60" t="inlineStr">
        <is>
          <t>№
п/п</t>
        </is>
      </c>
      <c r="B19" s="52" t="inlineStr">
        <is>
          <t>Найменування матеріальних засобів</t>
        </is>
      </c>
      <c r="C19" s="59" t="inlineStr">
        <is>
          <t>Одиниця обліку</t>
        </is>
      </c>
      <c r="D19" s="59" t="inlineStr">
        <is>
          <t xml:space="preserve">Код </t>
        </is>
      </c>
      <c r="E19" s="60" t="inlineStr">
        <is>
          <t>Потреба на {Р+1} р.</t>
        </is>
      </c>
      <c r="F19" s="91" t="n"/>
      <c r="G19" s="92" t="n"/>
      <c r="H19" s="60" t="inlineStr">
        <is>
          <t>Наявність станом на 01.01.{Р} р.</t>
        </is>
      </c>
      <c r="I19" s="91" t="n"/>
      <c r="J19" s="92" t="n"/>
      <c r="K19" s="52" t="inlineStr">
        <is>
          <t>Прибуло</t>
        </is>
      </c>
      <c r="L19" s="91" t="n"/>
      <c r="M19" s="91" t="n"/>
      <c r="N19" s="92" t="n"/>
      <c r="O19" s="52" t="inlineStr">
        <is>
          <t>Вибуло</t>
        </is>
      </c>
      <c r="P19" s="91" t="n"/>
      <c r="Q19" s="92" t="n"/>
      <c r="R19" s="52" t="inlineStr">
        <is>
          <t>Наявність станом на 01.01.{Р+1} р.</t>
        </is>
      </c>
      <c r="S19" s="91" t="n"/>
      <c r="T19" s="91" t="n"/>
      <c r="U19" s="91" t="n"/>
      <c r="V19" s="91" t="n"/>
      <c r="W19" s="91" t="n"/>
      <c r="X19" s="91" t="n"/>
      <c r="Y19" s="92" t="n"/>
      <c r="Z19" s="93" t="inlineStr">
        <is>
          <t xml:space="preserve">Підлягає списанню в поточному році після закінчення термінів експлуатації </t>
        </is>
      </c>
      <c r="AA19" s="93" t="inlineStr">
        <is>
          <t>Надлишок</t>
        </is>
      </c>
      <c r="AB19" s="93" t="inlineStr">
        <is>
          <t>Не вистачає</t>
        </is>
      </c>
      <c r="AC19" s="93" t="inlineStr">
        <is>
          <t>Заплановано для забезпечення у {Р+1} р.</t>
        </is>
      </c>
    </row>
    <row r="20" ht="18.75" customHeight="1">
      <c r="A20" s="94" t="n"/>
      <c r="B20" s="94" t="n"/>
      <c r="C20" s="94" t="n"/>
      <c r="D20" s="94" t="n"/>
      <c r="E20" s="59" t="inlineStr">
        <is>
          <t>за штатом мирного часу</t>
        </is>
      </c>
      <c r="F20" s="59" t="inlineStr">
        <is>
          <t>на створення перехідних запасів</t>
        </is>
      </c>
      <c r="G20" s="59" t="inlineStr">
        <is>
          <t>всього</t>
        </is>
      </c>
      <c r="H20" s="59" t="inlineStr">
        <is>
          <t>всього</t>
        </is>
      </c>
      <c r="I20" s="60" t="inlineStr">
        <is>
          <t xml:space="preserve">у тому числі </t>
        </is>
      </c>
      <c r="J20" s="92" t="n"/>
      <c r="K20" s="59" t="inlineStr">
        <is>
          <t>всього</t>
        </is>
      </c>
      <c r="L20" s="60" t="inlineStr">
        <is>
          <t>у тому числі</t>
        </is>
      </c>
      <c r="M20" s="91" t="n"/>
      <c r="N20" s="92" t="n"/>
      <c r="O20" s="59" t="inlineStr">
        <is>
          <t>всього</t>
        </is>
      </c>
      <c r="P20" s="60" t="inlineStr">
        <is>
          <t>у тому числі</t>
        </is>
      </c>
      <c r="Q20" s="92" t="n"/>
      <c r="R20" s="59" t="inlineStr">
        <is>
          <t>всього</t>
        </is>
      </c>
      <c r="S20" s="60" t="inlineStr">
        <is>
          <t xml:space="preserve">у тому числі </t>
        </is>
      </c>
      <c r="T20" s="92" t="n"/>
      <c r="U20" s="60" t="inlineStr">
        <is>
          <t>Категорія</t>
        </is>
      </c>
      <c r="V20" s="91" t="n"/>
      <c r="W20" s="91" t="n"/>
      <c r="X20" s="91" t="n"/>
      <c r="Y20" s="92" t="n"/>
      <c r="Z20" s="94" t="n"/>
      <c r="AA20" s="94" t="n"/>
      <c r="AB20" s="94" t="n"/>
      <c r="AC20" s="94" t="n"/>
      <c r="MW20" s="28" t="n">
        <v>44153</v>
      </c>
      <c r="MX20" s="28" t="n">
        <v>44166</v>
      </c>
      <c r="MY20" s="28" t="n"/>
      <c r="MZ20" s="28" t="n"/>
    </row>
    <row r="21" ht="123.75" customHeight="1">
      <c r="A21" s="95" t="n"/>
      <c r="B21" s="95" t="n"/>
      <c r="C21" s="95" t="n"/>
      <c r="D21" s="95" t="n"/>
      <c r="E21" s="95" t="n"/>
      <c r="F21" s="95" t="n"/>
      <c r="G21" s="95" t="n"/>
      <c r="H21" s="95" t="n"/>
      <c r="I21" s="29" t="inlineStr">
        <is>
          <t>у військовій частині</t>
        </is>
      </c>
      <c r="J21" s="29" t="inlineStr">
        <is>
          <t>у використанні субєктом господарювання</t>
        </is>
      </c>
      <c r="K21" s="95" t="n"/>
      <c r="L21" s="30" t="inlineStr">
        <is>
          <t>від заводу (підприємства) - постачальника</t>
        </is>
      </c>
      <c r="M21" s="30" t="inlineStr">
        <is>
          <t>отримано за нарядами органу забезпечення</t>
        </is>
      </c>
      <c r="N21" s="30" t="inlineStr">
        <is>
          <t>інші надходження</t>
        </is>
      </c>
      <c r="O21" s="95" t="n"/>
      <c r="P21" s="59" t="inlineStr">
        <is>
          <t>списано після закінчення термінів експлуатації</t>
        </is>
      </c>
      <c r="Q21" s="59" t="inlineStr">
        <is>
          <t>інші витрати</t>
        </is>
      </c>
      <c r="R21" s="95" t="n"/>
      <c r="S21" s="59" t="inlineStr">
        <is>
          <t>у військовій частині</t>
        </is>
      </c>
      <c r="T21" s="59" t="inlineStr">
        <is>
          <t>у використанні субєктом господарювання</t>
        </is>
      </c>
      <c r="U21" s="60" t="inlineStr">
        <is>
          <t>I</t>
        </is>
      </c>
      <c r="V21" s="60" t="inlineStr">
        <is>
          <t>II</t>
        </is>
      </c>
      <c r="W21" s="60" t="inlineStr">
        <is>
          <t>III</t>
        </is>
      </c>
      <c r="X21" s="60" t="inlineStr">
        <is>
          <t>IV</t>
        </is>
      </c>
      <c r="Y21" s="60" t="inlineStr">
        <is>
          <t>V</t>
        </is>
      </c>
      <c r="Z21" s="95" t="n"/>
      <c r="AA21" s="95" t="n"/>
      <c r="AB21" s="95" t="n"/>
      <c r="AC21" s="95" t="n"/>
      <c r="AD21" s="31" t="n"/>
      <c r="AE21" s="31" t="n"/>
      <c r="AF21" s="31" t="n"/>
    </row>
    <row r="22" ht="15.75" customHeight="1">
      <c r="A22" s="60" t="n">
        <v>1</v>
      </c>
      <c r="B22" s="32" t="n">
        <v>2</v>
      </c>
      <c r="C22" s="60" t="n">
        <v>3</v>
      </c>
      <c r="D22" s="60" t="n">
        <v>4</v>
      </c>
      <c r="E22" s="60" t="n">
        <v>5</v>
      </c>
      <c r="F22" s="60" t="n">
        <v>6</v>
      </c>
      <c r="G22" s="60" t="n">
        <v>7</v>
      </c>
      <c r="H22" s="60" t="n">
        <v>8</v>
      </c>
      <c r="I22" s="60" t="n">
        <v>9</v>
      </c>
      <c r="J22" s="60" t="n">
        <v>10</v>
      </c>
      <c r="K22" s="60" t="n">
        <v>11</v>
      </c>
      <c r="L22" s="60" t="n">
        <v>12</v>
      </c>
      <c r="M22" s="60" t="n">
        <v>13</v>
      </c>
      <c r="N22" s="60" t="n">
        <v>14</v>
      </c>
      <c r="O22" s="60" t="n">
        <v>15</v>
      </c>
      <c r="P22" s="60" t="n">
        <v>16</v>
      </c>
      <c r="Q22" s="60" t="n">
        <v>17</v>
      </c>
      <c r="R22" s="60" t="n">
        <v>18</v>
      </c>
      <c r="S22" s="60" t="n">
        <v>19</v>
      </c>
      <c r="T22" s="60" t="n">
        <v>20</v>
      </c>
      <c r="U22" s="60" t="n">
        <v>21</v>
      </c>
      <c r="V22" s="60" t="n">
        <v>22</v>
      </c>
      <c r="W22" s="60" t="n">
        <v>23</v>
      </c>
      <c r="X22" s="60" t="n">
        <v>24</v>
      </c>
      <c r="Y22" s="60" t="n">
        <v>25</v>
      </c>
      <c r="Z22" s="60" t="n">
        <v>26</v>
      </c>
      <c r="AA22" s="60" t="n">
        <v>27</v>
      </c>
      <c r="AB22" s="60" t="n">
        <v>28</v>
      </c>
      <c r="AC22" s="60" t="n">
        <v>29</v>
      </c>
    </row>
    <row r="23" ht="18.75" customHeight="1">
      <c r="A23" s="33" t="n"/>
      <c r="B23" s="34" t="inlineStr">
        <is>
          <t>ПОСУД ТА СТОЛОВІ ПРИБОРИ</t>
        </is>
      </c>
      <c r="C23" s="33" t="n"/>
      <c r="D23" s="33" t="n"/>
      <c r="E23" s="33" t="n"/>
      <c r="F23" s="33">
        <f>E23*0.05</f>
        <v/>
      </c>
      <c r="G23" s="33">
        <f>E23+F23</f>
        <v/>
      </c>
      <c r="H23" s="33" t="n"/>
      <c r="I23" s="33" t="n"/>
      <c r="J23" s="33" t="n"/>
      <c r="K23" s="33">
        <f>L23+M23+N23</f>
        <v/>
      </c>
      <c r="L23" s="33" t="n"/>
      <c r="M23" s="33" t="n"/>
      <c r="N23" s="33" t="n"/>
      <c r="O23" s="33">
        <f>P23+Q23</f>
        <v/>
      </c>
      <c r="P23" s="33" t="n"/>
      <c r="Q23" s="33" t="n"/>
      <c r="R23" s="33">
        <f>H23+K23-O23</f>
        <v/>
      </c>
      <c r="S23" s="33" t="n"/>
      <c r="T23" s="33" t="n"/>
      <c r="U23" s="33" t="n"/>
      <c r="V23" s="33" t="n"/>
      <c r="W23" s="33" t="n"/>
      <c r="X23" s="33" t="n"/>
      <c r="Y23" s="33" t="n"/>
      <c r="Z23" s="33" t="n"/>
      <c r="AA23" s="4">
        <f>R23-G23</f>
        <v/>
      </c>
      <c r="AB23" s="4">
        <f>G23-R23</f>
        <v/>
      </c>
      <c r="AC23" s="33" t="n"/>
    </row>
    <row r="24" ht="18.75" customHeight="1">
      <c r="A24" s="35">
        <f>SUBTOTAL(103,$B24:B$24)</f>
        <v/>
      </c>
      <c r="B24" s="36" t="inlineStr">
        <is>
          <t xml:space="preserve">Миска алюмінієва </t>
        </is>
      </c>
      <c r="C24" s="37" t="inlineStr">
        <is>
          <t>шт.</t>
        </is>
      </c>
      <c r="D24" s="33" t="n"/>
      <c r="E24" s="33" t="n"/>
      <c r="F24" s="33">
        <f>E24*0.05</f>
        <v/>
      </c>
      <c r="G24" s="33">
        <f>E24+F24</f>
        <v/>
      </c>
      <c r="H24" s="33" t="n"/>
      <c r="I24" s="33" t="n"/>
      <c r="J24" s="33" t="n"/>
      <c r="K24" s="33">
        <f>L24+M24+N24</f>
        <v/>
      </c>
      <c r="L24" s="33" t="n"/>
      <c r="M24" s="33" t="n"/>
      <c r="N24" s="33" t="n"/>
      <c r="O24" s="33">
        <f>P24+Q24</f>
        <v/>
      </c>
      <c r="P24" s="33" t="n"/>
      <c r="Q24" s="33" t="n"/>
      <c r="R24" s="33">
        <f>H24+K24-O24</f>
        <v/>
      </c>
      <c r="S24" s="33" t="n"/>
      <c r="T24" s="33" t="n"/>
      <c r="U24" s="33" t="n"/>
      <c r="V24" s="33" t="n"/>
      <c r="W24" s="33" t="n"/>
      <c r="X24" s="33" t="n"/>
      <c r="Y24" s="33" t="n"/>
      <c r="Z24" s="33" t="n"/>
      <c r="AA24" s="4">
        <f>R24-G24</f>
        <v/>
      </c>
      <c r="AB24" s="4">
        <f>G24-R24</f>
        <v/>
      </c>
      <c r="AC24" s="33" t="n"/>
    </row>
    <row r="25" ht="18.75" customHeight="1">
      <c r="A25" s="35">
        <f>SUBTOTAL(103,$B$24:B25)</f>
        <v/>
      </c>
      <c r="B25" s="36" t="inlineStr">
        <is>
          <t xml:space="preserve">Миска з нержавіючої сталі </t>
        </is>
      </c>
      <c r="C25" s="37" t="inlineStr">
        <is>
          <t>шт.</t>
        </is>
      </c>
      <c r="D25" s="33" t="n"/>
      <c r="E25" s="33" t="n"/>
      <c r="F25" s="33">
        <f>E25*0.05</f>
        <v/>
      </c>
      <c r="G25" s="33">
        <f>E25+F25</f>
        <v/>
      </c>
      <c r="H25" s="33" t="n"/>
      <c r="I25" s="33" t="n"/>
      <c r="J25" s="33" t="n"/>
      <c r="K25" s="33">
        <f>L25+M25+N25</f>
        <v/>
      </c>
      <c r="L25" s="33" t="n"/>
      <c r="M25" s="33" t="n"/>
      <c r="N25" s="33" t="n"/>
      <c r="O25" s="33">
        <f>P25+Q25</f>
        <v/>
      </c>
      <c r="P25" s="33" t="n"/>
      <c r="Q25" s="33" t="n"/>
      <c r="R25" s="33">
        <f>H25+K25-O25</f>
        <v/>
      </c>
      <c r="S25" s="33" t="n"/>
      <c r="T25" s="33" t="n"/>
      <c r="U25" s="33" t="n"/>
      <c r="V25" s="33" t="n"/>
      <c r="W25" s="33" t="n"/>
      <c r="X25" s="33" t="n"/>
      <c r="Y25" s="33" t="n"/>
      <c r="Z25" s="33" t="n"/>
      <c r="AA25" s="4">
        <f>R25-G25</f>
        <v/>
      </c>
      <c r="AB25" s="4">
        <f>G25-R25</f>
        <v/>
      </c>
      <c r="AC25" s="33" t="n"/>
    </row>
    <row r="26" ht="18.75" customHeight="1">
      <c r="A26" s="35">
        <f>SUBTOTAL(103,$B$24:B26)</f>
        <v/>
      </c>
      <c r="B26" s="36" t="inlineStr">
        <is>
          <t xml:space="preserve">Баранчік з нержавіючої сталі </t>
        </is>
      </c>
      <c r="C26" s="37" t="inlineStr">
        <is>
          <t>шт.</t>
        </is>
      </c>
      <c r="D26" s="33" t="n"/>
      <c r="E26" s="33" t="n"/>
      <c r="F26" s="33">
        <f>E26*0.05</f>
        <v/>
      </c>
      <c r="G26" s="33">
        <f>E26+F26</f>
        <v/>
      </c>
      <c r="H26" s="33" t="n"/>
      <c r="I26" s="33" t="n"/>
      <c r="J26" s="33" t="n"/>
      <c r="K26" s="33">
        <f>L26+M26+N26</f>
        <v/>
      </c>
      <c r="L26" s="33" t="n"/>
      <c r="M26" s="33" t="n"/>
      <c r="N26" s="33" t="n"/>
      <c r="O26" s="33">
        <f>P26+Q26</f>
        <v/>
      </c>
      <c r="P26" s="33" t="n"/>
      <c r="Q26" s="33" t="n"/>
      <c r="R26" s="33">
        <f>H26+K26-O26</f>
        <v/>
      </c>
      <c r="S26" s="33" t="n"/>
      <c r="T26" s="33" t="n"/>
      <c r="U26" s="33" t="n"/>
      <c r="V26" s="33" t="n"/>
      <c r="W26" s="33" t="n"/>
      <c r="X26" s="33" t="n"/>
      <c r="Y26" s="33" t="n"/>
      <c r="Z26" s="33" t="n"/>
      <c r="AA26" s="4">
        <f>R26-G26</f>
        <v/>
      </c>
      <c r="AB26" s="4">
        <f>G26-R26</f>
        <v/>
      </c>
      <c r="AC26" s="33" t="n"/>
    </row>
    <row r="27" ht="18.75" customHeight="1">
      <c r="A27" s="35">
        <f>SUBTOTAL(103,$B$24:B27)</f>
        <v/>
      </c>
      <c r="B27" s="36" t="inlineStr">
        <is>
          <t>Миска емальована</t>
        </is>
      </c>
      <c r="C27" s="37" t="inlineStr">
        <is>
          <t>шт.</t>
        </is>
      </c>
      <c r="D27" s="33" t="n"/>
      <c r="E27" s="33" t="n"/>
      <c r="F27" s="33">
        <f>E27*0.05</f>
        <v/>
      </c>
      <c r="G27" s="33">
        <f>E27+F27</f>
        <v/>
      </c>
      <c r="H27" s="33" t="n"/>
      <c r="I27" s="33" t="n"/>
      <c r="J27" s="33" t="n"/>
      <c r="K27" s="33">
        <f>L27+M27+N27</f>
        <v/>
      </c>
      <c r="L27" s="33" t="n"/>
      <c r="M27" s="33" t="n"/>
      <c r="N27" s="33" t="n"/>
      <c r="O27" s="33">
        <f>P27+Q27</f>
        <v/>
      </c>
      <c r="P27" s="33" t="n"/>
      <c r="Q27" s="33" t="n"/>
      <c r="R27" s="33">
        <f>H27+K27-O27</f>
        <v/>
      </c>
      <c r="S27" s="33" t="n"/>
      <c r="T27" s="33" t="n"/>
      <c r="U27" s="33" t="n"/>
      <c r="V27" s="33" t="n"/>
      <c r="W27" s="33" t="n"/>
      <c r="X27" s="33" t="n"/>
      <c r="Y27" s="33" t="n"/>
      <c r="Z27" s="33" t="n"/>
      <c r="AA27" s="4">
        <f>R27-G27</f>
        <v/>
      </c>
      <c r="AB27" s="4">
        <f>G27-R27</f>
        <v/>
      </c>
      <c r="AC27" s="33" t="n"/>
    </row>
    <row r="28" ht="18.75" customHeight="1">
      <c r="A28" s="35">
        <f>SUBTOTAL(103,$B$24:B28)</f>
        <v/>
      </c>
      <c r="B28" s="36" t="inlineStr">
        <is>
          <t xml:space="preserve">Миска фарфорова </t>
        </is>
      </c>
      <c r="C28" s="37" t="inlineStr">
        <is>
          <t>шт.</t>
        </is>
      </c>
      <c r="D28" s="33" t="n"/>
      <c r="E28" s="33" t="n"/>
      <c r="F28" s="33">
        <f>E28*0.05</f>
        <v/>
      </c>
      <c r="G28" s="33">
        <f>E28+F28</f>
        <v/>
      </c>
      <c r="H28" s="33" t="n"/>
      <c r="I28" s="33" t="n"/>
      <c r="J28" s="33" t="n"/>
      <c r="K28" s="33">
        <f>L28+M28+N28</f>
        <v/>
      </c>
      <c r="L28" s="33" t="n"/>
      <c r="M28" s="33" t="n"/>
      <c r="N28" s="33" t="n"/>
      <c r="O28" s="33">
        <f>P28+Q28</f>
        <v/>
      </c>
      <c r="P28" s="33" t="n"/>
      <c r="Q28" s="33" t="n"/>
      <c r="R28" s="33">
        <f>H28+K28-O28</f>
        <v/>
      </c>
      <c r="S28" s="33" t="n"/>
      <c r="T28" s="33" t="n"/>
      <c r="U28" s="33" t="n"/>
      <c r="V28" s="33" t="n"/>
      <c r="W28" s="33" t="n"/>
      <c r="X28" s="33" t="n"/>
      <c r="Y28" s="33" t="n"/>
      <c r="Z28" s="33" t="n"/>
      <c r="AA28" s="4">
        <f>R28-G28</f>
        <v/>
      </c>
      <c r="AB28" s="4">
        <f>G28-R28</f>
        <v/>
      </c>
      <c r="AC28" s="33" t="n"/>
    </row>
    <row r="29" ht="18.75" customHeight="1">
      <c r="A29" s="35">
        <f>SUBTOTAL(103,$B$24:B29)</f>
        <v/>
      </c>
      <c r="B29" s="36" t="inlineStr">
        <is>
          <t xml:space="preserve">Миска напівфарфорова грибна </t>
        </is>
      </c>
      <c r="C29" s="37" t="inlineStr">
        <is>
          <t>шт.</t>
        </is>
      </c>
      <c r="D29" s="33" t="n"/>
      <c r="E29" s="33" t="n"/>
      <c r="F29" s="33">
        <f>E29*0.05</f>
        <v/>
      </c>
      <c r="G29" s="33">
        <f>E29+F29</f>
        <v/>
      </c>
      <c r="H29" s="33" t="n"/>
      <c r="I29" s="33" t="n"/>
      <c r="J29" s="33" t="n"/>
      <c r="K29" s="33">
        <f>L29+M29+N29</f>
        <v/>
      </c>
      <c r="L29" s="33" t="n"/>
      <c r="M29" s="33" t="n"/>
      <c r="N29" s="33" t="n"/>
      <c r="O29" s="33">
        <f>P29+Q29</f>
        <v/>
      </c>
      <c r="P29" s="33" t="n"/>
      <c r="Q29" s="33" t="n"/>
      <c r="R29" s="33">
        <f>H29+K29-O29</f>
        <v/>
      </c>
      <c r="S29" s="33" t="n"/>
      <c r="T29" s="33" t="n"/>
      <c r="U29" s="33" t="n"/>
      <c r="V29" s="33" t="n"/>
      <c r="W29" s="33" t="n"/>
      <c r="X29" s="33" t="n"/>
      <c r="Y29" s="33" t="n"/>
      <c r="Z29" s="33" t="n"/>
      <c r="AA29" s="4">
        <f>R29-G29</f>
        <v/>
      </c>
      <c r="AB29" s="4">
        <f>G29-R29</f>
        <v/>
      </c>
      <c r="AC29" s="33" t="n"/>
    </row>
    <row r="30" ht="18.75" customHeight="1">
      <c r="A30" s="35">
        <f>SUBTOTAL(103,$B$24:B30)</f>
        <v/>
      </c>
      <c r="B30" s="36" t="inlineStr">
        <is>
          <t xml:space="preserve">Тарілка алюмінієва для хліба </t>
        </is>
      </c>
      <c r="C30" s="37" t="inlineStr">
        <is>
          <t>шт.</t>
        </is>
      </c>
      <c r="D30" s="33" t="n"/>
      <c r="E30" s="33" t="n"/>
      <c r="F30" s="33">
        <f>E30*0.05</f>
        <v/>
      </c>
      <c r="G30" s="33">
        <f>E30+F30</f>
        <v/>
      </c>
      <c r="H30" s="33" t="n"/>
      <c r="I30" s="33" t="n"/>
      <c r="J30" s="33" t="n"/>
      <c r="K30" s="33">
        <f>L30+M30+N30</f>
        <v/>
      </c>
      <c r="L30" s="33" t="n"/>
      <c r="M30" s="33" t="n"/>
      <c r="N30" s="33" t="n"/>
      <c r="O30" s="33">
        <f>P30+Q30</f>
        <v/>
      </c>
      <c r="P30" s="33" t="n"/>
      <c r="Q30" s="33" t="n"/>
      <c r="R30" s="33">
        <f>H30+K30-O30</f>
        <v/>
      </c>
      <c r="S30" s="33" t="n"/>
      <c r="T30" s="33" t="n"/>
      <c r="U30" s="33" t="n"/>
      <c r="V30" s="33" t="n"/>
      <c r="W30" s="33" t="n"/>
      <c r="X30" s="33" t="n"/>
      <c r="Y30" s="33" t="n"/>
      <c r="Z30" s="33" t="n"/>
      <c r="AA30" s="4">
        <f>R30-G30</f>
        <v/>
      </c>
      <c r="AB30" s="4">
        <f>G30-R30</f>
        <v/>
      </c>
      <c r="AC30" s="33" t="n"/>
    </row>
    <row r="31" ht="18.75" customHeight="1">
      <c r="A31" s="35">
        <f>SUBTOTAL(103,$B$24:B31)</f>
        <v/>
      </c>
      <c r="B31" s="36" t="inlineStr">
        <is>
          <t>Тарілка керамічна для хліба</t>
        </is>
      </c>
      <c r="C31" s="37" t="inlineStr">
        <is>
          <t>шт.</t>
        </is>
      </c>
      <c r="D31" s="33" t="n"/>
      <c r="E31" s="33" t="n"/>
      <c r="F31" s="33">
        <f>E31*0.05</f>
        <v/>
      </c>
      <c r="G31" s="33">
        <f>E31+F31</f>
        <v/>
      </c>
      <c r="H31" s="33" t="n"/>
      <c r="I31" s="33" t="n"/>
      <c r="J31" s="33" t="n"/>
      <c r="K31" s="33">
        <f>L31+M31+N31</f>
        <v/>
      </c>
      <c r="L31" s="33" t="n"/>
      <c r="M31" s="33" t="n"/>
      <c r="N31" s="33" t="n"/>
      <c r="O31" s="33">
        <f>P31+Q31</f>
        <v/>
      </c>
      <c r="P31" s="33" t="n"/>
      <c r="Q31" s="33" t="n"/>
      <c r="R31" s="33">
        <f>H31+K31-O31</f>
        <v/>
      </c>
      <c r="S31" s="33" t="n"/>
      <c r="T31" s="33" t="n"/>
      <c r="U31" s="33" t="n"/>
      <c r="V31" s="33" t="n"/>
      <c r="W31" s="33" t="n"/>
      <c r="X31" s="33" t="n"/>
      <c r="Y31" s="33" t="n"/>
      <c r="Z31" s="33" t="n"/>
      <c r="AA31" s="4">
        <f>R31-G31</f>
        <v/>
      </c>
      <c r="AB31" s="4">
        <f>G31-R31</f>
        <v/>
      </c>
      <c r="AC31" s="33" t="n"/>
    </row>
    <row r="32" ht="18.75" customHeight="1">
      <c r="A32" s="35">
        <f>SUBTOTAL(103,$B$24:B32)</f>
        <v/>
      </c>
      <c r="B32" s="36" t="inlineStr">
        <is>
          <t xml:space="preserve">Хлібниця </t>
        </is>
      </c>
      <c r="C32" s="37" t="inlineStr">
        <is>
          <t>шт.</t>
        </is>
      </c>
      <c r="D32" s="33" t="n"/>
      <c r="E32" s="33" t="n"/>
      <c r="F32" s="33">
        <f>E32*0.05</f>
        <v/>
      </c>
      <c r="G32" s="33">
        <f>E32+F32</f>
        <v/>
      </c>
      <c r="H32" s="33" t="n"/>
      <c r="I32" s="33" t="n"/>
      <c r="J32" s="33" t="n"/>
      <c r="K32" s="33">
        <f>L32+M32+N32</f>
        <v/>
      </c>
      <c r="L32" s="33" t="n"/>
      <c r="M32" s="33" t="n"/>
      <c r="N32" s="33" t="n"/>
      <c r="O32" s="33">
        <f>P32+Q32</f>
        <v/>
      </c>
      <c r="P32" s="33" t="n"/>
      <c r="Q32" s="33" t="n"/>
      <c r="R32" s="33">
        <f>H32+K32-O32</f>
        <v/>
      </c>
      <c r="S32" s="33" t="n"/>
      <c r="T32" s="33" t="n"/>
      <c r="U32" s="33" t="n"/>
      <c r="V32" s="33" t="n"/>
      <c r="W32" s="33" t="n"/>
      <c r="X32" s="33" t="n"/>
      <c r="Y32" s="33" t="n"/>
      <c r="Z32" s="33" t="n"/>
      <c r="AA32" s="4">
        <f>R32-G32</f>
        <v/>
      </c>
      <c r="AB32" s="4">
        <f>G32-R32</f>
        <v/>
      </c>
      <c r="AC32" s="33" t="n"/>
    </row>
    <row r="33" ht="18.75" customHeight="1">
      <c r="A33" s="35">
        <f>SUBTOTAL(103,$B$24:B33)</f>
        <v/>
      </c>
      <c r="B33" s="36" t="inlineStr">
        <is>
          <t>Піала</t>
        </is>
      </c>
      <c r="C33" s="37" t="inlineStr">
        <is>
          <t>шт.</t>
        </is>
      </c>
      <c r="D33" s="33" t="n"/>
      <c r="E33" s="33" t="n"/>
      <c r="F33" s="33">
        <f>E33*0.05</f>
        <v/>
      </c>
      <c r="G33" s="33">
        <f>E33+F33</f>
        <v/>
      </c>
      <c r="H33" s="33" t="n"/>
      <c r="I33" s="33" t="n"/>
      <c r="J33" s="33" t="n"/>
      <c r="K33" s="33">
        <f>L33+M33+N33</f>
        <v/>
      </c>
      <c r="L33" s="33" t="n"/>
      <c r="M33" s="33" t="n"/>
      <c r="N33" s="33" t="n"/>
      <c r="O33" s="33">
        <f>P33+Q33</f>
        <v/>
      </c>
      <c r="P33" s="33" t="n"/>
      <c r="Q33" s="33" t="n"/>
      <c r="R33" s="33">
        <f>H33+K33-O33</f>
        <v/>
      </c>
      <c r="S33" s="33" t="n"/>
      <c r="T33" s="33" t="n"/>
      <c r="U33" s="33" t="n"/>
      <c r="V33" s="33" t="n"/>
      <c r="W33" s="33" t="n"/>
      <c r="X33" s="33" t="n"/>
      <c r="Y33" s="33" t="n"/>
      <c r="Z33" s="33" t="n"/>
      <c r="AA33" s="4">
        <f>R33-G33</f>
        <v/>
      </c>
      <c r="AB33" s="4">
        <f>G33-R33</f>
        <v/>
      </c>
      <c r="AC33" s="33" t="n"/>
    </row>
    <row r="34" ht="18.75" customHeight="1">
      <c r="A34" s="35">
        <f>SUBTOTAL(103,$B$24:B34)</f>
        <v/>
      </c>
      <c r="B34" s="36" t="inlineStr">
        <is>
          <t>Попільничка фарфорова</t>
        </is>
      </c>
      <c r="C34" s="37" t="inlineStr">
        <is>
          <t>шт.</t>
        </is>
      </c>
      <c r="D34" s="33" t="n"/>
      <c r="E34" s="33" t="n"/>
      <c r="F34" s="33">
        <f>E34*0.05</f>
        <v/>
      </c>
      <c r="G34" s="33">
        <f>E34+F34</f>
        <v/>
      </c>
      <c r="H34" s="33" t="n"/>
      <c r="I34" s="33" t="n"/>
      <c r="J34" s="33" t="n"/>
      <c r="K34" s="33">
        <f>L34+M34+N34</f>
        <v/>
      </c>
      <c r="L34" s="33" t="n"/>
      <c r="M34" s="33" t="n"/>
      <c r="N34" s="33" t="n"/>
      <c r="O34" s="33">
        <f>P34+Q34</f>
        <v/>
      </c>
      <c r="P34" s="33" t="n"/>
      <c r="Q34" s="33" t="n"/>
      <c r="R34" s="33">
        <f>H34+K34-O34</f>
        <v/>
      </c>
      <c r="S34" s="33" t="n"/>
      <c r="T34" s="33" t="n"/>
      <c r="U34" s="33" t="n"/>
      <c r="V34" s="33" t="n"/>
      <c r="W34" s="33" t="n"/>
      <c r="X34" s="33" t="n"/>
      <c r="Y34" s="33" t="n"/>
      <c r="Z34" s="33" t="n"/>
      <c r="AA34" s="4">
        <f>R34-G34</f>
        <v/>
      </c>
      <c r="AB34" s="4">
        <f>G34-R34</f>
        <v/>
      </c>
      <c r="AC34" s="33" t="n"/>
    </row>
    <row r="35" ht="18.75" customHeight="1">
      <c r="A35" s="35">
        <f>SUBTOTAL(103,$B$24:B35)</f>
        <v/>
      </c>
      <c r="B35" s="36" t="inlineStr">
        <is>
          <t>Бульоницця з блюдцем</t>
        </is>
      </c>
      <c r="C35" s="37" t="inlineStr">
        <is>
          <t>шт.</t>
        </is>
      </c>
      <c r="D35" s="33" t="n"/>
      <c r="E35" s="33" t="n"/>
      <c r="F35" s="33">
        <f>E35*0.05</f>
        <v/>
      </c>
      <c r="G35" s="33">
        <f>E35+F35</f>
        <v/>
      </c>
      <c r="H35" s="33" t="n"/>
      <c r="I35" s="33" t="n"/>
      <c r="J35" s="33" t="n"/>
      <c r="K35" s="33">
        <f>L35+M35+N35</f>
        <v/>
      </c>
      <c r="L35" s="33" t="n"/>
      <c r="M35" s="33" t="n"/>
      <c r="N35" s="33" t="n"/>
      <c r="O35" s="33">
        <f>P35+Q35</f>
        <v/>
      </c>
      <c r="P35" s="33" t="n"/>
      <c r="Q35" s="33" t="n"/>
      <c r="R35" s="33">
        <f>H35+K35-O35</f>
        <v/>
      </c>
      <c r="S35" s="33" t="n"/>
      <c r="T35" s="33" t="n"/>
      <c r="U35" s="33" t="n"/>
      <c r="V35" s="33" t="n"/>
      <c r="W35" s="33" t="n"/>
      <c r="X35" s="33" t="n"/>
      <c r="Y35" s="33" t="n"/>
      <c r="Z35" s="33" t="n"/>
      <c r="AA35" s="4">
        <f>R35-G35</f>
        <v/>
      </c>
      <c r="AB35" s="4">
        <f>G35-R35</f>
        <v/>
      </c>
      <c r="AC35" s="33" t="n"/>
    </row>
    <row r="36" ht="18.75" customHeight="1">
      <c r="A36" s="35">
        <f>SUBTOTAL(103,$B$24:B36)</f>
        <v/>
      </c>
      <c r="B36" s="36" t="inlineStr">
        <is>
          <t xml:space="preserve">Тарілка глибока пласмасова </t>
        </is>
      </c>
      <c r="C36" s="37" t="inlineStr">
        <is>
          <t>шт.</t>
        </is>
      </c>
      <c r="D36" s="33" t="n"/>
      <c r="E36" s="33" t="n"/>
      <c r="F36" s="33">
        <f>E36*0.05</f>
        <v/>
      </c>
      <c r="G36" s="33">
        <f>E36+F36</f>
        <v/>
      </c>
      <c r="H36" s="33" t="n"/>
      <c r="I36" s="33" t="n"/>
      <c r="J36" s="33" t="n"/>
      <c r="K36" s="33">
        <f>L36+M36+N36</f>
        <v/>
      </c>
      <c r="L36" s="33" t="n"/>
      <c r="M36" s="33" t="n"/>
      <c r="N36" s="33" t="n"/>
      <c r="O36" s="33">
        <f>P36+Q36</f>
        <v/>
      </c>
      <c r="P36" s="33" t="n"/>
      <c r="Q36" s="33" t="n"/>
      <c r="R36" s="33">
        <f>H36+K36-O36</f>
        <v/>
      </c>
      <c r="S36" s="33" t="n"/>
      <c r="T36" s="33" t="n"/>
      <c r="U36" s="33" t="n"/>
      <c r="V36" s="33" t="n"/>
      <c r="W36" s="33" t="n"/>
      <c r="X36" s="33" t="n"/>
      <c r="Y36" s="33" t="n"/>
      <c r="Z36" s="33" t="n"/>
      <c r="AA36" s="4">
        <f>R36-G36</f>
        <v/>
      </c>
      <c r="AB36" s="4">
        <f>G36-R36</f>
        <v/>
      </c>
      <c r="AC36" s="33" t="n"/>
    </row>
    <row r="37" ht="18.75" customHeight="1">
      <c r="A37" s="35">
        <f>SUBTOTAL(103,$B$24:B37)</f>
        <v/>
      </c>
      <c r="B37" s="36" t="inlineStr">
        <is>
          <t xml:space="preserve">Тарілка глибока напівфарфорова </t>
        </is>
      </c>
      <c r="C37" s="37" t="inlineStr">
        <is>
          <t>шт.</t>
        </is>
      </c>
      <c r="D37" s="33" t="n"/>
      <c r="E37" s="33" t="n"/>
      <c r="F37" s="33">
        <f>E37*0.05</f>
        <v/>
      </c>
      <c r="G37" s="33">
        <f>E37+F37</f>
        <v/>
      </c>
      <c r="H37" s="33" t="n"/>
      <c r="I37" s="33" t="n"/>
      <c r="J37" s="33" t="n"/>
      <c r="K37" s="33">
        <f>L37+M37+N37</f>
        <v/>
      </c>
      <c r="L37" s="33" t="n"/>
      <c r="M37" s="33" t="n"/>
      <c r="N37" s="33" t="n"/>
      <c r="O37" s="33">
        <f>P37+Q37</f>
        <v/>
      </c>
      <c r="P37" s="33" t="n"/>
      <c r="Q37" s="33" t="n"/>
      <c r="R37" s="33">
        <f>H37+K37-O37</f>
        <v/>
      </c>
      <c r="S37" s="33" t="n"/>
      <c r="T37" s="33" t="n"/>
      <c r="U37" s="33" t="n"/>
      <c r="V37" s="33" t="n"/>
      <c r="W37" s="33" t="n"/>
      <c r="X37" s="33" t="n"/>
      <c r="Y37" s="33" t="n"/>
      <c r="Z37" s="33" t="n"/>
      <c r="AA37" s="4">
        <f>R37-G37</f>
        <v/>
      </c>
      <c r="AB37" s="4">
        <f>G37-R37</f>
        <v/>
      </c>
      <c r="AC37" s="33" t="n"/>
    </row>
    <row r="38" ht="18.75" customHeight="1">
      <c r="A38" s="35">
        <f>SUBTOTAL(103,$B$24:B38)</f>
        <v/>
      </c>
      <c r="B38" s="36" t="inlineStr">
        <is>
          <t>Тарілка глибока фаянсова</t>
        </is>
      </c>
      <c r="C38" s="37" t="inlineStr">
        <is>
          <t>шт.</t>
        </is>
      </c>
      <c r="D38" s="33" t="n"/>
      <c r="E38" s="33" t="n"/>
      <c r="F38" s="33">
        <f>E38*0.05</f>
        <v/>
      </c>
      <c r="G38" s="33">
        <f>E38+F38</f>
        <v/>
      </c>
      <c r="H38" s="33" t="n"/>
      <c r="I38" s="33" t="n"/>
      <c r="J38" s="33" t="n"/>
      <c r="K38" s="33">
        <f>L38+M38+N38</f>
        <v/>
      </c>
      <c r="L38" s="33" t="n"/>
      <c r="M38" s="33" t="n"/>
      <c r="N38" s="33" t="n"/>
      <c r="O38" s="33">
        <f>P38+Q38</f>
        <v/>
      </c>
      <c r="P38" s="33" t="n"/>
      <c r="Q38" s="33" t="n"/>
      <c r="R38" s="33">
        <f>H38+K38-O38</f>
        <v/>
      </c>
      <c r="S38" s="33" t="n"/>
      <c r="T38" s="33" t="n"/>
      <c r="U38" s="33" t="n"/>
      <c r="V38" s="33" t="n"/>
      <c r="W38" s="33" t="n"/>
      <c r="X38" s="33" t="n"/>
      <c r="Y38" s="33" t="n"/>
      <c r="Z38" s="33" t="n"/>
      <c r="AA38" s="4">
        <f>R38-G38</f>
        <v/>
      </c>
      <c r="AB38" s="4">
        <f>G38-R38</f>
        <v/>
      </c>
      <c r="AC38" s="33" t="n"/>
    </row>
    <row r="39" ht="18.75" customHeight="1">
      <c r="A39" s="35">
        <f>SUBTOTAL(103,$B$24:B39)</f>
        <v/>
      </c>
      <c r="B39" s="36" t="inlineStr">
        <is>
          <t xml:space="preserve">Тарілка глибока фарфорова </t>
        </is>
      </c>
      <c r="C39" s="37" t="inlineStr">
        <is>
          <t>шт.</t>
        </is>
      </c>
      <c r="D39" s="33" t="n"/>
      <c r="E39" s="33" t="n"/>
      <c r="F39" s="33">
        <f>E39*0.05</f>
        <v/>
      </c>
      <c r="G39" s="33">
        <f>E39+F39</f>
        <v/>
      </c>
      <c r="H39" s="33" t="n"/>
      <c r="I39" s="33" t="n"/>
      <c r="J39" s="33" t="n"/>
      <c r="K39" s="33">
        <f>L39+M39+N39</f>
        <v/>
      </c>
      <c r="L39" s="33" t="n"/>
      <c r="M39" s="33" t="n"/>
      <c r="N39" s="33" t="n"/>
      <c r="O39" s="33">
        <f>P39+Q39</f>
        <v/>
      </c>
      <c r="P39" s="33" t="n"/>
      <c r="Q39" s="33" t="n"/>
      <c r="R39" s="33">
        <f>H39+K39-O39</f>
        <v/>
      </c>
      <c r="S39" s="33" t="n"/>
      <c r="T39" s="33" t="n"/>
      <c r="U39" s="33" t="n"/>
      <c r="V39" s="33" t="n"/>
      <c r="W39" s="33" t="n"/>
      <c r="X39" s="33" t="n"/>
      <c r="Y39" s="33" t="n"/>
      <c r="Z39" s="33" t="n"/>
      <c r="AA39" s="4">
        <f>R39-G39</f>
        <v/>
      </c>
      <c r="AB39" s="4">
        <f>G39-R39</f>
        <v/>
      </c>
      <c r="AC39" s="33" t="n"/>
    </row>
    <row r="40" ht="18.75" customHeight="1">
      <c r="A40" s="35">
        <f>SUBTOTAL(103,$B$24:B40)</f>
        <v/>
      </c>
      <c r="B40" s="36" t="inlineStr">
        <is>
          <t>Тарілка глибока з нержавіючої сталі</t>
        </is>
      </c>
      <c r="C40" s="37" t="inlineStr">
        <is>
          <t>шт.</t>
        </is>
      </c>
      <c r="D40" s="33" t="n"/>
      <c r="E40" s="33" t="n"/>
      <c r="F40" s="33">
        <f>E40*0.05</f>
        <v/>
      </c>
      <c r="G40" s="33">
        <f>E40+F40</f>
        <v/>
      </c>
      <c r="H40" s="33" t="n"/>
      <c r="I40" s="33" t="n"/>
      <c r="J40" s="33" t="n"/>
      <c r="K40" s="33">
        <f>L40+M40+N40</f>
        <v/>
      </c>
      <c r="L40" s="33" t="n"/>
      <c r="M40" s="33" t="n"/>
      <c r="N40" s="33" t="n"/>
      <c r="O40" s="33">
        <f>P40+Q40</f>
        <v/>
      </c>
      <c r="P40" s="33" t="n"/>
      <c r="Q40" s="33" t="n"/>
      <c r="R40" s="33">
        <f>H40+K40-O40</f>
        <v/>
      </c>
      <c r="S40" s="33" t="n"/>
      <c r="T40" s="33" t="n"/>
      <c r="U40" s="33" t="n"/>
      <c r="V40" s="33" t="n"/>
      <c r="W40" s="33" t="n"/>
      <c r="X40" s="33" t="n"/>
      <c r="Y40" s="33" t="n"/>
      <c r="Z40" s="33" t="n"/>
      <c r="AA40" s="4">
        <f>R40-G40</f>
        <v/>
      </c>
      <c r="AB40" s="4">
        <f>G40-R40</f>
        <v/>
      </c>
      <c r="AC40" s="33" t="n"/>
    </row>
    <row r="41" ht="18.75" customHeight="1">
      <c r="A41" s="35">
        <f>SUBTOTAL(103,$B$24:B41)</f>
        <v/>
      </c>
      <c r="B41" s="36" t="inlineStr">
        <is>
          <t>Тарілки глибокі скляні (термостійкі)</t>
        </is>
      </c>
      <c r="C41" s="37" t="inlineStr">
        <is>
          <t>шт.</t>
        </is>
      </c>
      <c r="D41" s="33" t="n"/>
      <c r="E41" s="33" t="n"/>
      <c r="F41" s="33">
        <f>E41*0.05</f>
        <v/>
      </c>
      <c r="G41" s="33">
        <f>E41+F41</f>
        <v/>
      </c>
      <c r="H41" s="33" t="n"/>
      <c r="I41" s="33" t="n"/>
      <c r="J41" s="33" t="n"/>
      <c r="K41" s="33">
        <f>L41+M41+N41</f>
        <v/>
      </c>
      <c r="L41" s="33" t="n"/>
      <c r="M41" s="33" t="n"/>
      <c r="N41" s="33" t="n"/>
      <c r="O41" s="33">
        <f>P41+Q41</f>
        <v/>
      </c>
      <c r="P41" s="33" t="n"/>
      <c r="Q41" s="33" t="n"/>
      <c r="R41" s="33">
        <f>H41+K41-O41</f>
        <v/>
      </c>
      <c r="S41" s="33" t="n"/>
      <c r="T41" s="33" t="n"/>
      <c r="U41" s="33" t="n"/>
      <c r="V41" s="33" t="n"/>
      <c r="W41" s="33" t="n"/>
      <c r="X41" s="33" t="n"/>
      <c r="Y41" s="33" t="n"/>
      <c r="Z41" s="33" t="n"/>
      <c r="AA41" s="4">
        <f>R41-G41</f>
        <v/>
      </c>
      <c r="AB41" s="4">
        <f>G41-R41</f>
        <v/>
      </c>
      <c r="AC41" s="33" t="n"/>
    </row>
    <row r="42" ht="18.75" customHeight="1">
      <c r="A42" s="35">
        <f>SUBTOTAL(103,$B$24:B42)</f>
        <v/>
      </c>
      <c r="B42" s="36" t="inlineStr">
        <is>
          <t xml:space="preserve">Тарілка глибока алюмінієва </t>
        </is>
      </c>
      <c r="C42" s="37" t="inlineStr">
        <is>
          <t>шт.</t>
        </is>
      </c>
      <c r="D42" s="33" t="n"/>
      <c r="E42" s="33" t="n"/>
      <c r="F42" s="33">
        <f>E42*0.05</f>
        <v/>
      </c>
      <c r="G42" s="33">
        <f>E42+F42</f>
        <v/>
      </c>
      <c r="H42" s="33" t="n"/>
      <c r="I42" s="33" t="n"/>
      <c r="J42" s="33" t="n"/>
      <c r="K42" s="33">
        <f>L42+M42+N42</f>
        <v/>
      </c>
      <c r="L42" s="33" t="n"/>
      <c r="M42" s="33" t="n"/>
      <c r="N42" s="33" t="n"/>
      <c r="O42" s="33">
        <f>P42+Q42</f>
        <v/>
      </c>
      <c r="P42" s="33" t="n"/>
      <c r="Q42" s="33" t="n"/>
      <c r="R42" s="33">
        <f>H42+K42-O42</f>
        <v/>
      </c>
      <c r="S42" s="33" t="n"/>
      <c r="T42" s="33" t="n"/>
      <c r="U42" s="33" t="n"/>
      <c r="V42" s="33" t="n"/>
      <c r="W42" s="33" t="n"/>
      <c r="X42" s="33" t="n"/>
      <c r="Y42" s="33" t="n"/>
      <c r="Z42" s="33" t="n"/>
      <c r="AA42" s="4">
        <f>R42-G42</f>
        <v/>
      </c>
      <c r="AB42" s="4">
        <f>G42-R42</f>
        <v/>
      </c>
      <c r="AC42" s="33" t="n"/>
    </row>
    <row r="43" ht="18.75" customHeight="1">
      <c r="A43" s="35">
        <f>SUBTOTAL(103,$B$24:B43)</f>
        <v/>
      </c>
      <c r="B43" s="36" t="inlineStr">
        <is>
          <t>Тарілка напівпорційна фарфорова</t>
        </is>
      </c>
      <c r="C43" s="37" t="inlineStr">
        <is>
          <t>шт.</t>
        </is>
      </c>
      <c r="D43" s="33" t="n"/>
      <c r="E43" s="33" t="n"/>
      <c r="F43" s="33">
        <f>E43*0.05</f>
        <v/>
      </c>
      <c r="G43" s="33">
        <f>E43+F43</f>
        <v/>
      </c>
      <c r="H43" s="33" t="n"/>
      <c r="I43" s="33" t="n"/>
      <c r="J43" s="33" t="n"/>
      <c r="K43" s="33">
        <f>L43+M43+N43</f>
        <v/>
      </c>
      <c r="L43" s="33" t="n"/>
      <c r="M43" s="33" t="n"/>
      <c r="N43" s="33" t="n"/>
      <c r="O43" s="33">
        <f>P43+Q43</f>
        <v/>
      </c>
      <c r="P43" s="33" t="n"/>
      <c r="Q43" s="33" t="n"/>
      <c r="R43" s="33">
        <f>H43+K43-O43</f>
        <v/>
      </c>
      <c r="S43" s="33" t="n"/>
      <c r="T43" s="33" t="n"/>
      <c r="U43" s="33" t="n"/>
      <c r="V43" s="33" t="n"/>
      <c r="W43" s="33" t="n"/>
      <c r="X43" s="33" t="n"/>
      <c r="Y43" s="33" t="n"/>
      <c r="Z43" s="33" t="n"/>
      <c r="AA43" s="4">
        <f>R43-G43</f>
        <v/>
      </c>
      <c r="AB43" s="4">
        <f>G43-R43</f>
        <v/>
      </c>
      <c r="AC43" s="33" t="n"/>
    </row>
    <row r="44" ht="18.75" customHeight="1">
      <c r="A44" s="35">
        <f>SUBTOTAL(103,$B$24:B44)</f>
        <v/>
      </c>
      <c r="B44" s="36" t="inlineStr">
        <is>
          <t>Тарілка напівпорційна напівфарфорова</t>
        </is>
      </c>
      <c r="C44" s="37" t="inlineStr">
        <is>
          <t>шт.</t>
        </is>
      </c>
      <c r="D44" s="33" t="n"/>
      <c r="E44" s="33" t="n"/>
      <c r="F44" s="33">
        <f>E44*0.05</f>
        <v/>
      </c>
      <c r="G44" s="33">
        <f>E44+F44</f>
        <v/>
      </c>
      <c r="H44" s="33" t="n"/>
      <c r="I44" s="33" t="n"/>
      <c r="J44" s="33" t="n"/>
      <c r="K44" s="33">
        <f>L44+M44+N44</f>
        <v/>
      </c>
      <c r="L44" s="33" t="n"/>
      <c r="M44" s="33" t="n"/>
      <c r="N44" s="33" t="n"/>
      <c r="O44" s="33">
        <f>P44+Q44</f>
        <v/>
      </c>
      <c r="P44" s="33" t="n"/>
      <c r="Q44" s="33" t="n"/>
      <c r="R44" s="33">
        <f>H44+K44-O44</f>
        <v/>
      </c>
      <c r="S44" s="33" t="n"/>
      <c r="T44" s="33" t="n"/>
      <c r="U44" s="33" t="n"/>
      <c r="V44" s="33" t="n"/>
      <c r="W44" s="33" t="n"/>
      <c r="X44" s="33" t="n"/>
      <c r="Y44" s="33" t="n"/>
      <c r="Z44" s="33" t="n"/>
      <c r="AA44" s="4">
        <f>R44-G44</f>
        <v/>
      </c>
      <c r="AB44" s="4">
        <f>G44-R44</f>
        <v/>
      </c>
      <c r="AC44" s="33" t="n"/>
    </row>
    <row r="45" ht="18.75" customHeight="1">
      <c r="A45" s="35">
        <f>SUBTOTAL(103,$B$24:B45)</f>
        <v/>
      </c>
      <c r="B45" s="36" t="inlineStr">
        <is>
          <t xml:space="preserve">Тарілка мілка алюмінієва </t>
        </is>
      </c>
      <c r="C45" s="37" t="inlineStr">
        <is>
          <t>шт.</t>
        </is>
      </c>
      <c r="D45" s="33" t="n"/>
      <c r="E45" s="33" t="n"/>
      <c r="F45" s="33">
        <f>E45*0.05</f>
        <v/>
      </c>
      <c r="G45" s="33">
        <f>E45+F45</f>
        <v/>
      </c>
      <c r="H45" s="33" t="n"/>
      <c r="I45" s="33" t="n"/>
      <c r="J45" s="33" t="n"/>
      <c r="K45" s="33">
        <f>L45+M45+N45</f>
        <v/>
      </c>
      <c r="L45" s="33" t="n"/>
      <c r="M45" s="33" t="n"/>
      <c r="N45" s="33" t="n"/>
      <c r="O45" s="33">
        <f>P45+Q45</f>
        <v/>
      </c>
      <c r="P45" s="33" t="n"/>
      <c r="Q45" s="33" t="n"/>
      <c r="R45" s="33">
        <f>H45+K45-O45</f>
        <v/>
      </c>
      <c r="S45" s="33" t="n"/>
      <c r="T45" s="33" t="n"/>
      <c r="U45" s="33" t="n"/>
      <c r="V45" s="33" t="n"/>
      <c r="W45" s="33" t="n"/>
      <c r="X45" s="33" t="n"/>
      <c r="Y45" s="33" t="n"/>
      <c r="Z45" s="33" t="n"/>
      <c r="AA45" s="4">
        <f>R45-G45</f>
        <v/>
      </c>
      <c r="AB45" s="4">
        <f>G45-R45</f>
        <v/>
      </c>
      <c r="AC45" s="33" t="n"/>
    </row>
    <row r="46" ht="18.75" customHeight="1">
      <c r="A46" s="35">
        <f>SUBTOTAL(103,$B$24:B46)</f>
        <v/>
      </c>
      <c r="B46" s="36" t="inlineStr">
        <is>
          <t xml:space="preserve">Тарілка мілка емальована </t>
        </is>
      </c>
      <c r="C46" s="37" t="inlineStr">
        <is>
          <t>шт.</t>
        </is>
      </c>
      <c r="D46" s="33" t="n"/>
      <c r="E46" s="33" t="n"/>
      <c r="F46" s="33">
        <f>E46*0.05</f>
        <v/>
      </c>
      <c r="G46" s="33">
        <f>E46+F46</f>
        <v/>
      </c>
      <c r="H46" s="33" t="n"/>
      <c r="I46" s="33" t="n"/>
      <c r="J46" s="33" t="n"/>
      <c r="K46" s="33">
        <f>L46+M46+N46</f>
        <v/>
      </c>
      <c r="L46" s="33" t="n"/>
      <c r="M46" s="33" t="n"/>
      <c r="N46" s="33" t="n"/>
      <c r="O46" s="33">
        <f>P46+Q46</f>
        <v/>
      </c>
      <c r="P46" s="33" t="n"/>
      <c r="Q46" s="33" t="n"/>
      <c r="R46" s="33">
        <f>H46+K46-O46</f>
        <v/>
      </c>
      <c r="S46" s="33" t="n"/>
      <c r="T46" s="33" t="n"/>
      <c r="U46" s="33" t="n"/>
      <c r="V46" s="33" t="n"/>
      <c r="W46" s="33" t="n"/>
      <c r="X46" s="33" t="n"/>
      <c r="Y46" s="33" t="n"/>
      <c r="Z46" s="33" t="n"/>
      <c r="AA46" s="4">
        <f>R46-G46</f>
        <v/>
      </c>
      <c r="AB46" s="4">
        <f>G46-R46</f>
        <v/>
      </c>
      <c r="AC46" s="33" t="n"/>
    </row>
    <row r="47" ht="18.75" customHeight="1">
      <c r="A47" s="35">
        <f>SUBTOTAL(103,$B$24:B47)</f>
        <v/>
      </c>
      <c r="B47" s="36" t="inlineStr">
        <is>
          <t xml:space="preserve">Тарілка мілка пластмасова </t>
        </is>
      </c>
      <c r="C47" s="37" t="inlineStr">
        <is>
          <t>шт.</t>
        </is>
      </c>
      <c r="D47" s="33" t="n"/>
      <c r="E47" s="33" t="n"/>
      <c r="F47" s="33">
        <f>E47*0.05</f>
        <v/>
      </c>
      <c r="G47" s="33">
        <f>E47+F47</f>
        <v/>
      </c>
      <c r="H47" s="33" t="n"/>
      <c r="I47" s="33" t="n"/>
      <c r="J47" s="33" t="n"/>
      <c r="K47" s="33">
        <f>L47+M47+N47</f>
        <v/>
      </c>
      <c r="L47" s="33" t="n"/>
      <c r="M47" s="33" t="n"/>
      <c r="N47" s="33" t="n"/>
      <c r="O47" s="33">
        <f>P47+Q47</f>
        <v/>
      </c>
      <c r="P47" s="33" t="n"/>
      <c r="Q47" s="33" t="n"/>
      <c r="R47" s="33">
        <f>H47+K47-O47</f>
        <v/>
      </c>
      <c r="S47" s="33" t="n"/>
      <c r="T47" s="33" t="n"/>
      <c r="U47" s="33" t="n"/>
      <c r="V47" s="33" t="n"/>
      <c r="W47" s="33" t="n"/>
      <c r="X47" s="33" t="n"/>
      <c r="Y47" s="33" t="n"/>
      <c r="Z47" s="33" t="n"/>
      <c r="AA47" s="4">
        <f>R47-G47</f>
        <v/>
      </c>
      <c r="AB47" s="4">
        <f>G47-R47</f>
        <v/>
      </c>
      <c r="AC47" s="33" t="n"/>
    </row>
    <row r="48" ht="18.75" customHeight="1">
      <c r="A48" s="35">
        <f>SUBTOTAL(103,$B$24:B48)</f>
        <v/>
      </c>
      <c r="B48" s="36" t="inlineStr">
        <is>
          <t xml:space="preserve">Тарілка мілка напівфарфорова </t>
        </is>
      </c>
      <c r="C48" s="37" t="inlineStr">
        <is>
          <t>шт.</t>
        </is>
      </c>
      <c r="D48" s="33" t="n"/>
      <c r="E48" s="33" t="n"/>
      <c r="F48" s="33">
        <f>E48*0.05</f>
        <v/>
      </c>
      <c r="G48" s="33">
        <f>E48+F48</f>
        <v/>
      </c>
      <c r="H48" s="33" t="n"/>
      <c r="I48" s="33" t="n"/>
      <c r="J48" s="33" t="n"/>
      <c r="K48" s="33">
        <f>L48+M48+N48</f>
        <v/>
      </c>
      <c r="L48" s="33" t="n"/>
      <c r="M48" s="33" t="n"/>
      <c r="N48" s="33" t="n"/>
      <c r="O48" s="33">
        <f>P48+Q48</f>
        <v/>
      </c>
      <c r="P48" s="33" t="n"/>
      <c r="Q48" s="33" t="n"/>
      <c r="R48" s="33">
        <f>H48+K48-O48</f>
        <v/>
      </c>
      <c r="S48" s="33" t="n"/>
      <c r="T48" s="33" t="n"/>
      <c r="U48" s="33" t="n"/>
      <c r="V48" s="33" t="n"/>
      <c r="W48" s="33" t="n"/>
      <c r="X48" s="33" t="n"/>
      <c r="Y48" s="33" t="n"/>
      <c r="Z48" s="33" t="n"/>
      <c r="AA48" s="4">
        <f>R48-G48</f>
        <v/>
      </c>
      <c r="AB48" s="4">
        <f>G48-R48</f>
        <v/>
      </c>
      <c r="AC48" s="33" t="n"/>
    </row>
    <row r="49" ht="18.75" customHeight="1">
      <c r="A49" s="35">
        <f>SUBTOTAL(103,$B$24:B49)</f>
        <v/>
      </c>
      <c r="B49" s="36" t="inlineStr">
        <is>
          <t xml:space="preserve">Тарілка мілка фаянсова </t>
        </is>
      </c>
      <c r="C49" s="37" t="inlineStr">
        <is>
          <t>шт.</t>
        </is>
      </c>
      <c r="D49" s="33" t="n"/>
      <c r="E49" s="33" t="n"/>
      <c r="F49" s="33">
        <f>E49*0.05</f>
        <v/>
      </c>
      <c r="G49" s="33">
        <f>E49+F49</f>
        <v/>
      </c>
      <c r="H49" s="33" t="n"/>
      <c r="I49" s="33" t="n"/>
      <c r="J49" s="33" t="n"/>
      <c r="K49" s="33">
        <f>L49+M49+N49</f>
        <v/>
      </c>
      <c r="L49" s="33" t="n"/>
      <c r="M49" s="33" t="n"/>
      <c r="N49" s="33" t="n"/>
      <c r="O49" s="33">
        <f>P49+Q49</f>
        <v/>
      </c>
      <c r="P49" s="33" t="n"/>
      <c r="Q49" s="33" t="n"/>
      <c r="R49" s="33">
        <f>H49+K49-O49</f>
        <v/>
      </c>
      <c r="S49" s="33" t="n"/>
      <c r="T49" s="33" t="n"/>
      <c r="U49" s="33" t="n"/>
      <c r="V49" s="33" t="n"/>
      <c r="W49" s="33" t="n"/>
      <c r="X49" s="33" t="n"/>
      <c r="Y49" s="33" t="n"/>
      <c r="Z49" s="33" t="n"/>
      <c r="AA49" s="4">
        <f>R49-G49</f>
        <v/>
      </c>
      <c r="AB49" s="4">
        <f>G49-R49</f>
        <v/>
      </c>
      <c r="AC49" s="33" t="n"/>
    </row>
    <row r="50" ht="18.75" customHeight="1">
      <c r="A50" s="35">
        <f>SUBTOTAL(103,$B$24:B50)</f>
        <v/>
      </c>
      <c r="B50" s="36" t="inlineStr">
        <is>
          <t>Тарілки мілкі скляні (термостійкі )</t>
        </is>
      </c>
      <c r="C50" s="37" t="inlineStr">
        <is>
          <t>шт.</t>
        </is>
      </c>
      <c r="D50" s="33" t="n"/>
      <c r="E50" s="33" t="n"/>
      <c r="F50" s="33">
        <f>E50*0.05</f>
        <v/>
      </c>
      <c r="G50" s="33">
        <f>E50+F50</f>
        <v/>
      </c>
      <c r="H50" s="33" t="n"/>
      <c r="I50" s="33" t="n"/>
      <c r="J50" s="33" t="n"/>
      <c r="K50" s="33">
        <f>L50+M50+N50</f>
        <v/>
      </c>
      <c r="L50" s="33" t="n"/>
      <c r="M50" s="33" t="n"/>
      <c r="N50" s="33" t="n"/>
      <c r="O50" s="33">
        <f>P50+Q50</f>
        <v/>
      </c>
      <c r="P50" s="33" t="n"/>
      <c r="Q50" s="33" t="n"/>
      <c r="R50" s="33">
        <f>H50+K50-O50</f>
        <v/>
      </c>
      <c r="S50" s="33" t="n"/>
      <c r="T50" s="33" t="n"/>
      <c r="U50" s="33" t="n"/>
      <c r="V50" s="33" t="n"/>
      <c r="W50" s="33" t="n"/>
      <c r="X50" s="33" t="n"/>
      <c r="Y50" s="33" t="n"/>
      <c r="Z50" s="33" t="n"/>
      <c r="AA50" s="4">
        <f>R50-G50</f>
        <v/>
      </c>
      <c r="AB50" s="4">
        <f>G50-R50</f>
        <v/>
      </c>
      <c r="AC50" s="33" t="n"/>
    </row>
    <row r="51" ht="18.75" customHeight="1">
      <c r="A51" s="35">
        <f>SUBTOTAL(103,$B$24:B51)</f>
        <v/>
      </c>
      <c r="B51" s="36" t="inlineStr">
        <is>
          <t>Тарілка мілка з нержавіючої сталі</t>
        </is>
      </c>
      <c r="C51" s="37" t="inlineStr">
        <is>
          <t>шт.</t>
        </is>
      </c>
      <c r="D51" s="33" t="n"/>
      <c r="E51" s="33" t="n"/>
      <c r="F51" s="33">
        <f>E51*0.05</f>
        <v/>
      </c>
      <c r="G51" s="33">
        <f>E51+F51</f>
        <v/>
      </c>
      <c r="H51" s="33" t="n"/>
      <c r="I51" s="33" t="n"/>
      <c r="J51" s="33" t="n"/>
      <c r="K51" s="33">
        <f>L51+M51+N51</f>
        <v/>
      </c>
      <c r="L51" s="33" t="n"/>
      <c r="M51" s="33" t="n"/>
      <c r="N51" s="33" t="n"/>
      <c r="O51" s="33">
        <f>P51+Q51</f>
        <v/>
      </c>
      <c r="P51" s="33" t="n"/>
      <c r="Q51" s="33" t="n"/>
      <c r="R51" s="33">
        <f>H51+K51-O51</f>
        <v/>
      </c>
      <c r="S51" s="33" t="n"/>
      <c r="T51" s="33" t="n"/>
      <c r="U51" s="33" t="n"/>
      <c r="V51" s="33" t="n"/>
      <c r="W51" s="33" t="n"/>
      <c r="X51" s="33" t="n"/>
      <c r="Y51" s="33" t="n"/>
      <c r="Z51" s="33" t="n"/>
      <c r="AA51" s="4">
        <f>R51-G51</f>
        <v/>
      </c>
      <c r="AB51" s="4">
        <f>G51-R51</f>
        <v/>
      </c>
      <c r="AC51" s="33" t="n"/>
    </row>
    <row r="52" ht="18.75" customHeight="1">
      <c r="A52" s="35">
        <f>SUBTOTAL(103,$B$24:B52)</f>
        <v/>
      </c>
      <c r="B52" s="36" t="inlineStr">
        <is>
          <t xml:space="preserve">Тарілка мілка фарфорова </t>
        </is>
      </c>
      <c r="C52" s="37" t="inlineStr">
        <is>
          <t>шт.</t>
        </is>
      </c>
      <c r="D52" s="33" t="n"/>
      <c r="E52" s="33" t="n"/>
      <c r="F52" s="33">
        <f>E52*0.05</f>
        <v/>
      </c>
      <c r="G52" s="33">
        <f>E52+F52</f>
        <v/>
      </c>
      <c r="H52" s="33" t="n"/>
      <c r="I52" s="33" t="n"/>
      <c r="J52" s="33" t="n"/>
      <c r="K52" s="33">
        <f>L52+M52+N52</f>
        <v/>
      </c>
      <c r="L52" s="33" t="n"/>
      <c r="M52" s="33" t="n"/>
      <c r="N52" s="33" t="n"/>
      <c r="O52" s="33">
        <f>P52+Q52</f>
        <v/>
      </c>
      <c r="P52" s="33" t="n"/>
      <c r="Q52" s="33" t="n"/>
      <c r="R52" s="33">
        <f>H52+K52-O52</f>
        <v/>
      </c>
      <c r="S52" s="33" t="n"/>
      <c r="T52" s="33" t="n"/>
      <c r="U52" s="33" t="n"/>
      <c r="V52" s="33" t="n"/>
      <c r="W52" s="33" t="n"/>
      <c r="X52" s="33" t="n"/>
      <c r="Y52" s="33" t="n"/>
      <c r="Z52" s="33" t="n"/>
      <c r="AA52" s="4">
        <f>R52-G52</f>
        <v/>
      </c>
      <c r="AB52" s="4">
        <f>G52-R52</f>
        <v/>
      </c>
      <c r="AC52" s="33" t="n"/>
    </row>
    <row r="53" ht="18.75" customHeight="1">
      <c r="A53" s="35">
        <f>SUBTOTAL(103,$B$24:B53)</f>
        <v/>
      </c>
      <c r="B53" s="36" t="inlineStr">
        <is>
          <t xml:space="preserve">Тарілка десертна фарфорова </t>
        </is>
      </c>
      <c r="C53" s="37" t="inlineStr">
        <is>
          <t>шт.</t>
        </is>
      </c>
      <c r="D53" s="33" t="n"/>
      <c r="E53" s="33" t="n"/>
      <c r="F53" s="33">
        <f>E53*0.05</f>
        <v/>
      </c>
      <c r="G53" s="33">
        <f>E53+F53</f>
        <v/>
      </c>
      <c r="H53" s="33" t="n"/>
      <c r="I53" s="33" t="n"/>
      <c r="J53" s="33" t="n"/>
      <c r="K53" s="33">
        <f>L53+M53+N53</f>
        <v/>
      </c>
      <c r="L53" s="33" t="n"/>
      <c r="M53" s="33" t="n"/>
      <c r="N53" s="33" t="n"/>
      <c r="O53" s="33">
        <f>P53+Q53</f>
        <v/>
      </c>
      <c r="P53" s="33" t="n"/>
      <c r="Q53" s="33" t="n"/>
      <c r="R53" s="33">
        <f>H53+K53-O53</f>
        <v/>
      </c>
      <c r="S53" s="33" t="n"/>
      <c r="T53" s="33" t="n"/>
      <c r="U53" s="33" t="n"/>
      <c r="V53" s="33" t="n"/>
      <c r="W53" s="33" t="n"/>
      <c r="X53" s="33" t="n"/>
      <c r="Y53" s="33" t="n"/>
      <c r="Z53" s="33" t="n"/>
      <c r="AA53" s="4">
        <f>R53-G53</f>
        <v/>
      </c>
      <c r="AB53" s="4">
        <f>G53-R53</f>
        <v/>
      </c>
      <c r="AC53" s="33" t="n"/>
    </row>
    <row r="54" ht="18.75" customHeight="1">
      <c r="A54" s="35">
        <f>SUBTOTAL(103,$B$24:B54)</f>
        <v/>
      </c>
      <c r="B54" s="36" t="inlineStr">
        <is>
          <t>Тарілка десертна фаянсова</t>
        </is>
      </c>
      <c r="C54" s="37" t="inlineStr">
        <is>
          <t>шт.</t>
        </is>
      </c>
      <c r="D54" s="33" t="n"/>
      <c r="E54" s="33" t="n"/>
      <c r="F54" s="33">
        <f>E54*0.05</f>
        <v/>
      </c>
      <c r="G54" s="33">
        <f>E54+F54</f>
        <v/>
      </c>
      <c r="H54" s="33" t="n"/>
      <c r="I54" s="33" t="n"/>
      <c r="J54" s="33" t="n"/>
      <c r="K54" s="33">
        <f>L54+M54+N54</f>
        <v/>
      </c>
      <c r="L54" s="33" t="n"/>
      <c r="M54" s="33" t="n"/>
      <c r="N54" s="33" t="n"/>
      <c r="O54" s="33">
        <f>P54+Q54</f>
        <v/>
      </c>
      <c r="P54" s="33" t="n"/>
      <c r="Q54" s="33" t="n"/>
      <c r="R54" s="33">
        <f>H54+K54-O54</f>
        <v/>
      </c>
      <c r="S54" s="33" t="n"/>
      <c r="T54" s="33" t="n"/>
      <c r="U54" s="33" t="n"/>
      <c r="V54" s="33" t="n"/>
      <c r="W54" s="33" t="n"/>
      <c r="X54" s="33" t="n"/>
      <c r="Y54" s="33" t="n"/>
      <c r="Z54" s="33" t="n"/>
      <c r="AA54" s="4">
        <f>R54-G54</f>
        <v/>
      </c>
      <c r="AB54" s="4">
        <f>G54-R54</f>
        <v/>
      </c>
      <c r="AC54" s="33" t="n"/>
    </row>
    <row r="55" ht="18.75" customHeight="1">
      <c r="A55" s="35">
        <f>SUBTOTAL(103,$B$24:B55)</f>
        <v/>
      </c>
      <c r="B55" s="36" t="inlineStr">
        <is>
          <t xml:space="preserve">Тарілка десертна напівфарфорова </t>
        </is>
      </c>
      <c r="C55" s="37" t="inlineStr">
        <is>
          <t>шт.</t>
        </is>
      </c>
      <c r="D55" s="33" t="n"/>
      <c r="E55" s="33" t="n"/>
      <c r="F55" s="33">
        <f>E55*0.05</f>
        <v/>
      </c>
      <c r="G55" s="33">
        <f>E55+F55</f>
        <v/>
      </c>
      <c r="H55" s="33" t="n"/>
      <c r="I55" s="33" t="n"/>
      <c r="J55" s="33" t="n"/>
      <c r="K55" s="33">
        <f>L55+M55+N55</f>
        <v/>
      </c>
      <c r="L55" s="33" t="n"/>
      <c r="M55" s="33" t="n"/>
      <c r="N55" s="33" t="n"/>
      <c r="O55" s="33">
        <f>P55+Q55</f>
        <v/>
      </c>
      <c r="P55" s="33" t="n"/>
      <c r="Q55" s="33" t="n"/>
      <c r="R55" s="33">
        <f>H55+K55-O55</f>
        <v/>
      </c>
      <c r="S55" s="33" t="n"/>
      <c r="T55" s="33" t="n"/>
      <c r="U55" s="33" t="n"/>
      <c r="V55" s="33" t="n"/>
      <c r="W55" s="33" t="n"/>
      <c r="X55" s="33" t="n"/>
      <c r="Y55" s="33" t="n"/>
      <c r="Z55" s="33" t="n"/>
      <c r="AA55" s="4">
        <f>R55-G55</f>
        <v/>
      </c>
      <c r="AB55" s="4">
        <f>G55-R55</f>
        <v/>
      </c>
      <c r="AC55" s="33" t="n"/>
    </row>
    <row r="56" ht="18.75" customHeight="1">
      <c r="A56" s="35">
        <f>SUBTOTAL(103,$B$24:B56)</f>
        <v/>
      </c>
      <c r="B56" s="36" t="inlineStr">
        <is>
          <t>Тарілки десертні скляні (термостійкі)</t>
        </is>
      </c>
      <c r="C56" s="37" t="inlineStr">
        <is>
          <t>шт.</t>
        </is>
      </c>
      <c r="D56" s="33" t="n"/>
      <c r="E56" s="33" t="n"/>
      <c r="F56" s="33">
        <f>E56*0.05</f>
        <v/>
      </c>
      <c r="G56" s="33">
        <f>E56+F56</f>
        <v/>
      </c>
      <c r="H56" s="33" t="n"/>
      <c r="I56" s="33" t="n"/>
      <c r="J56" s="33" t="n"/>
      <c r="K56" s="33">
        <f>L56+M56+N56</f>
        <v/>
      </c>
      <c r="L56" s="33" t="n"/>
      <c r="M56" s="33" t="n"/>
      <c r="N56" s="33" t="n"/>
      <c r="O56" s="33">
        <f>P56+Q56</f>
        <v/>
      </c>
      <c r="P56" s="33" t="n"/>
      <c r="Q56" s="33" t="n"/>
      <c r="R56" s="33">
        <f>H56+K56-O56</f>
        <v/>
      </c>
      <c r="S56" s="33" t="n"/>
      <c r="T56" s="33" t="n"/>
      <c r="U56" s="33" t="n"/>
      <c r="V56" s="33" t="n"/>
      <c r="W56" s="33" t="n"/>
      <c r="X56" s="33" t="n"/>
      <c r="Y56" s="33" t="n"/>
      <c r="Z56" s="33" t="n"/>
      <c r="AA56" s="4">
        <f>R56-G56</f>
        <v/>
      </c>
      <c r="AB56" s="4">
        <f>G56-R56</f>
        <v/>
      </c>
      <c r="AC56" s="33" t="n"/>
    </row>
    <row r="57" ht="18.75" customHeight="1">
      <c r="A57" s="35">
        <f>SUBTOTAL(103,$B$24:B57)</f>
        <v/>
      </c>
      <c r="B57" s="36" t="inlineStr">
        <is>
          <t>Тарілки підставні скляні (термостійкі)</t>
        </is>
      </c>
      <c r="C57" s="37" t="inlineStr">
        <is>
          <t>шт.</t>
        </is>
      </c>
      <c r="D57" s="33" t="n"/>
      <c r="E57" s="33" t="n"/>
      <c r="F57" s="33">
        <f>E57*0.05</f>
        <v/>
      </c>
      <c r="G57" s="33">
        <f>E57+F57</f>
        <v/>
      </c>
      <c r="H57" s="33" t="n"/>
      <c r="I57" s="33" t="n"/>
      <c r="J57" s="33" t="n"/>
      <c r="K57" s="33">
        <f>L57+M57+N57</f>
        <v/>
      </c>
      <c r="L57" s="33" t="n"/>
      <c r="M57" s="33" t="n"/>
      <c r="N57" s="33" t="n"/>
      <c r="O57" s="33">
        <f>P57+Q57</f>
        <v/>
      </c>
      <c r="P57" s="33" t="n"/>
      <c r="Q57" s="33" t="n"/>
      <c r="R57" s="33">
        <f>H57+K57-O57</f>
        <v/>
      </c>
      <c r="S57" s="33" t="n"/>
      <c r="T57" s="33" t="n"/>
      <c r="U57" s="33" t="n"/>
      <c r="V57" s="33" t="n"/>
      <c r="W57" s="33" t="n"/>
      <c r="X57" s="33" t="n"/>
      <c r="Y57" s="33" t="n"/>
      <c r="Z57" s="33" t="n"/>
      <c r="AA57" s="4">
        <f>R57-G57</f>
        <v/>
      </c>
      <c r="AB57" s="4">
        <f>G57-R57</f>
        <v/>
      </c>
      <c r="AC57" s="33" t="n"/>
    </row>
    <row r="58" ht="18.75" customHeight="1">
      <c r="A58" s="35">
        <f>SUBTOTAL(103,$B$24:B58)</f>
        <v/>
      </c>
      <c r="B58" s="36" t="inlineStr">
        <is>
          <t xml:space="preserve">Тарілки для хліба алюмінієві </t>
        </is>
      </c>
      <c r="C58" s="37" t="inlineStr">
        <is>
          <t>шт.</t>
        </is>
      </c>
      <c r="D58" s="33" t="n"/>
      <c r="E58" s="33" t="n"/>
      <c r="F58" s="33">
        <f>E58*0.05</f>
        <v/>
      </c>
      <c r="G58" s="33">
        <f>E58+F58</f>
        <v/>
      </c>
      <c r="H58" s="33" t="n"/>
      <c r="I58" s="33" t="n"/>
      <c r="J58" s="33" t="n"/>
      <c r="K58" s="33">
        <f>L58+M58+N58</f>
        <v/>
      </c>
      <c r="L58" s="33" t="n"/>
      <c r="M58" s="33" t="n"/>
      <c r="N58" s="33" t="n"/>
      <c r="O58" s="33">
        <f>P58+Q58</f>
        <v/>
      </c>
      <c r="P58" s="33" t="n"/>
      <c r="Q58" s="33" t="n"/>
      <c r="R58" s="33">
        <f>H58+K58-O58</f>
        <v/>
      </c>
      <c r="S58" s="33" t="n"/>
      <c r="T58" s="33" t="n"/>
      <c r="U58" s="33" t="n"/>
      <c r="V58" s="33" t="n"/>
      <c r="W58" s="33" t="n"/>
      <c r="X58" s="33" t="n"/>
      <c r="Y58" s="33" t="n"/>
      <c r="Z58" s="33" t="n"/>
      <c r="AA58" s="4">
        <f>R58-G58</f>
        <v/>
      </c>
      <c r="AB58" s="4">
        <f>G58-R58</f>
        <v/>
      </c>
      <c r="AC58" s="33" t="n"/>
    </row>
    <row r="59" ht="18.75" customHeight="1">
      <c r="A59" s="35">
        <f>SUBTOTAL(103,$B$24:B59)</f>
        <v/>
      </c>
      <c r="B59" s="36" t="inlineStr">
        <is>
          <t xml:space="preserve">Тарілка десертна алюмінієва </t>
        </is>
      </c>
      <c r="C59" s="37" t="inlineStr">
        <is>
          <t>шт.</t>
        </is>
      </c>
      <c r="D59" s="33" t="n"/>
      <c r="E59" s="33" t="n"/>
      <c r="F59" s="33">
        <f>E59*0.05</f>
        <v/>
      </c>
      <c r="G59" s="33">
        <f>E59+F59</f>
        <v/>
      </c>
      <c r="H59" s="33" t="n"/>
      <c r="I59" s="33" t="n"/>
      <c r="J59" s="33" t="n"/>
      <c r="K59" s="33">
        <f>L59+M59+N59</f>
        <v/>
      </c>
      <c r="L59" s="33" t="n"/>
      <c r="M59" s="33" t="n"/>
      <c r="N59" s="33" t="n"/>
      <c r="O59" s="33">
        <f>P59+Q59</f>
        <v/>
      </c>
      <c r="P59" s="33" t="n"/>
      <c r="Q59" s="33" t="n"/>
      <c r="R59" s="33">
        <f>H59+K59-O59</f>
        <v/>
      </c>
      <c r="S59" s="33" t="n"/>
      <c r="T59" s="33" t="n"/>
      <c r="U59" s="33" t="n"/>
      <c r="V59" s="33" t="n"/>
      <c r="W59" s="33" t="n"/>
      <c r="X59" s="33" t="n"/>
      <c r="Y59" s="33" t="n"/>
      <c r="Z59" s="33" t="n"/>
      <c r="AA59" s="4">
        <f>R59-G59</f>
        <v/>
      </c>
      <c r="AB59" s="4">
        <f>G59-R59</f>
        <v/>
      </c>
      <c r="AC59" s="33" t="n"/>
    </row>
    <row r="60" ht="18.75" customHeight="1">
      <c r="A60" s="35">
        <f>SUBTOTAL(103,$B$24:B60)</f>
        <v/>
      </c>
      <c r="B60" s="36" t="inlineStr">
        <is>
          <t xml:space="preserve">Тарілка десертна пластмасова </t>
        </is>
      </c>
      <c r="C60" s="37" t="inlineStr">
        <is>
          <t>шт.</t>
        </is>
      </c>
      <c r="D60" s="33" t="n"/>
      <c r="E60" s="33" t="n"/>
      <c r="F60" s="33">
        <f>E60*0.05</f>
        <v/>
      </c>
      <c r="G60" s="33">
        <f>E60+F60</f>
        <v/>
      </c>
      <c r="H60" s="33" t="n"/>
      <c r="I60" s="33" t="n"/>
      <c r="J60" s="33" t="n"/>
      <c r="K60" s="33">
        <f>L60+M60+N60</f>
        <v/>
      </c>
      <c r="L60" s="33" t="n"/>
      <c r="M60" s="33" t="n"/>
      <c r="N60" s="33" t="n"/>
      <c r="O60" s="33">
        <f>P60+Q60</f>
        <v/>
      </c>
      <c r="P60" s="33" t="n"/>
      <c r="Q60" s="33" t="n"/>
      <c r="R60" s="33">
        <f>H60+K60-O60</f>
        <v/>
      </c>
      <c r="S60" s="33" t="n"/>
      <c r="T60" s="33" t="n"/>
      <c r="U60" s="33" t="n"/>
      <c r="V60" s="33" t="n"/>
      <c r="W60" s="33" t="n"/>
      <c r="X60" s="33" t="n"/>
      <c r="Y60" s="33" t="n"/>
      <c r="Z60" s="33" t="n"/>
      <c r="AA60" s="4">
        <f>R60-G60</f>
        <v/>
      </c>
      <c r="AB60" s="4">
        <f>G60-R60</f>
        <v/>
      </c>
      <c r="AC60" s="33" t="n"/>
    </row>
    <row r="61" ht="18.75" customHeight="1">
      <c r="A61" s="35">
        <f>SUBTOTAL(103,$B$24:B61)</f>
        <v/>
      </c>
      <c r="B61" s="36" t="inlineStr">
        <is>
          <t>Тарілка пиріжкова фаянсова</t>
        </is>
      </c>
      <c r="C61" s="37" t="inlineStr">
        <is>
          <t>шт.</t>
        </is>
      </c>
      <c r="D61" s="33" t="n"/>
      <c r="E61" s="33" t="n"/>
      <c r="F61" s="33">
        <f>E61*0.05</f>
        <v/>
      </c>
      <c r="G61" s="33">
        <f>E61+F61</f>
        <v/>
      </c>
      <c r="H61" s="33" t="n"/>
      <c r="I61" s="33" t="n"/>
      <c r="J61" s="33" t="n"/>
      <c r="K61" s="33">
        <f>L61+M61+N61</f>
        <v/>
      </c>
      <c r="L61" s="33" t="n"/>
      <c r="M61" s="33" t="n"/>
      <c r="N61" s="33" t="n"/>
      <c r="O61" s="33">
        <f>P61+Q61</f>
        <v/>
      </c>
      <c r="P61" s="33" t="n"/>
      <c r="Q61" s="33" t="n"/>
      <c r="R61" s="33">
        <f>H61+K61-O61</f>
        <v/>
      </c>
      <c r="S61" s="33" t="n"/>
      <c r="T61" s="33" t="n"/>
      <c r="U61" s="33" t="n"/>
      <c r="V61" s="33" t="n"/>
      <c r="W61" s="33" t="n"/>
      <c r="X61" s="33" t="n"/>
      <c r="Y61" s="33" t="n"/>
      <c r="Z61" s="33" t="n"/>
      <c r="AA61" s="4">
        <f>R61-G61</f>
        <v/>
      </c>
      <c r="AB61" s="4">
        <f>G61-R61</f>
        <v/>
      </c>
      <c r="AC61" s="33" t="n"/>
    </row>
    <row r="62" ht="18.75" customHeight="1">
      <c r="A62" s="35">
        <f>SUBTOTAL(103,$B$24:B62)</f>
        <v/>
      </c>
      <c r="B62" s="36" t="inlineStr">
        <is>
          <t xml:space="preserve">Тарілка пирішкова фарфорова </t>
        </is>
      </c>
      <c r="C62" s="37" t="inlineStr">
        <is>
          <t>шт.</t>
        </is>
      </c>
      <c r="D62" s="33" t="n"/>
      <c r="E62" s="33" t="n"/>
      <c r="F62" s="33">
        <f>E62*0.05</f>
        <v/>
      </c>
      <c r="G62" s="33">
        <f>E62+F62</f>
        <v/>
      </c>
      <c r="H62" s="33" t="n"/>
      <c r="I62" s="33" t="n"/>
      <c r="J62" s="33" t="n"/>
      <c r="K62" s="33">
        <f>L62+M62+N62</f>
        <v/>
      </c>
      <c r="L62" s="33" t="n"/>
      <c r="M62" s="33" t="n"/>
      <c r="N62" s="33" t="n"/>
      <c r="O62" s="33">
        <f>P62+Q62</f>
        <v/>
      </c>
      <c r="P62" s="33" t="n"/>
      <c r="Q62" s="33" t="n"/>
      <c r="R62" s="33">
        <f>H62+K62-O62</f>
        <v/>
      </c>
      <c r="S62" s="33" t="n"/>
      <c r="T62" s="33" t="n"/>
      <c r="U62" s="33" t="n"/>
      <c r="V62" s="33" t="n"/>
      <c r="W62" s="33" t="n"/>
      <c r="X62" s="33" t="n"/>
      <c r="Y62" s="33" t="n"/>
      <c r="Z62" s="33" t="n"/>
      <c r="AA62" s="4">
        <f>R62-G62</f>
        <v/>
      </c>
      <c r="AB62" s="4">
        <f>G62-R62</f>
        <v/>
      </c>
      <c r="AC62" s="33" t="n"/>
    </row>
    <row r="63" ht="18.75" customHeight="1">
      <c r="A63" s="35">
        <f>SUBTOTAL(103,$B$24:B63)</f>
        <v/>
      </c>
      <c r="B63" s="36" t="inlineStr">
        <is>
          <t xml:space="preserve">Тарілка пиріжкова напівфарфорова </t>
        </is>
      </c>
      <c r="C63" s="37" t="inlineStr">
        <is>
          <t>шт.</t>
        </is>
      </c>
      <c r="D63" s="33" t="n"/>
      <c r="E63" s="33" t="n"/>
      <c r="F63" s="33">
        <f>E63*0.05</f>
        <v/>
      </c>
      <c r="G63" s="33">
        <f>E63+F63</f>
        <v/>
      </c>
      <c r="H63" s="33" t="n"/>
      <c r="I63" s="33" t="n"/>
      <c r="J63" s="33" t="n"/>
      <c r="K63" s="33">
        <f>L63+M63+N63</f>
        <v/>
      </c>
      <c r="L63" s="33" t="n"/>
      <c r="M63" s="33" t="n"/>
      <c r="N63" s="33" t="n"/>
      <c r="O63" s="33">
        <f>P63+Q63</f>
        <v/>
      </c>
      <c r="P63" s="33" t="n"/>
      <c r="Q63" s="33" t="n"/>
      <c r="R63" s="33">
        <f>H63+K63-O63</f>
        <v/>
      </c>
      <c r="S63" s="33" t="n"/>
      <c r="T63" s="33" t="n"/>
      <c r="U63" s="33" t="n"/>
      <c r="V63" s="33" t="n"/>
      <c r="W63" s="33" t="n"/>
      <c r="X63" s="33" t="n"/>
      <c r="Y63" s="33" t="n"/>
      <c r="Z63" s="33" t="n"/>
      <c r="AA63" s="4">
        <f>R63-G63</f>
        <v/>
      </c>
      <c r="AB63" s="4">
        <f>G63-R63</f>
        <v/>
      </c>
      <c r="AC63" s="33" t="n"/>
    </row>
    <row r="64" ht="18.75" customHeight="1">
      <c r="A64" s="35">
        <f>SUBTOTAL(103,$B$24:B64)</f>
        <v/>
      </c>
      <c r="B64" s="36" t="inlineStr">
        <is>
          <t xml:space="preserve">Тарілки пирішкові фарфорові </t>
        </is>
      </c>
      <c r="C64" s="37" t="inlineStr">
        <is>
          <t>шт.</t>
        </is>
      </c>
      <c r="D64" s="33" t="n"/>
      <c r="E64" s="33" t="n"/>
      <c r="F64" s="33">
        <f>E64*0.05</f>
        <v/>
      </c>
      <c r="G64" s="33">
        <f>E64+F64</f>
        <v/>
      </c>
      <c r="H64" s="33" t="n"/>
      <c r="I64" s="33" t="n"/>
      <c r="J64" s="33" t="n"/>
      <c r="K64" s="33">
        <f>L64+M64+N64</f>
        <v/>
      </c>
      <c r="L64" s="33" t="n"/>
      <c r="M64" s="33" t="n"/>
      <c r="N64" s="33" t="n"/>
      <c r="O64" s="33">
        <f>P64+Q64</f>
        <v/>
      </c>
      <c r="P64" s="33" t="n"/>
      <c r="Q64" s="33" t="n"/>
      <c r="R64" s="33">
        <f>H64+K64-O64</f>
        <v/>
      </c>
      <c r="S64" s="33" t="n"/>
      <c r="T64" s="33" t="n"/>
      <c r="U64" s="33" t="n"/>
      <c r="V64" s="33" t="n"/>
      <c r="W64" s="33" t="n"/>
      <c r="X64" s="33" t="n"/>
      <c r="Y64" s="33" t="n"/>
      <c r="Z64" s="33" t="n"/>
      <c r="AA64" s="4">
        <f>R64-G64</f>
        <v/>
      </c>
      <c r="AB64" s="4">
        <f>G64-R64</f>
        <v/>
      </c>
      <c r="AC64" s="33" t="n"/>
    </row>
    <row r="65" ht="18.75" customHeight="1">
      <c r="A65" s="35">
        <f>SUBTOTAL(103,$B$24:B65)</f>
        <v/>
      </c>
      <c r="B65" s="36" t="inlineStr">
        <is>
          <t>Тарілки пиріжкові н/фарф.</t>
        </is>
      </c>
      <c r="C65" s="37" t="inlineStr">
        <is>
          <t>шт.</t>
        </is>
      </c>
      <c r="D65" s="33" t="n"/>
      <c r="E65" s="33" t="n"/>
      <c r="F65" s="33">
        <f>E65*0.05</f>
        <v/>
      </c>
      <c r="G65" s="33">
        <f>E65+F65</f>
        <v/>
      </c>
      <c r="H65" s="33" t="n"/>
      <c r="I65" s="33" t="n"/>
      <c r="J65" s="33" t="n"/>
      <c r="K65" s="33">
        <f>L65+M65+N65</f>
        <v/>
      </c>
      <c r="L65" s="33" t="n"/>
      <c r="M65" s="33" t="n"/>
      <c r="N65" s="33" t="n"/>
      <c r="O65" s="33">
        <f>P65+Q65</f>
        <v/>
      </c>
      <c r="P65" s="33" t="n"/>
      <c r="Q65" s="33" t="n"/>
      <c r="R65" s="33">
        <f>H65+K65-O65</f>
        <v/>
      </c>
      <c r="S65" s="33" t="n"/>
      <c r="T65" s="33" t="n"/>
      <c r="U65" s="33" t="n"/>
      <c r="V65" s="33" t="n"/>
      <c r="W65" s="33" t="n"/>
      <c r="X65" s="33" t="n"/>
      <c r="Y65" s="33" t="n"/>
      <c r="Z65" s="33" t="n"/>
      <c r="AA65" s="4">
        <f>R65-G65</f>
        <v/>
      </c>
      <c r="AB65" s="4">
        <f>G65-R65</f>
        <v/>
      </c>
      <c r="AC65" s="33" t="n"/>
    </row>
    <row r="66" ht="18.75" customHeight="1">
      <c r="A66" s="35">
        <f>SUBTOTAL(103,$B$24:B66)</f>
        <v/>
      </c>
      <c r="B66" s="36" t="inlineStr">
        <is>
          <t xml:space="preserve">Тарілки пиріжкові алюмінієві </t>
        </is>
      </c>
      <c r="C66" s="37" t="inlineStr">
        <is>
          <t>шт.</t>
        </is>
      </c>
      <c r="D66" s="33" t="n"/>
      <c r="E66" s="33" t="n"/>
      <c r="F66" s="33">
        <f>E66*0.05</f>
        <v/>
      </c>
      <c r="G66" s="33">
        <f>E66+F66</f>
        <v/>
      </c>
      <c r="H66" s="33" t="n"/>
      <c r="I66" s="33" t="n"/>
      <c r="J66" s="33" t="n"/>
      <c r="K66" s="33">
        <f>L66+M66+N66</f>
        <v/>
      </c>
      <c r="L66" s="33" t="n"/>
      <c r="M66" s="33" t="n"/>
      <c r="N66" s="33" t="n"/>
      <c r="O66" s="33">
        <f>P66+Q66</f>
        <v/>
      </c>
      <c r="P66" s="33" t="n"/>
      <c r="Q66" s="33" t="n"/>
      <c r="R66" s="33">
        <f>H66+K66-O66</f>
        <v/>
      </c>
      <c r="S66" s="33" t="n"/>
      <c r="T66" s="33" t="n"/>
      <c r="U66" s="33" t="n"/>
      <c r="V66" s="33" t="n"/>
      <c r="W66" s="33" t="n"/>
      <c r="X66" s="33" t="n"/>
      <c r="Y66" s="33" t="n"/>
      <c r="Z66" s="33" t="n"/>
      <c r="AA66" s="4">
        <f>R66-G66</f>
        <v/>
      </c>
      <c r="AB66" s="4">
        <f>G66-R66</f>
        <v/>
      </c>
      <c r="AC66" s="33" t="n"/>
    </row>
    <row r="67" ht="18.75" customHeight="1">
      <c r="A67" s="35">
        <f>SUBTOTAL(103,$B$24:B67)</f>
        <v/>
      </c>
      <c r="B67" s="36" t="inlineStr">
        <is>
          <t xml:space="preserve">Тарілки пиріжкові пластмасові </t>
        </is>
      </c>
      <c r="C67" s="37" t="inlineStr">
        <is>
          <t>шт.</t>
        </is>
      </c>
      <c r="D67" s="33" t="n"/>
      <c r="E67" s="33" t="n"/>
      <c r="F67" s="33">
        <f>E67*0.05</f>
        <v/>
      </c>
      <c r="G67" s="33">
        <f>E67+F67</f>
        <v/>
      </c>
      <c r="H67" s="33" t="n"/>
      <c r="I67" s="33" t="n"/>
      <c r="J67" s="33" t="n"/>
      <c r="K67" s="33">
        <f>L67+M67+N67</f>
        <v/>
      </c>
      <c r="L67" s="33" t="n"/>
      <c r="M67" s="33" t="n"/>
      <c r="N67" s="33" t="n"/>
      <c r="O67" s="33">
        <f>P67+Q67</f>
        <v/>
      </c>
      <c r="P67" s="33" t="n"/>
      <c r="Q67" s="33" t="n"/>
      <c r="R67" s="33">
        <f>H67+K67-O67</f>
        <v/>
      </c>
      <c r="S67" s="33" t="n"/>
      <c r="T67" s="33" t="n"/>
      <c r="U67" s="33" t="n"/>
      <c r="V67" s="33" t="n"/>
      <c r="W67" s="33" t="n"/>
      <c r="X67" s="33" t="n"/>
      <c r="Y67" s="33" t="n"/>
      <c r="Z67" s="33" t="n"/>
      <c r="AA67" s="4">
        <f>R67-G67</f>
        <v/>
      </c>
      <c r="AB67" s="4">
        <f>G67-R67</f>
        <v/>
      </c>
      <c r="AC67" s="33" t="n"/>
    </row>
    <row r="68" ht="18.75" customHeight="1">
      <c r="A68" s="35">
        <f>SUBTOTAL(103,$B$24:B68)</f>
        <v/>
      </c>
      <c r="B68" s="36" t="inlineStr">
        <is>
          <t xml:space="preserve">Тарілки пирішкові мелолітові </t>
        </is>
      </c>
      <c r="C68" s="37" t="inlineStr">
        <is>
          <t>шт.</t>
        </is>
      </c>
      <c r="D68" s="33" t="n"/>
      <c r="E68" s="33" t="n"/>
      <c r="F68" s="33">
        <f>E68*0.05</f>
        <v/>
      </c>
      <c r="G68" s="33">
        <f>E68+F68</f>
        <v/>
      </c>
      <c r="H68" s="33" t="n"/>
      <c r="I68" s="33" t="n"/>
      <c r="J68" s="33" t="n"/>
      <c r="K68" s="33">
        <f>L68+M68+N68</f>
        <v/>
      </c>
      <c r="L68" s="33" t="n"/>
      <c r="M68" s="33" t="n"/>
      <c r="N68" s="33" t="n"/>
      <c r="O68" s="33">
        <f>P68+Q68</f>
        <v/>
      </c>
      <c r="P68" s="33" t="n"/>
      <c r="Q68" s="33" t="n"/>
      <c r="R68" s="33">
        <f>H68+K68-O68</f>
        <v/>
      </c>
      <c r="S68" s="33" t="n"/>
      <c r="T68" s="33" t="n"/>
      <c r="U68" s="33" t="n"/>
      <c r="V68" s="33" t="n"/>
      <c r="W68" s="33" t="n"/>
      <c r="X68" s="33" t="n"/>
      <c r="Y68" s="33" t="n"/>
      <c r="Z68" s="33" t="n"/>
      <c r="AA68" s="4">
        <f>R68-G68</f>
        <v/>
      </c>
      <c r="AB68" s="4">
        <f>G68-R68</f>
        <v/>
      </c>
      <c r="AC68" s="33" t="n"/>
    </row>
    <row r="69" ht="18.75" customHeight="1">
      <c r="A69" s="35">
        <f>SUBTOTAL(103,$B$24:B69)</f>
        <v/>
      </c>
      <c r="B69" s="36" t="inlineStr">
        <is>
          <t>Тарілки пиріжкові скляні (термостійкі)</t>
        </is>
      </c>
      <c r="C69" s="37" t="inlineStr">
        <is>
          <t>шт.</t>
        </is>
      </c>
      <c r="D69" s="33" t="n"/>
      <c r="E69" s="33" t="n"/>
      <c r="F69" s="33">
        <f>E69*0.05</f>
        <v/>
      </c>
      <c r="G69" s="33">
        <f>E69+F69</f>
        <v/>
      </c>
      <c r="H69" s="33" t="n"/>
      <c r="I69" s="33" t="n"/>
      <c r="J69" s="33" t="n"/>
      <c r="K69" s="33">
        <f>L69+M69+N69</f>
        <v/>
      </c>
      <c r="L69" s="33" t="n"/>
      <c r="M69" s="33" t="n"/>
      <c r="N69" s="33" t="n"/>
      <c r="O69" s="33">
        <f>P69+Q69</f>
        <v/>
      </c>
      <c r="P69" s="33" t="n"/>
      <c r="Q69" s="33" t="n"/>
      <c r="R69" s="33">
        <f>H69+K69-O69</f>
        <v/>
      </c>
      <c r="S69" s="33" t="n"/>
      <c r="T69" s="33" t="n"/>
      <c r="U69" s="33" t="n"/>
      <c r="V69" s="33" t="n"/>
      <c r="W69" s="33" t="n"/>
      <c r="X69" s="33" t="n"/>
      <c r="Y69" s="33" t="n"/>
      <c r="Z69" s="33" t="n"/>
      <c r="AA69" s="4">
        <f>R69-G69</f>
        <v/>
      </c>
      <c r="AB69" s="4">
        <f>G69-R69</f>
        <v/>
      </c>
      <c r="AC69" s="33" t="n"/>
    </row>
    <row r="70" ht="18.75" customHeight="1">
      <c r="A70" s="35">
        <f>SUBTOTAL(103,$B$24:B70)</f>
        <v/>
      </c>
      <c r="B70" s="36" t="inlineStr">
        <is>
          <t>Тарілка декоративна</t>
        </is>
      </c>
      <c r="C70" s="37" t="inlineStr">
        <is>
          <t>шт.</t>
        </is>
      </c>
      <c r="D70" s="33" t="n"/>
      <c r="E70" s="33" t="n"/>
      <c r="F70" s="33">
        <f>E70*0.05</f>
        <v/>
      </c>
      <c r="G70" s="33">
        <f>E70+F70</f>
        <v/>
      </c>
      <c r="H70" s="33" t="n"/>
      <c r="I70" s="33" t="n"/>
      <c r="J70" s="33" t="n"/>
      <c r="K70" s="33">
        <f>L70+M70+N70</f>
        <v/>
      </c>
      <c r="L70" s="33" t="n"/>
      <c r="M70" s="33" t="n"/>
      <c r="N70" s="33" t="n"/>
      <c r="O70" s="33">
        <f>P70+Q70</f>
        <v/>
      </c>
      <c r="P70" s="33" t="n"/>
      <c r="Q70" s="33" t="n"/>
      <c r="R70" s="33">
        <f>H70+K70-O70</f>
        <v/>
      </c>
      <c r="S70" s="33" t="n"/>
      <c r="T70" s="33" t="n"/>
      <c r="U70" s="33" t="n"/>
      <c r="V70" s="33" t="n"/>
      <c r="W70" s="33" t="n"/>
      <c r="X70" s="33" t="n"/>
      <c r="Y70" s="33" t="n"/>
      <c r="Z70" s="33" t="n"/>
      <c r="AA70" s="4">
        <f>R70-G70</f>
        <v/>
      </c>
      <c r="AB70" s="4">
        <f>G70-R70</f>
        <v/>
      </c>
      <c r="AC70" s="33" t="n"/>
    </row>
    <row r="71" ht="18.75" customHeight="1">
      <c r="A71" s="35">
        <f>SUBTOTAL(103,$B$24:B71)</f>
        <v/>
      </c>
      <c r="B71" s="36" t="inlineStr">
        <is>
          <t>Стакан пластмасовий</t>
        </is>
      </c>
      <c r="C71" s="37" t="inlineStr">
        <is>
          <t>шт.</t>
        </is>
      </c>
      <c r="D71" s="33" t="n"/>
      <c r="E71" s="33" t="n"/>
      <c r="F71" s="33">
        <f>E71*0.05</f>
        <v/>
      </c>
      <c r="G71" s="33">
        <f>E71+F71</f>
        <v/>
      </c>
      <c r="H71" s="33" t="n"/>
      <c r="I71" s="33" t="n"/>
      <c r="J71" s="33" t="n"/>
      <c r="K71" s="33">
        <f>L71+M71+N71</f>
        <v/>
      </c>
      <c r="L71" s="33" t="n"/>
      <c r="M71" s="33" t="n"/>
      <c r="N71" s="33" t="n"/>
      <c r="O71" s="33">
        <f>P71+Q71</f>
        <v/>
      </c>
      <c r="P71" s="33" t="n"/>
      <c r="Q71" s="33" t="n"/>
      <c r="R71" s="33">
        <f>H71+K71-O71</f>
        <v/>
      </c>
      <c r="S71" s="33" t="n"/>
      <c r="T71" s="33" t="n"/>
      <c r="U71" s="33" t="n"/>
      <c r="V71" s="33" t="n"/>
      <c r="W71" s="33" t="n"/>
      <c r="X71" s="33" t="n"/>
      <c r="Y71" s="33" t="n"/>
      <c r="Z71" s="33" t="n"/>
      <c r="AA71" s="4">
        <f>R71-G71</f>
        <v/>
      </c>
      <c r="AB71" s="4">
        <f>G71-R71</f>
        <v/>
      </c>
      <c r="AC71" s="33" t="n"/>
    </row>
    <row r="72" ht="18.75" customHeight="1">
      <c r="A72" s="35">
        <f>SUBTOTAL(103,$B$24:B72)</f>
        <v/>
      </c>
      <c r="B72" s="36" t="inlineStr">
        <is>
          <t xml:space="preserve">Салатник фарфоровий </t>
        </is>
      </c>
      <c r="C72" s="37" t="inlineStr">
        <is>
          <t>шт.</t>
        </is>
      </c>
      <c r="D72" s="33" t="n"/>
      <c r="E72" s="33" t="n"/>
      <c r="F72" s="33">
        <f>E72*0.05</f>
        <v/>
      </c>
      <c r="G72" s="33">
        <f>E72+F72</f>
        <v/>
      </c>
      <c r="H72" s="33" t="n"/>
      <c r="I72" s="33" t="n"/>
      <c r="J72" s="33" t="n"/>
      <c r="K72" s="33">
        <f>L72+M72+N72</f>
        <v/>
      </c>
      <c r="L72" s="33" t="n"/>
      <c r="M72" s="33" t="n"/>
      <c r="N72" s="33" t="n"/>
      <c r="O72" s="33">
        <f>P72+Q72</f>
        <v/>
      </c>
      <c r="P72" s="33" t="n"/>
      <c r="Q72" s="33" t="n"/>
      <c r="R72" s="33">
        <f>H72+K72-O72</f>
        <v/>
      </c>
      <c r="S72" s="33" t="n"/>
      <c r="T72" s="33" t="n"/>
      <c r="U72" s="33" t="n"/>
      <c r="V72" s="33" t="n"/>
      <c r="W72" s="33" t="n"/>
      <c r="X72" s="33" t="n"/>
      <c r="Y72" s="33" t="n"/>
      <c r="Z72" s="33" t="n"/>
      <c r="AA72" s="4">
        <f>R72-G72</f>
        <v/>
      </c>
      <c r="AB72" s="4">
        <f>G72-R72</f>
        <v/>
      </c>
      <c r="AC72" s="33" t="n"/>
    </row>
    <row r="73" ht="18.75" customHeight="1">
      <c r="A73" s="35">
        <f>SUBTOTAL(103,$B$24:B73)</f>
        <v/>
      </c>
      <c r="B73" s="36" t="inlineStr">
        <is>
          <t>Салатник емальваний</t>
        </is>
      </c>
      <c r="C73" s="37" t="inlineStr">
        <is>
          <t>шт.</t>
        </is>
      </c>
      <c r="D73" s="33" t="n"/>
      <c r="E73" s="33" t="n"/>
      <c r="F73" s="33">
        <f>E73*0.05</f>
        <v/>
      </c>
      <c r="G73" s="33">
        <f>E73+F73</f>
        <v/>
      </c>
      <c r="H73" s="33" t="n"/>
      <c r="I73" s="33" t="n"/>
      <c r="J73" s="33" t="n"/>
      <c r="K73" s="33">
        <f>L73+M73+N73</f>
        <v/>
      </c>
      <c r="L73" s="33" t="n"/>
      <c r="M73" s="33" t="n"/>
      <c r="N73" s="33" t="n"/>
      <c r="O73" s="33">
        <f>P73+Q73</f>
        <v/>
      </c>
      <c r="P73" s="33" t="n"/>
      <c r="Q73" s="33" t="n"/>
      <c r="R73" s="33">
        <f>H73+K73-O73</f>
        <v/>
      </c>
      <c r="S73" s="33" t="n"/>
      <c r="T73" s="33" t="n"/>
      <c r="U73" s="33" t="n"/>
      <c r="V73" s="33" t="n"/>
      <c r="W73" s="33" t="n"/>
      <c r="X73" s="33" t="n"/>
      <c r="Y73" s="33" t="n"/>
      <c r="Z73" s="33" t="n"/>
      <c r="AA73" s="4">
        <f>R73-G73</f>
        <v/>
      </c>
      <c r="AB73" s="4">
        <f>G73-R73</f>
        <v/>
      </c>
      <c r="AC73" s="33" t="n"/>
    </row>
    <row r="74" ht="18.75" customHeight="1">
      <c r="A74" s="35">
        <f>SUBTOTAL(103,$B$24:B74)</f>
        <v/>
      </c>
      <c r="B74" s="36" t="inlineStr">
        <is>
          <t>Салатники скляні (термостійкі)</t>
        </is>
      </c>
      <c r="C74" s="37" t="inlineStr">
        <is>
          <t>шт.</t>
        </is>
      </c>
      <c r="D74" s="33" t="n"/>
      <c r="E74" s="33" t="n"/>
      <c r="F74" s="33">
        <f>E74*0.05</f>
        <v/>
      </c>
      <c r="G74" s="33">
        <f>E74+F74</f>
        <v/>
      </c>
      <c r="H74" s="33" t="n"/>
      <c r="I74" s="33" t="n"/>
      <c r="J74" s="33" t="n"/>
      <c r="K74" s="33">
        <f>L74+M74+N74</f>
        <v/>
      </c>
      <c r="L74" s="33" t="n"/>
      <c r="M74" s="33" t="n"/>
      <c r="N74" s="33" t="n"/>
      <c r="O74" s="33">
        <f>P74+Q74</f>
        <v/>
      </c>
      <c r="P74" s="33" t="n"/>
      <c r="Q74" s="33" t="n"/>
      <c r="R74" s="33">
        <f>H74+K74-O74</f>
        <v/>
      </c>
      <c r="S74" s="33" t="n"/>
      <c r="T74" s="33" t="n"/>
      <c r="U74" s="33" t="n"/>
      <c r="V74" s="33" t="n"/>
      <c r="W74" s="33" t="n"/>
      <c r="X74" s="33" t="n"/>
      <c r="Y74" s="33" t="n"/>
      <c r="Z74" s="33" t="n"/>
      <c r="AA74" s="4">
        <f>R74-G74</f>
        <v/>
      </c>
      <c r="AB74" s="4">
        <f>G74-R74</f>
        <v/>
      </c>
      <c r="AC74" s="33" t="n"/>
    </row>
    <row r="75" ht="18.75" customHeight="1">
      <c r="A75" s="35">
        <f>SUBTOTAL(103,$B$24:B75)</f>
        <v/>
      </c>
      <c r="B75" s="36" t="inlineStr">
        <is>
          <t>Салатники кришталевий</t>
        </is>
      </c>
      <c r="C75" s="37" t="inlineStr">
        <is>
          <t>шт.</t>
        </is>
      </c>
      <c r="D75" s="33" t="n"/>
      <c r="E75" s="33" t="n"/>
      <c r="F75" s="33">
        <f>E75*0.05</f>
        <v/>
      </c>
      <c r="G75" s="33">
        <f>E75+F75</f>
        <v/>
      </c>
      <c r="H75" s="33" t="n"/>
      <c r="I75" s="33" t="n"/>
      <c r="J75" s="33" t="n"/>
      <c r="K75" s="33">
        <f>L75+M75+N75</f>
        <v/>
      </c>
      <c r="L75" s="33" t="n"/>
      <c r="M75" s="33" t="n"/>
      <c r="N75" s="33" t="n"/>
      <c r="O75" s="33">
        <f>P75+Q75</f>
        <v/>
      </c>
      <c r="P75" s="33" t="n"/>
      <c r="Q75" s="33" t="n"/>
      <c r="R75" s="33">
        <f>H75+K75-O75</f>
        <v/>
      </c>
      <c r="S75" s="33" t="n"/>
      <c r="T75" s="33" t="n"/>
      <c r="U75" s="33" t="n"/>
      <c r="V75" s="33" t="n"/>
      <c r="W75" s="33" t="n"/>
      <c r="X75" s="33" t="n"/>
      <c r="Y75" s="33" t="n"/>
      <c r="Z75" s="33" t="n"/>
      <c r="AA75" s="4">
        <f>R75-G75</f>
        <v/>
      </c>
      <c r="AB75" s="4">
        <f>G75-R75</f>
        <v/>
      </c>
      <c r="AC75" s="33" t="n"/>
    </row>
    <row r="76" ht="18.75" customHeight="1">
      <c r="A76" s="35">
        <f>SUBTOTAL(103,$B$24:B76)</f>
        <v/>
      </c>
      <c r="B76" s="36" t="inlineStr">
        <is>
          <t>Оселедниця фарфорова</t>
        </is>
      </c>
      <c r="C76" s="37" t="inlineStr">
        <is>
          <t>шт.</t>
        </is>
      </c>
      <c r="D76" s="33" t="n"/>
      <c r="E76" s="33" t="n"/>
      <c r="F76" s="33">
        <f>E76*0.05</f>
        <v/>
      </c>
      <c r="G76" s="33">
        <f>E76+F76</f>
        <v/>
      </c>
      <c r="H76" s="33" t="n"/>
      <c r="I76" s="33" t="n"/>
      <c r="J76" s="33" t="n"/>
      <c r="K76" s="33">
        <f>L76+M76+N76</f>
        <v/>
      </c>
      <c r="L76" s="33" t="n"/>
      <c r="M76" s="33" t="n"/>
      <c r="N76" s="33" t="n"/>
      <c r="O76" s="33">
        <f>P76+Q76</f>
        <v/>
      </c>
      <c r="P76" s="33" t="n"/>
      <c r="Q76" s="33" t="n"/>
      <c r="R76" s="33">
        <f>H76+K76-O76</f>
        <v/>
      </c>
      <c r="S76" s="33" t="n"/>
      <c r="T76" s="33" t="n"/>
      <c r="U76" s="33" t="n"/>
      <c r="V76" s="33" t="n"/>
      <c r="W76" s="33" t="n"/>
      <c r="X76" s="33" t="n"/>
      <c r="Y76" s="33" t="n"/>
      <c r="Z76" s="33" t="n"/>
      <c r="AA76" s="4">
        <f>R76-G76</f>
        <v/>
      </c>
      <c r="AB76" s="4">
        <f>G76-R76</f>
        <v/>
      </c>
      <c r="AC76" s="33" t="n"/>
    </row>
    <row r="77" ht="18.75" customHeight="1">
      <c r="A77" s="35">
        <f>SUBTOTAL(103,$B$24:B77)</f>
        <v/>
      </c>
      <c r="B77" s="36" t="inlineStr">
        <is>
          <t xml:space="preserve">Оселедниця напівфарфорова </t>
        </is>
      </c>
      <c r="C77" s="37" t="inlineStr">
        <is>
          <t>шт.</t>
        </is>
      </c>
      <c r="D77" s="33" t="n"/>
      <c r="E77" s="33" t="n"/>
      <c r="F77" s="33">
        <f>E77*0.05</f>
        <v/>
      </c>
      <c r="G77" s="33">
        <f>E77+F77</f>
        <v/>
      </c>
      <c r="H77" s="33" t="n"/>
      <c r="I77" s="33" t="n"/>
      <c r="J77" s="33" t="n"/>
      <c r="K77" s="33">
        <f>L77+M77+N77</f>
        <v/>
      </c>
      <c r="L77" s="33" t="n"/>
      <c r="M77" s="33" t="n"/>
      <c r="N77" s="33" t="n"/>
      <c r="O77" s="33">
        <f>P77+Q77</f>
        <v/>
      </c>
      <c r="P77" s="33" t="n"/>
      <c r="Q77" s="33" t="n"/>
      <c r="R77" s="33">
        <f>H77+K77-O77</f>
        <v/>
      </c>
      <c r="S77" s="33" t="n"/>
      <c r="T77" s="33" t="n"/>
      <c r="U77" s="33" t="n"/>
      <c r="V77" s="33" t="n"/>
      <c r="W77" s="33" t="n"/>
      <c r="X77" s="33" t="n"/>
      <c r="Y77" s="33" t="n"/>
      <c r="Z77" s="33" t="n"/>
      <c r="AA77" s="4">
        <f>R77-G77</f>
        <v/>
      </c>
      <c r="AB77" s="4">
        <f>G77-R77</f>
        <v/>
      </c>
      <c r="AC77" s="33" t="n"/>
    </row>
    <row r="78" ht="18.75" customHeight="1">
      <c r="A78" s="35">
        <f>SUBTOTAL(103,$B$24:B78)</f>
        <v/>
      </c>
      <c r="B78" s="36" t="inlineStr">
        <is>
          <t>Оселедниця скляна (термосійка)</t>
        </is>
      </c>
      <c r="C78" s="37" t="inlineStr">
        <is>
          <t>шт.</t>
        </is>
      </c>
      <c r="D78" s="33" t="n"/>
      <c r="E78" s="33" t="n"/>
      <c r="F78" s="33">
        <f>E78*0.05</f>
        <v/>
      </c>
      <c r="G78" s="33">
        <f>E78+F78</f>
        <v/>
      </c>
      <c r="H78" s="33" t="n"/>
      <c r="I78" s="33" t="n"/>
      <c r="J78" s="33" t="n"/>
      <c r="K78" s="33">
        <f>L78+M78+N78</f>
        <v/>
      </c>
      <c r="L78" s="33" t="n"/>
      <c r="M78" s="33" t="n"/>
      <c r="N78" s="33" t="n"/>
      <c r="O78" s="33">
        <f>P78+Q78</f>
        <v/>
      </c>
      <c r="P78" s="33" t="n"/>
      <c r="Q78" s="33" t="n"/>
      <c r="R78" s="33">
        <f>H78+K78-O78</f>
        <v/>
      </c>
      <c r="S78" s="33" t="n"/>
      <c r="T78" s="33" t="n"/>
      <c r="U78" s="33" t="n"/>
      <c r="V78" s="33" t="n"/>
      <c r="W78" s="33" t="n"/>
      <c r="X78" s="33" t="n"/>
      <c r="Y78" s="33" t="n"/>
      <c r="Z78" s="33" t="n"/>
      <c r="AA78" s="4">
        <f>R78-G78</f>
        <v/>
      </c>
      <c r="AB78" s="4">
        <f>G78-R78</f>
        <v/>
      </c>
      <c r="AC78" s="33" t="n"/>
    </row>
    <row r="79" ht="18.75" customHeight="1">
      <c r="A79" s="35">
        <f>SUBTOTAL(103,$B$24:B79)</f>
        <v/>
      </c>
      <c r="B79" s="36" t="inlineStr">
        <is>
          <t>Оселедниця кришталева</t>
        </is>
      </c>
      <c r="C79" s="37" t="inlineStr">
        <is>
          <t>шт.</t>
        </is>
      </c>
      <c r="D79" s="33" t="n"/>
      <c r="E79" s="33" t="n"/>
      <c r="F79" s="33">
        <f>E79*0.05</f>
        <v/>
      </c>
      <c r="G79" s="33">
        <f>E79+F79</f>
        <v/>
      </c>
      <c r="H79" s="33" t="n"/>
      <c r="I79" s="33" t="n"/>
      <c r="J79" s="33" t="n"/>
      <c r="K79" s="33">
        <f>L79+M79+N79</f>
        <v/>
      </c>
      <c r="L79" s="33" t="n"/>
      <c r="M79" s="33" t="n"/>
      <c r="N79" s="33" t="n"/>
      <c r="O79" s="33">
        <f>P79+Q79</f>
        <v/>
      </c>
      <c r="P79" s="33" t="n"/>
      <c r="Q79" s="33" t="n"/>
      <c r="R79" s="33">
        <f>H79+K79-O79</f>
        <v/>
      </c>
      <c r="S79" s="33" t="n"/>
      <c r="T79" s="33" t="n"/>
      <c r="U79" s="33" t="n"/>
      <c r="V79" s="33" t="n"/>
      <c r="W79" s="33" t="n"/>
      <c r="X79" s="33" t="n"/>
      <c r="Y79" s="33" t="n"/>
      <c r="Z79" s="33" t="n"/>
      <c r="AA79" s="4">
        <f>R79-G79</f>
        <v/>
      </c>
      <c r="AB79" s="4">
        <f>G79-R79</f>
        <v/>
      </c>
      <c r="AC79" s="33" t="n"/>
    </row>
    <row r="80" ht="18.75" customHeight="1">
      <c r="A80" s="35">
        <f>SUBTOTAL(103,$B$24:B80)</f>
        <v/>
      </c>
      <c r="B80" s="36" t="inlineStr">
        <is>
          <t>Маслянка фарфорова</t>
        </is>
      </c>
      <c r="C80" s="37" t="inlineStr">
        <is>
          <t>шт.</t>
        </is>
      </c>
      <c r="D80" s="33" t="n"/>
      <c r="E80" s="33" t="n"/>
      <c r="F80" s="33">
        <f>E80*0.05</f>
        <v/>
      </c>
      <c r="G80" s="33">
        <f>E80+F80</f>
        <v/>
      </c>
      <c r="H80" s="33" t="n"/>
      <c r="I80" s="33" t="n"/>
      <c r="J80" s="33" t="n"/>
      <c r="K80" s="33">
        <f>L80+M80+N80</f>
        <v/>
      </c>
      <c r="L80" s="33" t="n"/>
      <c r="M80" s="33" t="n"/>
      <c r="N80" s="33" t="n"/>
      <c r="O80" s="33">
        <f>P80+Q80</f>
        <v/>
      </c>
      <c r="P80" s="33" t="n"/>
      <c r="Q80" s="33" t="n"/>
      <c r="R80" s="33">
        <f>H80+K80-O80</f>
        <v/>
      </c>
      <c r="S80" s="33" t="n"/>
      <c r="T80" s="33" t="n"/>
      <c r="U80" s="33" t="n"/>
      <c r="V80" s="33" t="n"/>
      <c r="W80" s="33" t="n"/>
      <c r="X80" s="33" t="n"/>
      <c r="Y80" s="33" t="n"/>
      <c r="Z80" s="33" t="n"/>
      <c r="AA80" s="4">
        <f>R80-G80</f>
        <v/>
      </c>
      <c r="AB80" s="4">
        <f>G80-R80</f>
        <v/>
      </c>
      <c r="AC80" s="33" t="n"/>
    </row>
    <row r="81" ht="18.75" customHeight="1">
      <c r="A81" s="35">
        <f>SUBTOTAL(103,$B$24:B81)</f>
        <v/>
      </c>
      <c r="B81" s="36" t="inlineStr">
        <is>
          <t>Маслянка напівфарфорова</t>
        </is>
      </c>
      <c r="C81" s="37" t="inlineStr">
        <is>
          <t>шт.</t>
        </is>
      </c>
      <c r="D81" s="33" t="n"/>
      <c r="E81" s="33" t="n"/>
      <c r="F81" s="33">
        <f>E81*0.05</f>
        <v/>
      </c>
      <c r="G81" s="33">
        <f>E81+F81</f>
        <v/>
      </c>
      <c r="H81" s="33" t="n"/>
      <c r="I81" s="33" t="n"/>
      <c r="J81" s="33" t="n"/>
      <c r="K81" s="33">
        <f>L81+M81+N81</f>
        <v/>
      </c>
      <c r="L81" s="33" t="n"/>
      <c r="M81" s="33" t="n"/>
      <c r="N81" s="33" t="n"/>
      <c r="O81" s="33">
        <f>P81+Q81</f>
        <v/>
      </c>
      <c r="P81" s="33" t="n"/>
      <c r="Q81" s="33" t="n"/>
      <c r="R81" s="33">
        <f>H81+K81-O81</f>
        <v/>
      </c>
      <c r="S81" s="33" t="n"/>
      <c r="T81" s="33" t="n"/>
      <c r="U81" s="33" t="n"/>
      <c r="V81" s="33" t="n"/>
      <c r="W81" s="33" t="n"/>
      <c r="X81" s="33" t="n"/>
      <c r="Y81" s="33" t="n"/>
      <c r="Z81" s="33" t="n"/>
      <c r="AA81" s="4">
        <f>R81-G81</f>
        <v/>
      </c>
      <c r="AB81" s="4">
        <f>G81-R81</f>
        <v/>
      </c>
      <c r="AC81" s="33" t="n"/>
    </row>
    <row r="82" ht="18.75" customHeight="1">
      <c r="A82" s="35">
        <f>SUBTOTAL(103,$B$24:B82)</f>
        <v/>
      </c>
      <c r="B82" s="36" t="inlineStr">
        <is>
          <t>Маслянка скляна (термостійка)</t>
        </is>
      </c>
      <c r="C82" s="37" t="inlineStr">
        <is>
          <t>шт.</t>
        </is>
      </c>
      <c r="D82" s="33" t="n"/>
      <c r="E82" s="33" t="n"/>
      <c r="F82" s="33">
        <f>E82*0.05</f>
        <v/>
      </c>
      <c r="G82" s="33">
        <f>E82+F82</f>
        <v/>
      </c>
      <c r="H82" s="33" t="n"/>
      <c r="I82" s="33" t="n"/>
      <c r="J82" s="33" t="n"/>
      <c r="K82" s="33">
        <f>L82+M82+N82</f>
        <v/>
      </c>
      <c r="L82" s="33" t="n"/>
      <c r="M82" s="33" t="n"/>
      <c r="N82" s="33" t="n"/>
      <c r="O82" s="33">
        <f>P82+Q82</f>
        <v/>
      </c>
      <c r="P82" s="33" t="n"/>
      <c r="Q82" s="33" t="n"/>
      <c r="R82" s="33">
        <f>H82+K82-O82</f>
        <v/>
      </c>
      <c r="S82" s="33" t="n"/>
      <c r="T82" s="33" t="n"/>
      <c r="U82" s="33" t="n"/>
      <c r="V82" s="33" t="n"/>
      <c r="W82" s="33" t="n"/>
      <c r="X82" s="33" t="n"/>
      <c r="Y82" s="33" t="n"/>
      <c r="Z82" s="33" t="n"/>
      <c r="AA82" s="4">
        <f>R82-G82</f>
        <v/>
      </c>
      <c r="AB82" s="4">
        <f>G82-R82</f>
        <v/>
      </c>
      <c r="AC82" s="33" t="n"/>
    </row>
    <row r="83" ht="18.75" customHeight="1">
      <c r="A83" s="35">
        <f>SUBTOTAL(103,$B$24:B83)</f>
        <v/>
      </c>
      <c r="B83" s="36" t="inlineStr">
        <is>
          <t xml:space="preserve">Маслянка кришталева </t>
        </is>
      </c>
      <c r="C83" s="37" t="inlineStr">
        <is>
          <t>шт.</t>
        </is>
      </c>
      <c r="D83" s="33" t="n"/>
      <c r="E83" s="33" t="n"/>
      <c r="F83" s="33">
        <f>E83*0.05</f>
        <v/>
      </c>
      <c r="G83" s="33">
        <f>E83+F83</f>
        <v/>
      </c>
      <c r="H83" s="33" t="n"/>
      <c r="I83" s="33" t="n"/>
      <c r="J83" s="33" t="n"/>
      <c r="K83" s="33">
        <f>L83+M83+N83</f>
        <v/>
      </c>
      <c r="L83" s="33" t="n"/>
      <c r="M83" s="33" t="n"/>
      <c r="N83" s="33" t="n"/>
      <c r="O83" s="33">
        <f>P83+Q83</f>
        <v/>
      </c>
      <c r="P83" s="33" t="n"/>
      <c r="Q83" s="33" t="n"/>
      <c r="R83" s="33">
        <f>H83+K83-O83</f>
        <v/>
      </c>
      <c r="S83" s="33" t="n"/>
      <c r="T83" s="33" t="n"/>
      <c r="U83" s="33" t="n"/>
      <c r="V83" s="33" t="n"/>
      <c r="W83" s="33" t="n"/>
      <c r="X83" s="33" t="n"/>
      <c r="Y83" s="33" t="n"/>
      <c r="Z83" s="33" t="n"/>
      <c r="AA83" s="4">
        <f>R83-G83</f>
        <v/>
      </c>
      <c r="AB83" s="4">
        <f>G83-R83</f>
        <v/>
      </c>
      <c r="AC83" s="33" t="n"/>
    </row>
    <row r="84" ht="18.75" customHeight="1">
      <c r="A84" s="35">
        <f>SUBTOTAL(103,$B$24:B84)</f>
        <v/>
      </c>
      <c r="B84" s="36" t="inlineStr">
        <is>
          <t>Маслянка пласмасова</t>
        </is>
      </c>
      <c r="C84" s="37" t="inlineStr">
        <is>
          <t>шт.</t>
        </is>
      </c>
      <c r="D84" s="33" t="n"/>
      <c r="E84" s="33" t="n"/>
      <c r="F84" s="33">
        <f>E84*0.05</f>
        <v/>
      </c>
      <c r="G84" s="33">
        <f>E84+F84</f>
        <v/>
      </c>
      <c r="H84" s="33" t="n"/>
      <c r="I84" s="33" t="n"/>
      <c r="J84" s="33" t="n"/>
      <c r="K84" s="33">
        <f>L84+M84+N84</f>
        <v/>
      </c>
      <c r="L84" s="33" t="n"/>
      <c r="M84" s="33" t="n"/>
      <c r="N84" s="33" t="n"/>
      <c r="O84" s="33">
        <f>P84+Q84</f>
        <v/>
      </c>
      <c r="P84" s="33" t="n"/>
      <c r="Q84" s="33" t="n"/>
      <c r="R84" s="33">
        <f>H84+K84-O84</f>
        <v/>
      </c>
      <c r="S84" s="33" t="n"/>
      <c r="T84" s="33" t="n"/>
      <c r="U84" s="33" t="n"/>
      <c r="V84" s="33" t="n"/>
      <c r="W84" s="33" t="n"/>
      <c r="X84" s="33" t="n"/>
      <c r="Y84" s="33" t="n"/>
      <c r="Z84" s="33" t="n"/>
      <c r="AA84" s="4">
        <f>R84-G84</f>
        <v/>
      </c>
      <c r="AB84" s="4">
        <f>G84-R84</f>
        <v/>
      </c>
      <c r="AC84" s="33" t="n"/>
    </row>
    <row r="85" ht="18.75" customHeight="1">
      <c r="A85" s="35">
        <f>SUBTOTAL(103,$B$24:B85)</f>
        <v/>
      </c>
      <c r="B85" s="36" t="inlineStr">
        <is>
          <t>Маслянка з н/ст</t>
        </is>
      </c>
      <c r="C85" s="37" t="inlineStr">
        <is>
          <t>шт.</t>
        </is>
      </c>
      <c r="D85" s="33" t="n"/>
      <c r="E85" s="33" t="n"/>
      <c r="F85" s="33">
        <f>E85*0.05</f>
        <v/>
      </c>
      <c r="G85" s="33">
        <f>E85+F85</f>
        <v/>
      </c>
      <c r="H85" s="33" t="n"/>
      <c r="I85" s="33" t="n"/>
      <c r="J85" s="33" t="n"/>
      <c r="K85" s="33">
        <f>L85+M85+N85</f>
        <v/>
      </c>
      <c r="L85" s="33" t="n"/>
      <c r="M85" s="33" t="n"/>
      <c r="N85" s="33" t="n"/>
      <c r="O85" s="33">
        <f>P85+Q85</f>
        <v/>
      </c>
      <c r="P85" s="33" t="n"/>
      <c r="Q85" s="33" t="n"/>
      <c r="R85" s="33">
        <f>H85+K85-O85</f>
        <v/>
      </c>
      <c r="S85" s="33" t="n"/>
      <c r="T85" s="33" t="n"/>
      <c r="U85" s="33" t="n"/>
      <c r="V85" s="33" t="n"/>
      <c r="W85" s="33" t="n"/>
      <c r="X85" s="33" t="n"/>
      <c r="Y85" s="33" t="n"/>
      <c r="Z85" s="33" t="n"/>
      <c r="AA85" s="4">
        <f>R85-G85</f>
        <v/>
      </c>
      <c r="AB85" s="4">
        <f>G85-R85</f>
        <v/>
      </c>
      <c r="AC85" s="33" t="n"/>
    </row>
    <row r="86" ht="18.75" customHeight="1">
      <c r="A86" s="35">
        <f>SUBTOTAL(103,$B$24:B86)</f>
        <v/>
      </c>
      <c r="B86" s="36" t="inlineStr">
        <is>
          <t>Цукорниця скляна (термостійка)</t>
        </is>
      </c>
      <c r="C86" s="37" t="inlineStr">
        <is>
          <t>шт.</t>
        </is>
      </c>
      <c r="D86" s="33" t="n"/>
      <c r="E86" s="33" t="n"/>
      <c r="F86" s="33">
        <f>E86*0.05</f>
        <v/>
      </c>
      <c r="G86" s="33">
        <f>E86+F86</f>
        <v/>
      </c>
      <c r="H86" s="33" t="n"/>
      <c r="I86" s="33" t="n"/>
      <c r="J86" s="33" t="n"/>
      <c r="K86" s="33">
        <f>L86+M86+N86</f>
        <v/>
      </c>
      <c r="L86" s="33" t="n"/>
      <c r="M86" s="33" t="n"/>
      <c r="N86" s="33" t="n"/>
      <c r="O86" s="33">
        <f>P86+Q86</f>
        <v/>
      </c>
      <c r="P86" s="33" t="n"/>
      <c r="Q86" s="33" t="n"/>
      <c r="R86" s="33">
        <f>H86+K86-O86</f>
        <v/>
      </c>
      <c r="S86" s="33" t="n"/>
      <c r="T86" s="33" t="n"/>
      <c r="U86" s="33" t="n"/>
      <c r="V86" s="33" t="n"/>
      <c r="W86" s="33" t="n"/>
      <c r="X86" s="33" t="n"/>
      <c r="Y86" s="33" t="n"/>
      <c r="Z86" s="33" t="n"/>
      <c r="AA86" s="4">
        <f>R86-G86</f>
        <v/>
      </c>
      <c r="AB86" s="4">
        <f>G86-R86</f>
        <v/>
      </c>
      <c r="AC86" s="33" t="n"/>
    </row>
    <row r="87" ht="18.75" customHeight="1">
      <c r="A87" s="35">
        <f>SUBTOTAL(103,$B$24:B87)</f>
        <v/>
      </c>
      <c r="B87" s="36" t="inlineStr">
        <is>
          <t xml:space="preserve">Цукорниця скляна </t>
        </is>
      </c>
      <c r="C87" s="37" t="inlineStr">
        <is>
          <t>шт.</t>
        </is>
      </c>
      <c r="D87" s="33" t="n"/>
      <c r="E87" s="33" t="n"/>
      <c r="F87" s="33">
        <f>E87*0.05</f>
        <v/>
      </c>
      <c r="G87" s="33">
        <f>E87+F87</f>
        <v/>
      </c>
      <c r="H87" s="33" t="n"/>
      <c r="I87" s="33" t="n"/>
      <c r="J87" s="33" t="n"/>
      <c r="K87" s="33">
        <f>L87+M87+N87</f>
        <v/>
      </c>
      <c r="L87" s="33" t="n"/>
      <c r="M87" s="33" t="n"/>
      <c r="N87" s="33" t="n"/>
      <c r="O87" s="33">
        <f>P87+Q87</f>
        <v/>
      </c>
      <c r="P87" s="33" t="n"/>
      <c r="Q87" s="33" t="n"/>
      <c r="R87" s="33">
        <f>H87+K87-O87</f>
        <v/>
      </c>
      <c r="S87" s="33" t="n"/>
      <c r="T87" s="33" t="n"/>
      <c r="U87" s="33" t="n"/>
      <c r="V87" s="33" t="n"/>
      <c r="W87" s="33" t="n"/>
      <c r="X87" s="33" t="n"/>
      <c r="Y87" s="33" t="n"/>
      <c r="Z87" s="33" t="n"/>
      <c r="AA87" s="4">
        <f>R87-G87</f>
        <v/>
      </c>
      <c r="AB87" s="4">
        <f>G87-R87</f>
        <v/>
      </c>
      <c r="AC87" s="33" t="n"/>
    </row>
    <row r="88" ht="18.75" customHeight="1">
      <c r="A88" s="35">
        <f>SUBTOTAL(103,$B$24:B88)</f>
        <v/>
      </c>
      <c r="B88" s="36" t="inlineStr">
        <is>
          <t>Цукорниця пластмасова</t>
        </is>
      </c>
      <c r="C88" s="37" t="inlineStr">
        <is>
          <t>шт.</t>
        </is>
      </c>
      <c r="D88" s="33" t="n"/>
      <c r="E88" s="33" t="n"/>
      <c r="F88" s="33">
        <f>E88*0.05</f>
        <v/>
      </c>
      <c r="G88" s="33">
        <f>E88+F88</f>
        <v/>
      </c>
      <c r="H88" s="33" t="n"/>
      <c r="I88" s="33" t="n"/>
      <c r="J88" s="33" t="n"/>
      <c r="K88" s="33">
        <f>L88+M88+N88</f>
        <v/>
      </c>
      <c r="L88" s="33" t="n"/>
      <c r="M88" s="33" t="n"/>
      <c r="N88" s="33" t="n"/>
      <c r="O88" s="33">
        <f>P88+Q88</f>
        <v/>
      </c>
      <c r="P88" s="33" t="n"/>
      <c r="Q88" s="33" t="n"/>
      <c r="R88" s="33">
        <f>H88+K88-O88</f>
        <v/>
      </c>
      <c r="S88" s="33" t="n"/>
      <c r="T88" s="33" t="n"/>
      <c r="U88" s="33" t="n"/>
      <c r="V88" s="33" t="n"/>
      <c r="W88" s="33" t="n"/>
      <c r="X88" s="33" t="n"/>
      <c r="Y88" s="33" t="n"/>
      <c r="Z88" s="33" t="n"/>
      <c r="AA88" s="4">
        <f>R88-G88</f>
        <v/>
      </c>
      <c r="AB88" s="4">
        <f>G88-R88</f>
        <v/>
      </c>
      <c r="AC88" s="33" t="n"/>
    </row>
    <row r="89" ht="18.75" customHeight="1">
      <c r="A89" s="35">
        <f>SUBTOTAL(103,$B$24:B89)</f>
        <v/>
      </c>
      <c r="B89" s="36" t="inlineStr">
        <is>
          <t>Цукорниця фарфорова</t>
        </is>
      </c>
      <c r="C89" s="37" t="inlineStr">
        <is>
          <t>шт.</t>
        </is>
      </c>
      <c r="D89" s="33" t="n"/>
      <c r="E89" s="33" t="n"/>
      <c r="F89" s="33">
        <f>E89*0.05</f>
        <v/>
      </c>
      <c r="G89" s="33">
        <f>E89+F89</f>
        <v/>
      </c>
      <c r="H89" s="33" t="n"/>
      <c r="I89" s="33" t="n"/>
      <c r="J89" s="33" t="n"/>
      <c r="K89" s="33">
        <f>L89+M89+N89</f>
        <v/>
      </c>
      <c r="L89" s="33" t="n"/>
      <c r="M89" s="33" t="n"/>
      <c r="N89" s="33" t="n"/>
      <c r="O89" s="33">
        <f>P89+Q89</f>
        <v/>
      </c>
      <c r="P89" s="33" t="n"/>
      <c r="Q89" s="33" t="n"/>
      <c r="R89" s="33">
        <f>H89+K89-O89</f>
        <v/>
      </c>
      <c r="S89" s="33" t="n"/>
      <c r="T89" s="33" t="n"/>
      <c r="U89" s="33" t="n"/>
      <c r="V89" s="33" t="n"/>
      <c r="W89" s="33" t="n"/>
      <c r="X89" s="33" t="n"/>
      <c r="Y89" s="33" t="n"/>
      <c r="Z89" s="33" t="n"/>
      <c r="AA89" s="4">
        <f>R89-G89</f>
        <v/>
      </c>
      <c r="AB89" s="4">
        <f>G89-R89</f>
        <v/>
      </c>
      <c r="AC89" s="33" t="n"/>
    </row>
    <row r="90" ht="18.75" customHeight="1">
      <c r="A90" s="35">
        <f>SUBTOTAL(103,$B$24:B90)</f>
        <v/>
      </c>
      <c r="B90" s="36" t="inlineStr">
        <is>
          <t>Цукорниця напівфарфорова</t>
        </is>
      </c>
      <c r="C90" s="37" t="inlineStr">
        <is>
          <t>шт.</t>
        </is>
      </c>
      <c r="D90" s="33" t="n"/>
      <c r="E90" s="33" t="n"/>
      <c r="F90" s="33">
        <f>E90*0.05</f>
        <v/>
      </c>
      <c r="G90" s="33">
        <f>E90+F90</f>
        <v/>
      </c>
      <c r="H90" s="33" t="n"/>
      <c r="I90" s="33" t="n"/>
      <c r="J90" s="33" t="n"/>
      <c r="K90" s="33">
        <f>L90+M90+N90</f>
        <v/>
      </c>
      <c r="L90" s="33" t="n"/>
      <c r="M90" s="33" t="n"/>
      <c r="N90" s="33" t="n"/>
      <c r="O90" s="33">
        <f>P90+Q90</f>
        <v/>
      </c>
      <c r="P90" s="33" t="n"/>
      <c r="Q90" s="33" t="n"/>
      <c r="R90" s="33">
        <f>H90+K90-O90</f>
        <v/>
      </c>
      <c r="S90" s="33" t="n"/>
      <c r="T90" s="33" t="n"/>
      <c r="U90" s="33" t="n"/>
      <c r="V90" s="33" t="n"/>
      <c r="W90" s="33" t="n"/>
      <c r="X90" s="33" t="n"/>
      <c r="Y90" s="33" t="n"/>
      <c r="Z90" s="33" t="n"/>
      <c r="AA90" s="4">
        <f>R90-G90</f>
        <v/>
      </c>
      <c r="AB90" s="4">
        <f>G90-R90</f>
        <v/>
      </c>
      <c r="AC90" s="33" t="n"/>
    </row>
    <row r="91" ht="18.75" customHeight="1">
      <c r="A91" s="35">
        <f>SUBTOTAL(103,$B$24:B91)</f>
        <v/>
      </c>
      <c r="B91" s="36" t="inlineStr">
        <is>
          <t xml:space="preserve">Полоскальниця пластмасова </t>
        </is>
      </c>
      <c r="C91" s="37" t="inlineStr">
        <is>
          <t>шт.</t>
        </is>
      </c>
      <c r="D91" s="33" t="n"/>
      <c r="E91" s="33" t="n"/>
      <c r="F91" s="33">
        <f>E91*0.05</f>
        <v/>
      </c>
      <c r="G91" s="33">
        <f>E91+F91</f>
        <v/>
      </c>
      <c r="H91" s="33" t="n"/>
      <c r="I91" s="33" t="n"/>
      <c r="J91" s="33" t="n"/>
      <c r="K91" s="33">
        <f>L91+M91+N91</f>
        <v/>
      </c>
      <c r="L91" s="33" t="n"/>
      <c r="M91" s="33" t="n"/>
      <c r="N91" s="33" t="n"/>
      <c r="O91" s="33">
        <f>P91+Q91</f>
        <v/>
      </c>
      <c r="P91" s="33" t="n"/>
      <c r="Q91" s="33" t="n"/>
      <c r="R91" s="33">
        <f>H91+K91-O91</f>
        <v/>
      </c>
      <c r="S91" s="33" t="n"/>
      <c r="T91" s="33" t="n"/>
      <c r="U91" s="33" t="n"/>
      <c r="V91" s="33" t="n"/>
      <c r="W91" s="33" t="n"/>
      <c r="X91" s="33" t="n"/>
      <c r="Y91" s="33" t="n"/>
      <c r="Z91" s="33" t="n"/>
      <c r="AA91" s="4">
        <f>R91-G91</f>
        <v/>
      </c>
      <c r="AB91" s="4">
        <f>G91-R91</f>
        <v/>
      </c>
      <c r="AC91" s="33" t="n"/>
    </row>
    <row r="92" ht="18.75" customHeight="1">
      <c r="A92" s="35">
        <f>SUBTOTAL(103,$B$24:B92)</f>
        <v/>
      </c>
      <c r="B92" s="36" t="inlineStr">
        <is>
          <t>Полоскальниця алюмінієва</t>
        </is>
      </c>
      <c r="C92" s="37" t="inlineStr">
        <is>
          <t>шт.</t>
        </is>
      </c>
      <c r="D92" s="33" t="n"/>
      <c r="E92" s="33" t="n"/>
      <c r="F92" s="33">
        <f>E92*0.05</f>
        <v/>
      </c>
      <c r="G92" s="33">
        <f>E92+F92</f>
        <v/>
      </c>
      <c r="H92" s="33" t="n"/>
      <c r="I92" s="33" t="n"/>
      <c r="J92" s="33" t="n"/>
      <c r="K92" s="33">
        <f>L92+M92+N92</f>
        <v/>
      </c>
      <c r="L92" s="33" t="n"/>
      <c r="M92" s="33" t="n"/>
      <c r="N92" s="33" t="n"/>
      <c r="O92" s="33">
        <f>P92+Q92</f>
        <v/>
      </c>
      <c r="P92" s="33" t="n"/>
      <c r="Q92" s="33" t="n"/>
      <c r="R92" s="33">
        <f>H92+K92-O92</f>
        <v/>
      </c>
      <c r="S92" s="33" t="n"/>
      <c r="T92" s="33" t="n"/>
      <c r="U92" s="33" t="n"/>
      <c r="V92" s="33" t="n"/>
      <c r="W92" s="33" t="n"/>
      <c r="X92" s="33" t="n"/>
      <c r="Y92" s="33" t="n"/>
      <c r="Z92" s="33" t="n"/>
      <c r="AA92" s="4">
        <f>R92-G92</f>
        <v/>
      </c>
      <c r="AB92" s="4">
        <f>G92-R92</f>
        <v/>
      </c>
      <c r="AC92" s="33" t="n"/>
    </row>
    <row r="93" ht="18.75" customHeight="1">
      <c r="A93" s="35">
        <f>SUBTOTAL(103,$B$24:B93)</f>
        <v/>
      </c>
      <c r="B93" s="36" t="inlineStr">
        <is>
          <t>Полоскальниця скляна</t>
        </is>
      </c>
      <c r="C93" s="37" t="inlineStr">
        <is>
          <t>шт.</t>
        </is>
      </c>
      <c r="D93" s="33" t="n"/>
      <c r="E93" s="33" t="n"/>
      <c r="F93" s="33">
        <f>E93*0.05</f>
        <v/>
      </c>
      <c r="G93" s="33">
        <f>E93+F93</f>
        <v/>
      </c>
      <c r="H93" s="33" t="n"/>
      <c r="I93" s="33" t="n"/>
      <c r="J93" s="33" t="n"/>
      <c r="K93" s="33">
        <f>L93+M93+N93</f>
        <v/>
      </c>
      <c r="L93" s="33" t="n"/>
      <c r="M93" s="33" t="n"/>
      <c r="N93" s="33" t="n"/>
      <c r="O93" s="33">
        <f>P93+Q93</f>
        <v/>
      </c>
      <c r="P93" s="33" t="n"/>
      <c r="Q93" s="33" t="n"/>
      <c r="R93" s="33">
        <f>H93+K93-O93</f>
        <v/>
      </c>
      <c r="S93" s="33" t="n"/>
      <c r="T93" s="33" t="n"/>
      <c r="U93" s="33" t="n"/>
      <c r="V93" s="33" t="n"/>
      <c r="W93" s="33" t="n"/>
      <c r="X93" s="33" t="n"/>
      <c r="Y93" s="33" t="n"/>
      <c r="Z93" s="33" t="n"/>
      <c r="AA93" s="4">
        <f>R93-G93</f>
        <v/>
      </c>
      <c r="AB93" s="4">
        <f>G93-R93</f>
        <v/>
      </c>
      <c r="AC93" s="33" t="n"/>
    </row>
    <row r="94" ht="18.75" customHeight="1">
      <c r="A94" s="35">
        <f>SUBTOTAL(103,$B$24:B94)</f>
        <v/>
      </c>
      <c r="B94" s="36" t="inlineStr">
        <is>
          <t>Полоскальниця фарфорова</t>
        </is>
      </c>
      <c r="C94" s="37" t="inlineStr">
        <is>
          <t>шт.</t>
        </is>
      </c>
      <c r="D94" s="33" t="n"/>
      <c r="E94" s="33" t="n"/>
      <c r="F94" s="33">
        <f>E94*0.05</f>
        <v/>
      </c>
      <c r="G94" s="33">
        <f>E94+F94</f>
        <v/>
      </c>
      <c r="H94" s="33" t="n"/>
      <c r="I94" s="33" t="n"/>
      <c r="J94" s="33" t="n"/>
      <c r="K94" s="33">
        <f>L94+M94+N94</f>
        <v/>
      </c>
      <c r="L94" s="33" t="n"/>
      <c r="M94" s="33" t="n"/>
      <c r="N94" s="33" t="n"/>
      <c r="O94" s="33">
        <f>P94+Q94</f>
        <v/>
      </c>
      <c r="P94" s="33" t="n"/>
      <c r="Q94" s="33" t="n"/>
      <c r="R94" s="33">
        <f>H94+K94-O94</f>
        <v/>
      </c>
      <c r="S94" s="33" t="n"/>
      <c r="T94" s="33" t="n"/>
      <c r="U94" s="33" t="n"/>
      <c r="V94" s="33" t="n"/>
      <c r="W94" s="33" t="n"/>
      <c r="X94" s="33" t="n"/>
      <c r="Y94" s="33" t="n"/>
      <c r="Z94" s="33" t="n"/>
      <c r="AA94" s="4">
        <f>R94-G94</f>
        <v/>
      </c>
      <c r="AB94" s="4">
        <f>G94-R94</f>
        <v/>
      </c>
      <c r="AC94" s="33" t="n"/>
    </row>
    <row r="95" ht="18.75" customHeight="1">
      <c r="A95" s="35">
        <f>SUBTOTAL(103,$B$24:B95)</f>
        <v/>
      </c>
      <c r="B95" s="36" t="inlineStr">
        <is>
          <t xml:space="preserve">Полоскальниця емальвана </t>
        </is>
      </c>
      <c r="C95" s="37" t="inlineStr">
        <is>
          <t>шт.</t>
        </is>
      </c>
      <c r="D95" s="33" t="n"/>
      <c r="E95" s="33" t="n"/>
      <c r="F95" s="33">
        <f>E95*0.05</f>
        <v/>
      </c>
      <c r="G95" s="33">
        <f>E95+F95</f>
        <v/>
      </c>
      <c r="H95" s="33" t="n"/>
      <c r="I95" s="33" t="n"/>
      <c r="J95" s="33" t="n"/>
      <c r="K95" s="33">
        <f>L95+M95+N95</f>
        <v/>
      </c>
      <c r="L95" s="33" t="n"/>
      <c r="M95" s="33" t="n"/>
      <c r="N95" s="33" t="n"/>
      <c r="O95" s="33">
        <f>P95+Q95</f>
        <v/>
      </c>
      <c r="P95" s="33" t="n"/>
      <c r="Q95" s="33" t="n"/>
      <c r="R95" s="33">
        <f>H95+K95-O95</f>
        <v/>
      </c>
      <c r="S95" s="33" t="n"/>
      <c r="T95" s="33" t="n"/>
      <c r="U95" s="33" t="n"/>
      <c r="V95" s="33" t="n"/>
      <c r="W95" s="33" t="n"/>
      <c r="X95" s="33" t="n"/>
      <c r="Y95" s="33" t="n"/>
      <c r="Z95" s="33" t="n"/>
      <c r="AA95" s="4">
        <f>R95-G95</f>
        <v/>
      </c>
      <c r="AB95" s="4">
        <f>G95-R95</f>
        <v/>
      </c>
      <c r="AC95" s="33" t="n"/>
    </row>
    <row r="96" ht="18.75" customHeight="1">
      <c r="A96" s="35">
        <f>SUBTOTAL(103,$B$24:B96)</f>
        <v/>
      </c>
      <c r="B96" s="36" t="inlineStr">
        <is>
          <t>Воронка</t>
        </is>
      </c>
      <c r="C96" s="37" t="inlineStr">
        <is>
          <t>шт.</t>
        </is>
      </c>
      <c r="D96" s="33" t="n"/>
      <c r="E96" s="33" t="n"/>
      <c r="F96" s="33">
        <f>E96*0.05</f>
        <v/>
      </c>
      <c r="G96" s="33">
        <f>E96+F96</f>
        <v/>
      </c>
      <c r="H96" s="33" t="n"/>
      <c r="I96" s="33" t="n"/>
      <c r="J96" s="33" t="n"/>
      <c r="K96" s="33">
        <f>L96+M96+N96</f>
        <v/>
      </c>
      <c r="L96" s="33" t="n"/>
      <c r="M96" s="33" t="n"/>
      <c r="N96" s="33" t="n"/>
      <c r="O96" s="33">
        <f>P96+Q96</f>
        <v/>
      </c>
      <c r="P96" s="33" t="n"/>
      <c r="Q96" s="33" t="n"/>
      <c r="R96" s="33">
        <f>H96+K96-O96</f>
        <v/>
      </c>
      <c r="S96" s="33" t="n"/>
      <c r="T96" s="33" t="n"/>
      <c r="U96" s="33" t="n"/>
      <c r="V96" s="33" t="n"/>
      <c r="W96" s="33" t="n"/>
      <c r="X96" s="33" t="n"/>
      <c r="Y96" s="33" t="n"/>
      <c r="Z96" s="33" t="n"/>
      <c r="AA96" s="4">
        <f>R96-G96</f>
        <v/>
      </c>
      <c r="AB96" s="4">
        <f>G96-R96</f>
        <v/>
      </c>
      <c r="AC96" s="33" t="n"/>
    </row>
    <row r="97" ht="18.75" customHeight="1">
      <c r="A97" s="35">
        <f>SUBTOTAL(103,$B$24:B97)</f>
        <v/>
      </c>
      <c r="B97" s="36" t="inlineStr">
        <is>
          <t>Розетка (блюдце для варені) фарфорова</t>
        </is>
      </c>
      <c r="C97" s="37" t="inlineStr">
        <is>
          <t>шт.</t>
        </is>
      </c>
      <c r="D97" s="33" t="n"/>
      <c r="E97" s="33" t="n"/>
      <c r="F97" s="33">
        <f>E97*0.05</f>
        <v/>
      </c>
      <c r="G97" s="33">
        <f>E97+F97</f>
        <v/>
      </c>
      <c r="H97" s="33" t="n"/>
      <c r="I97" s="33" t="n"/>
      <c r="J97" s="33" t="n"/>
      <c r="K97" s="33">
        <f>L97+M97+N97</f>
        <v/>
      </c>
      <c r="L97" s="33" t="n"/>
      <c r="M97" s="33" t="n"/>
      <c r="N97" s="33" t="n"/>
      <c r="O97" s="33">
        <f>P97+Q97</f>
        <v/>
      </c>
      <c r="P97" s="33" t="n"/>
      <c r="Q97" s="33" t="n"/>
      <c r="R97" s="33">
        <f>H97+K97-O97</f>
        <v/>
      </c>
      <c r="S97" s="33" t="n"/>
      <c r="T97" s="33" t="n"/>
      <c r="U97" s="33" t="n"/>
      <c r="V97" s="33" t="n"/>
      <c r="W97" s="33" t="n"/>
      <c r="X97" s="33" t="n"/>
      <c r="Y97" s="33" t="n"/>
      <c r="Z97" s="33" t="n"/>
      <c r="AA97" s="4">
        <f>R97-G97</f>
        <v/>
      </c>
      <c r="AB97" s="4">
        <f>G97-R97</f>
        <v/>
      </c>
      <c r="AC97" s="33" t="n"/>
    </row>
    <row r="98" ht="18.75" customHeight="1">
      <c r="A98" s="35">
        <f>SUBTOTAL(103,$B$24:B98)</f>
        <v/>
      </c>
      <c r="B98" s="36" t="inlineStr">
        <is>
          <t>Розетка (блюдце для варені) скляна</t>
        </is>
      </c>
      <c r="C98" s="37" t="inlineStr">
        <is>
          <t>шт.</t>
        </is>
      </c>
      <c r="D98" s="33" t="n"/>
      <c r="E98" s="33" t="n"/>
      <c r="F98" s="33">
        <f>E98*0.05</f>
        <v/>
      </c>
      <c r="G98" s="33">
        <f>E98+F98</f>
        <v/>
      </c>
      <c r="H98" s="33" t="n"/>
      <c r="I98" s="33" t="n"/>
      <c r="J98" s="33" t="n"/>
      <c r="K98" s="33">
        <f>L98+M98+N98</f>
        <v/>
      </c>
      <c r="L98" s="33" t="n"/>
      <c r="M98" s="33" t="n"/>
      <c r="N98" s="33" t="n"/>
      <c r="O98" s="33">
        <f>P98+Q98</f>
        <v/>
      </c>
      <c r="P98" s="33" t="n"/>
      <c r="Q98" s="33" t="n"/>
      <c r="R98" s="33">
        <f>H98+K98-O98</f>
        <v/>
      </c>
      <c r="S98" s="33" t="n"/>
      <c r="T98" s="33" t="n"/>
      <c r="U98" s="33" t="n"/>
      <c r="V98" s="33" t="n"/>
      <c r="W98" s="33" t="n"/>
      <c r="X98" s="33" t="n"/>
      <c r="Y98" s="33" t="n"/>
      <c r="Z98" s="33" t="n"/>
      <c r="AA98" s="4">
        <f>R98-G98</f>
        <v/>
      </c>
      <c r="AB98" s="4">
        <f>G98-R98</f>
        <v/>
      </c>
      <c r="AC98" s="33" t="n"/>
    </row>
    <row r="99" ht="18.75" customHeight="1">
      <c r="A99" s="35">
        <f>SUBTOTAL(103,$B$24:B99)</f>
        <v/>
      </c>
      <c r="B99" s="36" t="inlineStr">
        <is>
          <t>Креманки скляні</t>
        </is>
      </c>
      <c r="C99" s="37" t="inlineStr">
        <is>
          <t>шт.</t>
        </is>
      </c>
      <c r="D99" s="33" t="n"/>
      <c r="E99" s="33" t="n"/>
      <c r="F99" s="33">
        <f>E99*0.05</f>
        <v/>
      </c>
      <c r="G99" s="33">
        <f>E99+F99</f>
        <v/>
      </c>
      <c r="H99" s="33" t="n"/>
      <c r="I99" s="33" t="n"/>
      <c r="J99" s="33" t="n"/>
      <c r="K99" s="33">
        <f>L99+M99+N99</f>
        <v/>
      </c>
      <c r="L99" s="33" t="n"/>
      <c r="M99" s="33" t="n"/>
      <c r="N99" s="33" t="n"/>
      <c r="O99" s="33">
        <f>P99+Q99</f>
        <v/>
      </c>
      <c r="P99" s="33" t="n"/>
      <c r="Q99" s="33" t="n"/>
      <c r="R99" s="33">
        <f>H99+K99-O99</f>
        <v/>
      </c>
      <c r="S99" s="33" t="n"/>
      <c r="T99" s="33" t="n"/>
      <c r="U99" s="33" t="n"/>
      <c r="V99" s="33" t="n"/>
      <c r="W99" s="33" t="n"/>
      <c r="X99" s="33" t="n"/>
      <c r="Y99" s="33" t="n"/>
      <c r="Z99" s="33" t="n"/>
      <c r="AA99" s="4">
        <f>R99-G99</f>
        <v/>
      </c>
      <c r="AB99" s="4">
        <f>G99-R99</f>
        <v/>
      </c>
      <c r="AC99" s="33" t="n"/>
    </row>
    <row r="100" ht="18.75" customHeight="1">
      <c r="A100" s="35">
        <f>SUBTOTAL(103,$B$24:B100)</f>
        <v/>
      </c>
      <c r="B100" s="36" t="inlineStr">
        <is>
          <t>Креманка з нержавіючої сталі</t>
        </is>
      </c>
      <c r="C100" s="37" t="inlineStr">
        <is>
          <t>шт.</t>
        </is>
      </c>
      <c r="D100" s="33" t="n"/>
      <c r="E100" s="33" t="n"/>
      <c r="F100" s="33">
        <f>E100*0.05</f>
        <v/>
      </c>
      <c r="G100" s="33">
        <f>E100+F100</f>
        <v/>
      </c>
      <c r="H100" s="33" t="n"/>
      <c r="I100" s="33" t="n"/>
      <c r="J100" s="33" t="n"/>
      <c r="K100" s="33">
        <f>L100+M100+N100</f>
        <v/>
      </c>
      <c r="L100" s="33" t="n"/>
      <c r="M100" s="33" t="n"/>
      <c r="N100" s="33" t="n"/>
      <c r="O100" s="33">
        <f>P100+Q100</f>
        <v/>
      </c>
      <c r="P100" s="33" t="n"/>
      <c r="Q100" s="33" t="n"/>
      <c r="R100" s="33">
        <f>H100+K100-O100</f>
        <v/>
      </c>
      <c r="S100" s="33" t="n"/>
      <c r="T100" s="33" t="n"/>
      <c r="U100" s="33" t="n"/>
      <c r="V100" s="33" t="n"/>
      <c r="W100" s="33" t="n"/>
      <c r="X100" s="33" t="n"/>
      <c r="Y100" s="33" t="n"/>
      <c r="Z100" s="33" t="n"/>
      <c r="AA100" s="4">
        <f>R100-G100</f>
        <v/>
      </c>
      <c r="AB100" s="4">
        <f>G100-R100</f>
        <v/>
      </c>
      <c r="AC100" s="33" t="n"/>
    </row>
    <row r="101" ht="18.75" customHeight="1">
      <c r="A101" s="35">
        <f>SUBTOTAL(103,$B$24:B101)</f>
        <v/>
      </c>
      <c r="B101" s="36" t="inlineStr">
        <is>
          <t xml:space="preserve">Блюдце для варення фарфорове </t>
        </is>
      </c>
      <c r="C101" s="37" t="inlineStr">
        <is>
          <t>шт.</t>
        </is>
      </c>
      <c r="D101" s="33" t="n"/>
      <c r="E101" s="33" t="n"/>
      <c r="F101" s="33">
        <f>E101*0.05</f>
        <v/>
      </c>
      <c r="G101" s="33">
        <f>E101+F101</f>
        <v/>
      </c>
      <c r="H101" s="33" t="n"/>
      <c r="I101" s="33" t="n"/>
      <c r="J101" s="33" t="n"/>
      <c r="K101" s="33">
        <f>L101+M101+N101</f>
        <v/>
      </c>
      <c r="L101" s="33" t="n"/>
      <c r="M101" s="33" t="n"/>
      <c r="N101" s="33" t="n"/>
      <c r="O101" s="33">
        <f>P101+Q101</f>
        <v/>
      </c>
      <c r="P101" s="33" t="n"/>
      <c r="Q101" s="33" t="n"/>
      <c r="R101" s="33">
        <f>H101+K101-O101</f>
        <v/>
      </c>
      <c r="S101" s="33" t="n"/>
      <c r="T101" s="33" t="n"/>
      <c r="U101" s="33" t="n"/>
      <c r="V101" s="33" t="n"/>
      <c r="W101" s="33" t="n"/>
      <c r="X101" s="33" t="n"/>
      <c r="Y101" s="33" t="n"/>
      <c r="Z101" s="33" t="n"/>
      <c r="AA101" s="4">
        <f>R101-G101</f>
        <v/>
      </c>
      <c r="AB101" s="4">
        <f>G101-R101</f>
        <v/>
      </c>
      <c r="AC101" s="33" t="n"/>
    </row>
    <row r="102" ht="18.75" customHeight="1">
      <c r="A102" s="35">
        <f>SUBTOTAL(103,$B$24:B102)</f>
        <v/>
      </c>
      <c r="B102" s="36" t="inlineStr">
        <is>
          <t xml:space="preserve">Блюдце чайне фарфорове </t>
        </is>
      </c>
      <c r="C102" s="37" t="inlineStr">
        <is>
          <t>шт.</t>
        </is>
      </c>
      <c r="D102" s="33" t="n"/>
      <c r="E102" s="33" t="n"/>
      <c r="F102" s="33">
        <f>E102*0.05</f>
        <v/>
      </c>
      <c r="G102" s="33">
        <f>E102+F102</f>
        <v/>
      </c>
      <c r="H102" s="33" t="n"/>
      <c r="I102" s="33" t="n"/>
      <c r="J102" s="33" t="n"/>
      <c r="K102" s="33">
        <f>L102+M102+N102</f>
        <v/>
      </c>
      <c r="L102" s="33" t="n"/>
      <c r="M102" s="33" t="n"/>
      <c r="N102" s="33" t="n"/>
      <c r="O102" s="33">
        <f>P102+Q102</f>
        <v/>
      </c>
      <c r="P102" s="33" t="n"/>
      <c r="Q102" s="33" t="n"/>
      <c r="R102" s="33">
        <f>H102+K102-O102</f>
        <v/>
      </c>
      <c r="S102" s="33" t="n"/>
      <c r="T102" s="33" t="n"/>
      <c r="U102" s="33" t="n"/>
      <c r="V102" s="33" t="n"/>
      <c r="W102" s="33" t="n"/>
      <c r="X102" s="33" t="n"/>
      <c r="Y102" s="33" t="n"/>
      <c r="Z102" s="33" t="n"/>
      <c r="AA102" s="4">
        <f>R102-G102</f>
        <v/>
      </c>
      <c r="AB102" s="4">
        <f>G102-R102</f>
        <v/>
      </c>
      <c r="AC102" s="33" t="n"/>
    </row>
    <row r="103" ht="18.75" customHeight="1">
      <c r="A103" s="35">
        <f>SUBTOTAL(103,$B$24:B103)</f>
        <v/>
      </c>
      <c r="B103" s="36" t="inlineStr">
        <is>
          <t>Блюдце чайне скляне</t>
        </is>
      </c>
      <c r="C103" s="37" t="inlineStr">
        <is>
          <t>шт.</t>
        </is>
      </c>
      <c r="D103" s="33" t="n"/>
      <c r="E103" s="33" t="n"/>
      <c r="F103" s="33">
        <f>E103*0.05</f>
        <v/>
      </c>
      <c r="G103" s="33">
        <f>E103+F103</f>
        <v/>
      </c>
      <c r="H103" s="33" t="n"/>
      <c r="I103" s="33" t="n"/>
      <c r="J103" s="33" t="n"/>
      <c r="K103" s="33">
        <f>L103+M103+N103</f>
        <v/>
      </c>
      <c r="L103" s="33" t="n"/>
      <c r="M103" s="33" t="n"/>
      <c r="N103" s="33" t="n"/>
      <c r="O103" s="33">
        <f>P103+Q103</f>
        <v/>
      </c>
      <c r="P103" s="33" t="n"/>
      <c r="Q103" s="33" t="n"/>
      <c r="R103" s="33">
        <f>H103+K103-O103</f>
        <v/>
      </c>
      <c r="S103" s="33" t="n"/>
      <c r="T103" s="33" t="n"/>
      <c r="U103" s="33" t="n"/>
      <c r="V103" s="33" t="n"/>
      <c r="W103" s="33" t="n"/>
      <c r="X103" s="33" t="n"/>
      <c r="Y103" s="33" t="n"/>
      <c r="Z103" s="33" t="n"/>
      <c r="AA103" s="4">
        <f>R103-G103</f>
        <v/>
      </c>
      <c r="AB103" s="4">
        <f>G103-R103</f>
        <v/>
      </c>
      <c r="AC103" s="33" t="n"/>
    </row>
    <row r="104" ht="18.75" customHeight="1">
      <c r="A104" s="35">
        <f>SUBTOTAL(103,$B$24:B104)</f>
        <v/>
      </c>
      <c r="B104" s="36" t="inlineStr">
        <is>
          <t xml:space="preserve">Блюдце чайне </t>
        </is>
      </c>
      <c r="C104" s="37" t="inlineStr">
        <is>
          <t>шт.</t>
        </is>
      </c>
      <c r="D104" s="33" t="n"/>
      <c r="E104" s="33" t="n"/>
      <c r="F104" s="33">
        <f>E104*0.05</f>
        <v/>
      </c>
      <c r="G104" s="33">
        <f>E104+F104</f>
        <v/>
      </c>
      <c r="H104" s="33" t="n"/>
      <c r="I104" s="33" t="n"/>
      <c r="J104" s="33" t="n"/>
      <c r="K104" s="33">
        <f>L104+M104+N104</f>
        <v/>
      </c>
      <c r="L104" s="33" t="n"/>
      <c r="M104" s="33" t="n"/>
      <c r="N104" s="33" t="n"/>
      <c r="O104" s="33">
        <f>P104+Q104</f>
        <v/>
      </c>
      <c r="P104" s="33" t="n"/>
      <c r="Q104" s="33" t="n"/>
      <c r="R104" s="33">
        <f>H104+K104-O104</f>
        <v/>
      </c>
      <c r="S104" s="33" t="n"/>
      <c r="T104" s="33" t="n"/>
      <c r="U104" s="33" t="n"/>
      <c r="V104" s="33" t="n"/>
      <c r="W104" s="33" t="n"/>
      <c r="X104" s="33" t="n"/>
      <c r="Y104" s="33" t="n"/>
      <c r="Z104" s="33" t="n"/>
      <c r="AA104" s="4">
        <f>R104-G104</f>
        <v/>
      </c>
      <c r="AB104" s="4">
        <f>G104-R104</f>
        <v/>
      </c>
      <c r="AC104" s="33" t="n"/>
    </row>
    <row r="105" ht="18.75" customHeight="1">
      <c r="A105" s="35">
        <f>SUBTOTAL(103,$B$24:B105)</f>
        <v/>
      </c>
      <c r="B105" s="36" t="inlineStr">
        <is>
          <t xml:space="preserve">Блюдце кавове фарфорове </t>
        </is>
      </c>
      <c r="C105" s="37" t="inlineStr">
        <is>
          <t>шт.</t>
        </is>
      </c>
      <c r="D105" s="33" t="n"/>
      <c r="E105" s="33" t="n"/>
      <c r="F105" s="33">
        <f>E105*0.05</f>
        <v/>
      </c>
      <c r="G105" s="33">
        <f>E105+F105</f>
        <v/>
      </c>
      <c r="H105" s="33" t="n"/>
      <c r="I105" s="33" t="n"/>
      <c r="J105" s="33" t="n"/>
      <c r="K105" s="33">
        <f>L105+M105+N105</f>
        <v/>
      </c>
      <c r="L105" s="33" t="n"/>
      <c r="M105" s="33" t="n"/>
      <c r="N105" s="33" t="n"/>
      <c r="O105" s="33">
        <f>P105+Q105</f>
        <v/>
      </c>
      <c r="P105" s="33" t="n"/>
      <c r="Q105" s="33" t="n"/>
      <c r="R105" s="33">
        <f>H105+K105-O105</f>
        <v/>
      </c>
      <c r="S105" s="33" t="n"/>
      <c r="T105" s="33" t="n"/>
      <c r="U105" s="33" t="n"/>
      <c r="V105" s="33" t="n"/>
      <c r="W105" s="33" t="n"/>
      <c r="X105" s="33" t="n"/>
      <c r="Y105" s="33" t="n"/>
      <c r="Z105" s="33" t="n"/>
      <c r="AA105" s="4">
        <f>R105-G105</f>
        <v/>
      </c>
      <c r="AB105" s="4">
        <f>G105-R105</f>
        <v/>
      </c>
      <c r="AC105" s="33" t="n"/>
    </row>
    <row r="106" ht="18.75" customHeight="1">
      <c r="A106" s="35">
        <f>SUBTOTAL(103,$B$24:B106)</f>
        <v/>
      </c>
      <c r="B106" s="36" t="inlineStr">
        <is>
          <t>Блюдце кавове скляне</t>
        </is>
      </c>
      <c r="C106" s="37" t="inlineStr">
        <is>
          <t>шт.</t>
        </is>
      </c>
      <c r="D106" s="33" t="n"/>
      <c r="E106" s="33" t="n"/>
      <c r="F106" s="33">
        <f>E106*0.05</f>
        <v/>
      </c>
      <c r="G106" s="33">
        <f>E106+F106</f>
        <v/>
      </c>
      <c r="H106" s="33" t="n"/>
      <c r="I106" s="33" t="n"/>
      <c r="J106" s="33" t="n"/>
      <c r="K106" s="33">
        <f>L106+M106+N106</f>
        <v/>
      </c>
      <c r="L106" s="33" t="n"/>
      <c r="M106" s="33" t="n"/>
      <c r="N106" s="33" t="n"/>
      <c r="O106" s="33">
        <f>P106+Q106</f>
        <v/>
      </c>
      <c r="P106" s="33" t="n"/>
      <c r="Q106" s="33" t="n"/>
      <c r="R106" s="33">
        <f>H106+K106-O106</f>
        <v/>
      </c>
      <c r="S106" s="33" t="n"/>
      <c r="T106" s="33" t="n"/>
      <c r="U106" s="33" t="n"/>
      <c r="V106" s="33" t="n"/>
      <c r="W106" s="33" t="n"/>
      <c r="X106" s="33" t="n"/>
      <c r="Y106" s="33" t="n"/>
      <c r="Z106" s="33" t="n"/>
      <c r="AA106" s="4">
        <f>R106-G106</f>
        <v/>
      </c>
      <c r="AB106" s="4">
        <f>G106-R106</f>
        <v/>
      </c>
      <c r="AC106" s="33" t="n"/>
    </row>
    <row r="107" ht="18.75" customHeight="1">
      <c r="A107" s="35">
        <f>SUBTOTAL(103,$B$24:B107)</f>
        <v/>
      </c>
      <c r="B107" s="36" t="inlineStr">
        <is>
          <t xml:space="preserve">Кухоль емальваний </t>
        </is>
      </c>
      <c r="C107" s="37" t="inlineStr">
        <is>
          <t>шт.</t>
        </is>
      </c>
      <c r="D107" s="33" t="n"/>
      <c r="E107" s="33" t="n"/>
      <c r="F107" s="33">
        <f>E107*0.05</f>
        <v/>
      </c>
      <c r="G107" s="33">
        <f>E107+F107</f>
        <v/>
      </c>
      <c r="H107" s="33" t="n"/>
      <c r="I107" s="33" t="n"/>
      <c r="J107" s="33" t="n"/>
      <c r="K107" s="33">
        <f>L107+M107+N107</f>
        <v/>
      </c>
      <c r="L107" s="33" t="n"/>
      <c r="M107" s="33" t="n"/>
      <c r="N107" s="33" t="n"/>
      <c r="O107" s="33">
        <f>P107+Q107</f>
        <v/>
      </c>
      <c r="P107" s="33" t="n"/>
      <c r="Q107" s="33" t="n"/>
      <c r="R107" s="33">
        <f>H107+K107-O107</f>
        <v/>
      </c>
      <c r="S107" s="33" t="n"/>
      <c r="T107" s="33" t="n"/>
      <c r="U107" s="33" t="n"/>
      <c r="V107" s="33" t="n"/>
      <c r="W107" s="33" t="n"/>
      <c r="X107" s="33" t="n"/>
      <c r="Y107" s="33" t="n"/>
      <c r="Z107" s="33" t="n"/>
      <c r="AA107" s="4">
        <f>R107-G107</f>
        <v/>
      </c>
      <c r="AB107" s="4">
        <f>G107-R107</f>
        <v/>
      </c>
      <c r="AC107" s="33" t="n"/>
    </row>
    <row r="108" ht="18.75" customHeight="1">
      <c r="A108" s="35">
        <f>SUBTOTAL(103,$B$24:B108)</f>
        <v/>
      </c>
      <c r="B108" s="36" t="inlineStr">
        <is>
          <t xml:space="preserve">Кухоль пластмасовий </t>
        </is>
      </c>
      <c r="C108" s="37" t="inlineStr">
        <is>
          <t>шт.</t>
        </is>
      </c>
      <c r="D108" s="33" t="n"/>
      <c r="E108" s="33" t="n"/>
      <c r="F108" s="33">
        <f>E108*0.05</f>
        <v/>
      </c>
      <c r="G108" s="33">
        <f>E108+F108</f>
        <v/>
      </c>
      <c r="H108" s="33" t="n"/>
      <c r="I108" s="33" t="n"/>
      <c r="J108" s="33" t="n"/>
      <c r="K108" s="33">
        <f>L108+M108+N108</f>
        <v/>
      </c>
      <c r="L108" s="33" t="n"/>
      <c r="M108" s="33" t="n"/>
      <c r="N108" s="33" t="n"/>
      <c r="O108" s="33">
        <f>P108+Q108</f>
        <v/>
      </c>
      <c r="P108" s="33" t="n"/>
      <c r="Q108" s="33" t="n"/>
      <c r="R108" s="33">
        <f>H108+K108-O108</f>
        <v/>
      </c>
      <c r="S108" s="33" t="n"/>
      <c r="T108" s="33" t="n"/>
      <c r="U108" s="33" t="n"/>
      <c r="V108" s="33" t="n"/>
      <c r="W108" s="33" t="n"/>
      <c r="X108" s="33" t="n"/>
      <c r="Y108" s="33" t="n"/>
      <c r="Z108" s="33" t="n"/>
      <c r="AA108" s="4">
        <f>R108-G108</f>
        <v/>
      </c>
      <c r="AB108" s="4">
        <f>G108-R108</f>
        <v/>
      </c>
      <c r="AC108" s="33" t="n"/>
    </row>
    <row r="109" ht="18.75" customHeight="1">
      <c r="A109" s="35">
        <f>SUBTOTAL(103,$B$24:B109)</f>
        <v/>
      </c>
      <c r="B109" s="36" t="inlineStr">
        <is>
          <t xml:space="preserve">Кухоль напівфарфоровий </t>
        </is>
      </c>
      <c r="C109" s="37" t="inlineStr">
        <is>
          <t>шт.</t>
        </is>
      </c>
      <c r="D109" s="33" t="n"/>
      <c r="E109" s="33" t="n"/>
      <c r="F109" s="33">
        <f>E109*0.05</f>
        <v/>
      </c>
      <c r="G109" s="33">
        <f>E109+F109</f>
        <v/>
      </c>
      <c r="H109" s="33" t="n"/>
      <c r="I109" s="33" t="n"/>
      <c r="J109" s="33" t="n"/>
      <c r="K109" s="33">
        <f>L109+M109+N109</f>
        <v/>
      </c>
      <c r="L109" s="33" t="n"/>
      <c r="M109" s="33" t="n"/>
      <c r="N109" s="33" t="n"/>
      <c r="O109" s="33">
        <f>P109+Q109</f>
        <v/>
      </c>
      <c r="P109" s="33" t="n"/>
      <c r="Q109" s="33" t="n"/>
      <c r="R109" s="33">
        <f>H109+K109-O109</f>
        <v/>
      </c>
      <c r="S109" s="33" t="n"/>
      <c r="T109" s="33" t="n"/>
      <c r="U109" s="33" t="n"/>
      <c r="V109" s="33" t="n"/>
      <c r="W109" s="33" t="n"/>
      <c r="X109" s="33" t="n"/>
      <c r="Y109" s="33" t="n"/>
      <c r="Z109" s="33" t="n"/>
      <c r="AA109" s="4">
        <f>R109-G109</f>
        <v/>
      </c>
      <c r="AB109" s="4">
        <f>G109-R109</f>
        <v/>
      </c>
      <c r="AC109" s="33" t="n"/>
    </row>
    <row r="110" ht="18.75" customHeight="1">
      <c r="A110" s="35">
        <f>SUBTOTAL(103,$B$24:B110)</f>
        <v/>
      </c>
      <c r="B110" s="36" t="inlineStr">
        <is>
          <t xml:space="preserve">Кухоль фаянсовий </t>
        </is>
      </c>
      <c r="C110" s="37" t="inlineStr">
        <is>
          <t>шт.</t>
        </is>
      </c>
      <c r="D110" s="33" t="n"/>
      <c r="E110" s="33" t="n"/>
      <c r="F110" s="33">
        <f>E110*0.05</f>
        <v/>
      </c>
      <c r="G110" s="33">
        <f>E110+F110</f>
        <v/>
      </c>
      <c r="H110" s="33" t="n"/>
      <c r="I110" s="33" t="n"/>
      <c r="J110" s="33" t="n"/>
      <c r="K110" s="33">
        <f>L110+M110+N110</f>
        <v/>
      </c>
      <c r="L110" s="33" t="n"/>
      <c r="M110" s="33" t="n"/>
      <c r="N110" s="33" t="n"/>
      <c r="O110" s="33">
        <f>P110+Q110</f>
        <v/>
      </c>
      <c r="P110" s="33" t="n"/>
      <c r="Q110" s="33" t="n"/>
      <c r="R110" s="33">
        <f>H110+K110-O110</f>
        <v/>
      </c>
      <c r="S110" s="33" t="n"/>
      <c r="T110" s="33" t="n"/>
      <c r="U110" s="33" t="n"/>
      <c r="V110" s="33" t="n"/>
      <c r="W110" s="33" t="n"/>
      <c r="X110" s="33" t="n"/>
      <c r="Y110" s="33" t="n"/>
      <c r="Z110" s="33" t="n"/>
      <c r="AA110" s="4">
        <f>R110-G110</f>
        <v/>
      </c>
      <c r="AB110" s="4">
        <f>G110-R110</f>
        <v/>
      </c>
      <c r="AC110" s="33" t="n"/>
    </row>
    <row r="111" ht="18.75" customHeight="1">
      <c r="A111" s="35">
        <f>SUBTOTAL(103,$B$24:B111)</f>
        <v/>
      </c>
      <c r="B111" s="36" t="inlineStr">
        <is>
          <t xml:space="preserve">Кухоль фарфоровий з ручкою </t>
        </is>
      </c>
      <c r="C111" s="37" t="inlineStr">
        <is>
          <t>шт.</t>
        </is>
      </c>
      <c r="D111" s="33" t="n"/>
      <c r="E111" s="33" t="n"/>
      <c r="F111" s="33">
        <f>E111*0.05</f>
        <v/>
      </c>
      <c r="G111" s="33">
        <f>E111+F111</f>
        <v/>
      </c>
      <c r="H111" s="33" t="n"/>
      <c r="I111" s="33" t="n"/>
      <c r="J111" s="33" t="n"/>
      <c r="K111" s="33">
        <f>L111+M111+N111</f>
        <v/>
      </c>
      <c r="L111" s="33" t="n"/>
      <c r="M111" s="33" t="n"/>
      <c r="N111" s="33" t="n"/>
      <c r="O111" s="33">
        <f>P111+Q111</f>
        <v/>
      </c>
      <c r="P111" s="33" t="n"/>
      <c r="Q111" s="33" t="n"/>
      <c r="R111" s="33">
        <f>H111+K111-O111</f>
        <v/>
      </c>
      <c r="S111" s="33" t="n"/>
      <c r="T111" s="33" t="n"/>
      <c r="U111" s="33" t="n"/>
      <c r="V111" s="33" t="n"/>
      <c r="W111" s="33" t="n"/>
      <c r="X111" s="33" t="n"/>
      <c r="Y111" s="33" t="n"/>
      <c r="Z111" s="33" t="n"/>
      <c r="AA111" s="4">
        <f>R111-G111</f>
        <v/>
      </c>
      <c r="AB111" s="4">
        <f>G111-R111</f>
        <v/>
      </c>
      <c r="AC111" s="33" t="n"/>
    </row>
    <row r="112" ht="18.75" customHeight="1">
      <c r="A112" s="35">
        <f>SUBTOTAL(103,$B$24:B112)</f>
        <v/>
      </c>
      <c r="B112" s="36" t="inlineStr">
        <is>
          <t>Кружка керамічна</t>
        </is>
      </c>
      <c r="C112" s="37" t="inlineStr">
        <is>
          <t>шт.</t>
        </is>
      </c>
      <c r="D112" s="33" t="n"/>
      <c r="E112" s="33" t="n"/>
      <c r="F112" s="33">
        <f>E112*0.05</f>
        <v/>
      </c>
      <c r="G112" s="33">
        <f>E112+F112</f>
        <v/>
      </c>
      <c r="H112" s="33" t="n"/>
      <c r="I112" s="33" t="n"/>
      <c r="J112" s="33" t="n"/>
      <c r="K112" s="33">
        <f>L112+M112+N112</f>
        <v/>
      </c>
      <c r="L112" s="33" t="n"/>
      <c r="M112" s="33" t="n"/>
      <c r="N112" s="33" t="n"/>
      <c r="O112" s="33">
        <f>P112+Q112</f>
        <v/>
      </c>
      <c r="P112" s="33" t="n"/>
      <c r="Q112" s="33" t="n"/>
      <c r="R112" s="33">
        <f>H112+K112-O112</f>
        <v/>
      </c>
      <c r="S112" s="33" t="n"/>
      <c r="T112" s="33" t="n"/>
      <c r="U112" s="33" t="n"/>
      <c r="V112" s="33" t="n"/>
      <c r="W112" s="33" t="n"/>
      <c r="X112" s="33" t="n"/>
      <c r="Y112" s="33" t="n"/>
      <c r="Z112" s="33" t="n"/>
      <c r="AA112" s="4">
        <f>R112-G112</f>
        <v/>
      </c>
      <c r="AB112" s="4">
        <f>G112-R112</f>
        <v/>
      </c>
      <c r="AC112" s="33" t="n"/>
    </row>
    <row r="113" ht="18.75" customHeight="1">
      <c r="A113" s="35">
        <f>SUBTOTAL(103,$B$24:B113)</f>
        <v/>
      </c>
      <c r="B113" s="36" t="inlineStr">
        <is>
          <t>Кухоль фарфоровий без ручок</t>
        </is>
      </c>
      <c r="C113" s="37" t="inlineStr">
        <is>
          <t>шт.</t>
        </is>
      </c>
      <c r="D113" s="33" t="n"/>
      <c r="E113" s="33" t="n"/>
      <c r="F113" s="33">
        <f>E113*0.05</f>
        <v/>
      </c>
      <c r="G113" s="33">
        <f>E113+F113</f>
        <v/>
      </c>
      <c r="H113" s="33" t="n"/>
      <c r="I113" s="33" t="n"/>
      <c r="J113" s="33" t="n"/>
      <c r="K113" s="33">
        <f>L113+M113+N113</f>
        <v/>
      </c>
      <c r="L113" s="33" t="n"/>
      <c r="M113" s="33" t="n"/>
      <c r="N113" s="33" t="n"/>
      <c r="O113" s="33">
        <f>P113+Q113</f>
        <v/>
      </c>
      <c r="P113" s="33" t="n"/>
      <c r="Q113" s="33" t="n"/>
      <c r="R113" s="33">
        <f>H113+K113-O113</f>
        <v/>
      </c>
      <c r="S113" s="33" t="n"/>
      <c r="T113" s="33" t="n"/>
      <c r="U113" s="33" t="n"/>
      <c r="V113" s="33" t="n"/>
      <c r="W113" s="33" t="n"/>
      <c r="X113" s="33" t="n"/>
      <c r="Y113" s="33" t="n"/>
      <c r="Z113" s="33" t="n"/>
      <c r="AA113" s="4">
        <f>R113-G113</f>
        <v/>
      </c>
      <c r="AB113" s="4">
        <f>G113-R113</f>
        <v/>
      </c>
      <c r="AC113" s="33" t="n"/>
    </row>
    <row r="114" ht="18.75" customHeight="1">
      <c r="A114" s="35">
        <f>SUBTOTAL(103,$B$24:B114)</f>
        <v/>
      </c>
      <c r="B114" s="36" t="inlineStr">
        <is>
          <t>Кухоль фарфоровий з блюдцем</t>
        </is>
      </c>
      <c r="C114" s="37" t="inlineStr">
        <is>
          <t>шт.</t>
        </is>
      </c>
      <c r="D114" s="33" t="n"/>
      <c r="E114" s="33" t="n"/>
      <c r="F114" s="33">
        <f>E114*0.05</f>
        <v/>
      </c>
      <c r="G114" s="33">
        <f>E114+F114</f>
        <v/>
      </c>
      <c r="H114" s="33" t="n"/>
      <c r="I114" s="33" t="n"/>
      <c r="J114" s="33" t="n"/>
      <c r="K114" s="33">
        <f>L114+M114+N114</f>
        <v/>
      </c>
      <c r="L114" s="33" t="n"/>
      <c r="M114" s="33" t="n"/>
      <c r="N114" s="33" t="n"/>
      <c r="O114" s="33">
        <f>P114+Q114</f>
        <v/>
      </c>
      <c r="P114" s="33" t="n"/>
      <c r="Q114" s="33" t="n"/>
      <c r="R114" s="33">
        <f>H114+K114-O114</f>
        <v/>
      </c>
      <c r="S114" s="33" t="n"/>
      <c r="T114" s="33" t="n"/>
      <c r="U114" s="33" t="n"/>
      <c r="V114" s="33" t="n"/>
      <c r="W114" s="33" t="n"/>
      <c r="X114" s="33" t="n"/>
      <c r="Y114" s="33" t="n"/>
      <c r="Z114" s="33" t="n"/>
      <c r="AA114" s="4">
        <f>R114-G114</f>
        <v/>
      </c>
      <c r="AB114" s="4">
        <f>G114-R114</f>
        <v/>
      </c>
      <c r="AC114" s="33" t="n"/>
    </row>
    <row r="115" ht="18.75" customHeight="1">
      <c r="A115" s="35">
        <f>SUBTOTAL(103,$B$24:B115)</f>
        <v/>
      </c>
      <c r="B115" s="36" t="inlineStr">
        <is>
          <t>Кухлі скляні (ударостойкі, загартовані)</t>
        </is>
      </c>
      <c r="C115" s="37" t="inlineStr">
        <is>
          <t>шт.</t>
        </is>
      </c>
      <c r="D115" s="33" t="n"/>
      <c r="E115" s="33" t="n"/>
      <c r="F115" s="33">
        <f>E115*0.05</f>
        <v/>
      </c>
      <c r="G115" s="33">
        <f>E115+F115</f>
        <v/>
      </c>
      <c r="H115" s="33" t="n"/>
      <c r="I115" s="33" t="n"/>
      <c r="J115" s="33" t="n"/>
      <c r="K115" s="33">
        <f>L115+M115+N115</f>
        <v/>
      </c>
      <c r="L115" s="33" t="n"/>
      <c r="M115" s="33" t="n"/>
      <c r="N115" s="33" t="n"/>
      <c r="O115" s="33">
        <f>P115+Q115</f>
        <v/>
      </c>
      <c r="P115" s="33" t="n"/>
      <c r="Q115" s="33" t="n"/>
      <c r="R115" s="33">
        <f>H115+K115-O115</f>
        <v/>
      </c>
      <c r="S115" s="33" t="n"/>
      <c r="T115" s="33" t="n"/>
      <c r="U115" s="33" t="n"/>
      <c r="V115" s="33" t="n"/>
      <c r="W115" s="33" t="n"/>
      <c r="X115" s="33" t="n"/>
      <c r="Y115" s="33" t="n"/>
      <c r="Z115" s="33" t="n"/>
      <c r="AA115" s="4">
        <f>R115-G115</f>
        <v/>
      </c>
      <c r="AB115" s="4">
        <f>G115-R115</f>
        <v/>
      </c>
      <c r="AC115" s="33" t="n"/>
    </row>
    <row r="116" ht="18.75" customHeight="1">
      <c r="A116" s="35">
        <f>SUBTOTAL(103,$B$24:B116)</f>
        <v/>
      </c>
      <c r="B116" s="36" t="inlineStr">
        <is>
          <t>Кухлі скляні з металевою ручкою</t>
        </is>
      </c>
      <c r="C116" s="37" t="inlineStr">
        <is>
          <t>шт.</t>
        </is>
      </c>
      <c r="D116" s="33" t="n"/>
      <c r="E116" s="33" t="n"/>
      <c r="F116" s="33">
        <f>E116*0.05</f>
        <v/>
      </c>
      <c r="G116" s="33">
        <f>E116+F116</f>
        <v/>
      </c>
      <c r="H116" s="33" t="n"/>
      <c r="I116" s="33" t="n"/>
      <c r="J116" s="33" t="n"/>
      <c r="K116" s="33">
        <f>L116+M116+N116</f>
        <v/>
      </c>
      <c r="L116" s="33" t="n"/>
      <c r="M116" s="33" t="n"/>
      <c r="N116" s="33" t="n"/>
      <c r="O116" s="33">
        <f>P116+Q116</f>
        <v/>
      </c>
      <c r="P116" s="33" t="n"/>
      <c r="Q116" s="33" t="n"/>
      <c r="R116" s="33">
        <f>H116+K116-O116</f>
        <v/>
      </c>
      <c r="S116" s="33" t="n"/>
      <c r="T116" s="33" t="n"/>
      <c r="U116" s="33" t="n"/>
      <c r="V116" s="33" t="n"/>
      <c r="W116" s="33" t="n"/>
      <c r="X116" s="33" t="n"/>
      <c r="Y116" s="33" t="n"/>
      <c r="Z116" s="33" t="n"/>
      <c r="AA116" s="4">
        <f>R116-G116</f>
        <v/>
      </c>
      <c r="AB116" s="4">
        <f>G116-R116</f>
        <v/>
      </c>
      <c r="AC116" s="33" t="n"/>
    </row>
    <row r="117" ht="18.75" customHeight="1">
      <c r="A117" s="35">
        <f>SUBTOTAL(103,$B$24:B117)</f>
        <v/>
      </c>
      <c r="B117" s="36" t="inlineStr">
        <is>
          <t xml:space="preserve">Кухоль керамічний </t>
        </is>
      </c>
      <c r="C117" s="37" t="inlineStr">
        <is>
          <t>шт.</t>
        </is>
      </c>
      <c r="D117" s="33" t="n"/>
      <c r="E117" s="33" t="n"/>
      <c r="F117" s="33">
        <f>E117*0.05</f>
        <v/>
      </c>
      <c r="G117" s="33">
        <f>E117+F117</f>
        <v/>
      </c>
      <c r="H117" s="33" t="n"/>
      <c r="I117" s="33" t="n"/>
      <c r="J117" s="33" t="n"/>
      <c r="K117" s="33">
        <f>L117+M117+N117</f>
        <v/>
      </c>
      <c r="L117" s="33" t="n"/>
      <c r="M117" s="33" t="n"/>
      <c r="N117" s="33" t="n"/>
      <c r="O117" s="33">
        <f>P117+Q117</f>
        <v/>
      </c>
      <c r="P117" s="33" t="n"/>
      <c r="Q117" s="33" t="n"/>
      <c r="R117" s="33">
        <f>H117+K117-O117</f>
        <v/>
      </c>
      <c r="S117" s="33" t="n"/>
      <c r="T117" s="33" t="n"/>
      <c r="U117" s="33" t="n"/>
      <c r="V117" s="33" t="n"/>
      <c r="W117" s="33" t="n"/>
      <c r="X117" s="33" t="n"/>
      <c r="Y117" s="33" t="n"/>
      <c r="Z117" s="33" t="n"/>
      <c r="AA117" s="4">
        <f>R117-G117</f>
        <v/>
      </c>
      <c r="AB117" s="4">
        <f>G117-R117</f>
        <v/>
      </c>
      <c r="AC117" s="33" t="n"/>
    </row>
    <row r="118" ht="18.75" customHeight="1">
      <c r="A118" s="35">
        <f>SUBTOTAL(103,$B$24:B118)</f>
        <v/>
      </c>
      <c r="B118" s="36" t="inlineStr">
        <is>
          <t>Кухлі з н/сталі</t>
        </is>
      </c>
      <c r="C118" s="37" t="inlineStr">
        <is>
          <t>шт.</t>
        </is>
      </c>
      <c r="D118" s="33" t="n"/>
      <c r="E118" s="33" t="n"/>
      <c r="F118" s="33">
        <f>E118*0.05</f>
        <v/>
      </c>
      <c r="G118" s="33">
        <f>E118+F118</f>
        <v/>
      </c>
      <c r="H118" s="33" t="n"/>
      <c r="I118" s="33" t="n"/>
      <c r="J118" s="33" t="n"/>
      <c r="K118" s="33">
        <f>L118+M118+N118</f>
        <v/>
      </c>
      <c r="L118" s="33" t="n"/>
      <c r="M118" s="33" t="n"/>
      <c r="N118" s="33" t="n"/>
      <c r="O118" s="33">
        <f>P118+Q118</f>
        <v/>
      </c>
      <c r="P118" s="33" t="n"/>
      <c r="Q118" s="33" t="n"/>
      <c r="R118" s="33">
        <f>H118+K118-O118</f>
        <v/>
      </c>
      <c r="S118" s="33" t="n"/>
      <c r="T118" s="33" t="n"/>
      <c r="U118" s="33" t="n"/>
      <c r="V118" s="33" t="n"/>
      <c r="W118" s="33" t="n"/>
      <c r="X118" s="33" t="n"/>
      <c r="Y118" s="33" t="n"/>
      <c r="Z118" s="33" t="n"/>
      <c r="AA118" s="4">
        <f>R118-G118</f>
        <v/>
      </c>
      <c r="AB118" s="4">
        <f>G118-R118</f>
        <v/>
      </c>
      <c r="AC118" s="33" t="n"/>
    </row>
    <row r="119" ht="18.75" customHeight="1">
      <c r="A119" s="35">
        <f>SUBTOTAL(103,$B$24:B119)</f>
        <v/>
      </c>
      <c r="B119" s="36" t="inlineStr">
        <is>
          <t xml:space="preserve">Кухоль алюмінієвий </t>
        </is>
      </c>
      <c r="C119" s="37" t="inlineStr">
        <is>
          <t>шт.</t>
        </is>
      </c>
      <c r="D119" s="33" t="n"/>
      <c r="E119" s="33" t="n"/>
      <c r="F119" s="33">
        <f>E119*0.05</f>
        <v/>
      </c>
      <c r="G119" s="33">
        <f>E119+F119</f>
        <v/>
      </c>
      <c r="H119" s="33" t="n"/>
      <c r="I119" s="33" t="n"/>
      <c r="J119" s="33" t="n"/>
      <c r="K119" s="33">
        <f>L119+M119+N119</f>
        <v/>
      </c>
      <c r="L119" s="33" t="n"/>
      <c r="M119" s="33" t="n"/>
      <c r="N119" s="33" t="n"/>
      <c r="O119" s="33">
        <f>P119+Q119</f>
        <v/>
      </c>
      <c r="P119" s="33" t="n"/>
      <c r="Q119" s="33" t="n"/>
      <c r="R119" s="33">
        <f>H119+K119-O119</f>
        <v/>
      </c>
      <c r="S119" s="33" t="n"/>
      <c r="T119" s="33" t="n"/>
      <c r="U119" s="33" t="n"/>
      <c r="V119" s="33" t="n"/>
      <c r="W119" s="33" t="n"/>
      <c r="X119" s="33" t="n"/>
      <c r="Y119" s="33" t="n"/>
      <c r="Z119" s="33" t="n"/>
      <c r="AA119" s="4">
        <f>R119-G119</f>
        <v/>
      </c>
      <c r="AB119" s="4">
        <f>G119-R119</f>
        <v/>
      </c>
      <c r="AC119" s="33" t="n"/>
    </row>
    <row r="120" ht="18.75" customHeight="1">
      <c r="A120" s="35">
        <f>SUBTOTAL(103,$B$24:B120)</f>
        <v/>
      </c>
      <c r="B120" s="36" t="inlineStr">
        <is>
          <t xml:space="preserve">Кухоль кавовий фарфоровий </t>
        </is>
      </c>
      <c r="C120" s="37" t="inlineStr">
        <is>
          <t>шт.</t>
        </is>
      </c>
      <c r="D120" s="33" t="n"/>
      <c r="E120" s="33" t="n"/>
      <c r="F120" s="33">
        <f>E120*0.05</f>
        <v/>
      </c>
      <c r="G120" s="33">
        <f>E120+F120</f>
        <v/>
      </c>
      <c r="H120" s="33" t="n"/>
      <c r="I120" s="33" t="n"/>
      <c r="J120" s="33" t="n"/>
      <c r="K120" s="33">
        <f>L120+M120+N120</f>
        <v/>
      </c>
      <c r="L120" s="33" t="n"/>
      <c r="M120" s="33" t="n"/>
      <c r="N120" s="33" t="n"/>
      <c r="O120" s="33">
        <f>P120+Q120</f>
        <v/>
      </c>
      <c r="P120" s="33" t="n"/>
      <c r="Q120" s="33" t="n"/>
      <c r="R120" s="33">
        <f>H120+K120-O120</f>
        <v/>
      </c>
      <c r="S120" s="33" t="n"/>
      <c r="T120" s="33" t="n"/>
      <c r="U120" s="33" t="n"/>
      <c r="V120" s="33" t="n"/>
      <c r="W120" s="33" t="n"/>
      <c r="X120" s="33" t="n"/>
      <c r="Y120" s="33" t="n"/>
      <c r="Z120" s="33" t="n"/>
      <c r="AA120" s="4">
        <f>R120-G120</f>
        <v/>
      </c>
      <c r="AB120" s="4">
        <f>G120-R120</f>
        <v/>
      </c>
      <c r="AC120" s="33" t="n"/>
    </row>
    <row r="121" ht="18.75" customHeight="1">
      <c r="A121" s="35">
        <f>SUBTOTAL(103,$B$24:B121)</f>
        <v/>
      </c>
      <c r="B121" s="36" t="inlineStr">
        <is>
          <t>Кухоль кавовий напівфарфоровий</t>
        </is>
      </c>
      <c r="C121" s="37" t="inlineStr">
        <is>
          <t>шт.</t>
        </is>
      </c>
      <c r="D121" s="33" t="n"/>
      <c r="E121" s="33" t="n"/>
      <c r="F121" s="33">
        <f>E121*0.05</f>
        <v/>
      </c>
      <c r="G121" s="33">
        <f>E121+F121</f>
        <v/>
      </c>
      <c r="H121" s="33" t="n"/>
      <c r="I121" s="33" t="n"/>
      <c r="J121" s="33" t="n"/>
      <c r="K121" s="33">
        <f>L121+M121+N121</f>
        <v/>
      </c>
      <c r="L121" s="33" t="n"/>
      <c r="M121" s="33" t="n"/>
      <c r="N121" s="33" t="n"/>
      <c r="O121" s="33">
        <f>P121+Q121</f>
        <v/>
      </c>
      <c r="P121" s="33" t="n"/>
      <c r="Q121" s="33" t="n"/>
      <c r="R121" s="33">
        <f>H121+K121-O121</f>
        <v/>
      </c>
      <c r="S121" s="33" t="n"/>
      <c r="T121" s="33" t="n"/>
      <c r="U121" s="33" t="n"/>
      <c r="V121" s="33" t="n"/>
      <c r="W121" s="33" t="n"/>
      <c r="X121" s="33" t="n"/>
      <c r="Y121" s="33" t="n"/>
      <c r="Z121" s="33" t="n"/>
      <c r="AA121" s="4">
        <f>R121-G121</f>
        <v/>
      </c>
      <c r="AB121" s="4">
        <f>G121-R121</f>
        <v/>
      </c>
      <c r="AC121" s="33" t="n"/>
    </row>
    <row r="122" ht="18.75" customHeight="1">
      <c r="A122" s="35">
        <f>SUBTOTAL(103,$B$24:B122)</f>
        <v/>
      </c>
      <c r="B122" s="36" t="inlineStr">
        <is>
          <t xml:space="preserve">Кухоль вимірювальний </t>
        </is>
      </c>
      <c r="C122" s="37" t="inlineStr">
        <is>
          <t>шт.</t>
        </is>
      </c>
      <c r="D122" s="33" t="n"/>
      <c r="E122" s="33" t="n"/>
      <c r="F122" s="33">
        <f>E122*0.05</f>
        <v/>
      </c>
      <c r="G122" s="33">
        <f>E122+F122</f>
        <v/>
      </c>
      <c r="H122" s="33" t="n"/>
      <c r="I122" s="33" t="n"/>
      <c r="J122" s="33" t="n"/>
      <c r="K122" s="33">
        <f>L122+M122+N122</f>
        <v/>
      </c>
      <c r="L122" s="33" t="n"/>
      <c r="M122" s="33" t="n"/>
      <c r="N122" s="33" t="n"/>
      <c r="O122" s="33">
        <f>P122+Q122</f>
        <v/>
      </c>
      <c r="P122" s="33" t="n"/>
      <c r="Q122" s="33" t="n"/>
      <c r="R122" s="33">
        <f>H122+K122-O122</f>
        <v/>
      </c>
      <c r="S122" s="33" t="n"/>
      <c r="T122" s="33" t="n"/>
      <c r="U122" s="33" t="n"/>
      <c r="V122" s="33" t="n"/>
      <c r="W122" s="33" t="n"/>
      <c r="X122" s="33" t="n"/>
      <c r="Y122" s="33" t="n"/>
      <c r="Z122" s="33" t="n"/>
      <c r="AA122" s="4">
        <f>R122-G122</f>
        <v/>
      </c>
      <c r="AB122" s="4">
        <f>G122-R122</f>
        <v/>
      </c>
      <c r="AC122" s="33" t="n"/>
    </row>
    <row r="123" ht="18.75" customHeight="1">
      <c r="A123" s="35">
        <f>SUBTOTAL(103,$B$24:B123)</f>
        <v/>
      </c>
      <c r="B123" s="36" t="inlineStr">
        <is>
          <t>Кухлі з блюдцями</t>
        </is>
      </c>
      <c r="C123" s="37" t="inlineStr">
        <is>
          <t>шт.</t>
        </is>
      </c>
      <c r="D123" s="33" t="n"/>
      <c r="E123" s="33" t="n"/>
      <c r="F123" s="33">
        <f>E123*0.05</f>
        <v/>
      </c>
      <c r="G123" s="33">
        <f>E123+F123</f>
        <v/>
      </c>
      <c r="H123" s="33" t="n"/>
      <c r="I123" s="33" t="n"/>
      <c r="J123" s="33" t="n"/>
      <c r="K123" s="33">
        <f>L123+M123+N123</f>
        <v/>
      </c>
      <c r="L123" s="33" t="n"/>
      <c r="M123" s="33" t="n"/>
      <c r="N123" s="33" t="n"/>
      <c r="O123" s="33">
        <f>P123+Q123</f>
        <v/>
      </c>
      <c r="P123" s="33" t="n"/>
      <c r="Q123" s="33" t="n"/>
      <c r="R123" s="33">
        <f>H123+K123-O123</f>
        <v/>
      </c>
      <c r="S123" s="33" t="n"/>
      <c r="T123" s="33" t="n"/>
      <c r="U123" s="33" t="n"/>
      <c r="V123" s="33" t="n"/>
      <c r="W123" s="33" t="n"/>
      <c r="X123" s="33" t="n"/>
      <c r="Y123" s="33" t="n"/>
      <c r="Z123" s="33" t="n"/>
      <c r="AA123" s="4">
        <f>R123-G123</f>
        <v/>
      </c>
      <c r="AB123" s="4">
        <f>G123-R123</f>
        <v/>
      </c>
      <c r="AC123" s="33" t="n"/>
    </row>
    <row r="124" ht="18.75" customHeight="1">
      <c r="A124" s="35">
        <f>SUBTOTAL(103,$B$24:B124)</f>
        <v/>
      </c>
      <c r="B124" s="36" t="inlineStr">
        <is>
          <t>Кувшин</t>
        </is>
      </c>
      <c r="C124" s="37" t="inlineStr">
        <is>
          <t>шт.</t>
        </is>
      </c>
      <c r="D124" s="33" t="n"/>
      <c r="E124" s="33" t="n"/>
      <c r="F124" s="33">
        <f>E124*0.05</f>
        <v/>
      </c>
      <c r="G124" s="33">
        <f>E124+F124</f>
        <v/>
      </c>
      <c r="H124" s="33" t="n"/>
      <c r="I124" s="33" t="n"/>
      <c r="J124" s="33" t="n"/>
      <c r="K124" s="33">
        <f>L124+M124+N124</f>
        <v/>
      </c>
      <c r="L124" s="33" t="n"/>
      <c r="M124" s="33" t="n"/>
      <c r="N124" s="33" t="n"/>
      <c r="O124" s="33">
        <f>P124+Q124</f>
        <v/>
      </c>
      <c r="P124" s="33" t="n"/>
      <c r="Q124" s="33" t="n"/>
      <c r="R124" s="33">
        <f>H124+K124-O124</f>
        <v/>
      </c>
      <c r="S124" s="33" t="n"/>
      <c r="T124" s="33" t="n"/>
      <c r="U124" s="33" t="n"/>
      <c r="V124" s="33" t="n"/>
      <c r="W124" s="33" t="n"/>
      <c r="X124" s="33" t="n"/>
      <c r="Y124" s="33" t="n"/>
      <c r="Z124" s="33" t="n"/>
      <c r="AA124" s="4">
        <f>R124-G124</f>
        <v/>
      </c>
      <c r="AB124" s="4">
        <f>G124-R124</f>
        <v/>
      </c>
      <c r="AC124" s="33" t="n"/>
    </row>
    <row r="125" ht="18.75" customHeight="1">
      <c r="A125" s="35">
        <f>SUBTOTAL(103,$B$24:B125)</f>
        <v/>
      </c>
      <c r="B125" s="36" t="inlineStr">
        <is>
          <t>Чашка з блюдцем порцелянові</t>
        </is>
      </c>
      <c r="C125" s="37" t="inlineStr">
        <is>
          <t>шт.</t>
        </is>
      </c>
      <c r="D125" s="33" t="n"/>
      <c r="E125" s="33" t="n"/>
      <c r="F125" s="33">
        <f>E125*0.05</f>
        <v/>
      </c>
      <c r="G125" s="33">
        <f>E125+F125</f>
        <v/>
      </c>
      <c r="H125" s="33" t="n"/>
      <c r="I125" s="33" t="n"/>
      <c r="J125" s="33" t="n"/>
      <c r="K125" s="33">
        <f>L125+M125+N125</f>
        <v/>
      </c>
      <c r="L125" s="33" t="n"/>
      <c r="M125" s="33" t="n"/>
      <c r="N125" s="33" t="n"/>
      <c r="O125" s="33">
        <f>P125+Q125</f>
        <v/>
      </c>
      <c r="P125" s="33" t="n"/>
      <c r="Q125" s="33" t="n"/>
      <c r="R125" s="33">
        <f>H125+K125-O125</f>
        <v/>
      </c>
      <c r="S125" s="33" t="n"/>
      <c r="T125" s="33" t="n"/>
      <c r="U125" s="33" t="n"/>
      <c r="V125" s="33" t="n"/>
      <c r="W125" s="33" t="n"/>
      <c r="X125" s="33" t="n"/>
      <c r="Y125" s="33" t="n"/>
      <c r="Z125" s="33" t="n"/>
      <c r="AA125" s="4">
        <f>R125-G125</f>
        <v/>
      </c>
      <c r="AB125" s="4">
        <f>G125-R125</f>
        <v/>
      </c>
      <c r="AC125" s="33" t="n"/>
    </row>
    <row r="126" ht="18.75" customHeight="1">
      <c r="A126" s="35">
        <f>SUBTOTAL(103,$B$24:B126)</f>
        <v/>
      </c>
      <c r="B126" s="36" t="inlineStr">
        <is>
          <t xml:space="preserve">Чашка з блюдцем чайні фарфорові </t>
        </is>
      </c>
      <c r="C126" s="37" t="inlineStr">
        <is>
          <t>шт.</t>
        </is>
      </c>
      <c r="D126" s="33" t="n"/>
      <c r="E126" s="33" t="n"/>
      <c r="F126" s="33">
        <f>E126*0.05</f>
        <v/>
      </c>
      <c r="G126" s="33">
        <f>E126+F126</f>
        <v/>
      </c>
      <c r="H126" s="33" t="n"/>
      <c r="I126" s="33" t="n"/>
      <c r="J126" s="33" t="n"/>
      <c r="K126" s="33">
        <f>L126+M126+N126</f>
        <v/>
      </c>
      <c r="L126" s="33" t="n"/>
      <c r="M126" s="33" t="n"/>
      <c r="N126" s="33" t="n"/>
      <c r="O126" s="33">
        <f>P126+Q126</f>
        <v/>
      </c>
      <c r="P126" s="33" t="n"/>
      <c r="Q126" s="33" t="n"/>
      <c r="R126" s="33">
        <f>H126+K126-O126</f>
        <v/>
      </c>
      <c r="S126" s="33" t="n"/>
      <c r="T126" s="33" t="n"/>
      <c r="U126" s="33" t="n"/>
      <c r="V126" s="33" t="n"/>
      <c r="W126" s="33" t="n"/>
      <c r="X126" s="33" t="n"/>
      <c r="Y126" s="33" t="n"/>
      <c r="Z126" s="33" t="n"/>
      <c r="AA126" s="4">
        <f>R126-G126</f>
        <v/>
      </c>
      <c r="AB126" s="4">
        <f>G126-R126</f>
        <v/>
      </c>
      <c r="AC126" s="33" t="n"/>
    </row>
    <row r="127" ht="18.75" customHeight="1">
      <c r="A127" s="35">
        <f>SUBTOTAL(103,$B$24:B127)</f>
        <v/>
      </c>
      <c r="B127" s="36" t="inlineStr">
        <is>
          <t xml:space="preserve">Чашка з блюдцем чайні скляна </t>
        </is>
      </c>
      <c r="C127" s="37" t="inlineStr">
        <is>
          <t>шт.</t>
        </is>
      </c>
      <c r="D127" s="33" t="n"/>
      <c r="E127" s="33" t="n"/>
      <c r="F127" s="33">
        <f>E127*0.05</f>
        <v/>
      </c>
      <c r="G127" s="33">
        <f>E127+F127</f>
        <v/>
      </c>
      <c r="H127" s="33" t="n"/>
      <c r="I127" s="33" t="n"/>
      <c r="J127" s="33" t="n"/>
      <c r="K127" s="33">
        <f>L127+M127+N127</f>
        <v/>
      </c>
      <c r="L127" s="33" t="n"/>
      <c r="M127" s="33" t="n"/>
      <c r="N127" s="33" t="n"/>
      <c r="O127" s="33">
        <f>P127+Q127</f>
        <v/>
      </c>
      <c r="P127" s="33" t="n"/>
      <c r="Q127" s="33" t="n"/>
      <c r="R127" s="33">
        <f>H127+K127-O127</f>
        <v/>
      </c>
      <c r="S127" s="33" t="n"/>
      <c r="T127" s="33" t="n"/>
      <c r="U127" s="33" t="n"/>
      <c r="V127" s="33" t="n"/>
      <c r="W127" s="33" t="n"/>
      <c r="X127" s="33" t="n"/>
      <c r="Y127" s="33" t="n"/>
      <c r="Z127" s="33" t="n"/>
      <c r="AA127" s="4">
        <f>R127-G127</f>
        <v/>
      </c>
      <c r="AB127" s="4">
        <f>G127-R127</f>
        <v/>
      </c>
      <c r="AC127" s="33" t="n"/>
    </row>
    <row r="128" ht="18.75" customHeight="1">
      <c r="A128" s="35">
        <f>SUBTOTAL(103,$B$24:B128)</f>
        <v/>
      </c>
      <c r="B128" s="36" t="inlineStr">
        <is>
          <t>Чашка з блюдцем кавові фарфорова</t>
        </is>
      </c>
      <c r="C128" s="37" t="inlineStr">
        <is>
          <t>шт.</t>
        </is>
      </c>
      <c r="D128" s="33" t="n"/>
      <c r="E128" s="33" t="n"/>
      <c r="F128" s="33">
        <f>E128*0.05</f>
        <v/>
      </c>
      <c r="G128" s="33">
        <f>E128+F128</f>
        <v/>
      </c>
      <c r="H128" s="33" t="n"/>
      <c r="I128" s="33" t="n"/>
      <c r="J128" s="33" t="n"/>
      <c r="K128" s="33">
        <f>L128+M128+N128</f>
        <v/>
      </c>
      <c r="L128" s="33" t="n"/>
      <c r="M128" s="33" t="n"/>
      <c r="N128" s="33" t="n"/>
      <c r="O128" s="33">
        <f>P128+Q128</f>
        <v/>
      </c>
      <c r="P128" s="33" t="n"/>
      <c r="Q128" s="33" t="n"/>
      <c r="R128" s="33">
        <f>H128+K128-O128</f>
        <v/>
      </c>
      <c r="S128" s="33" t="n"/>
      <c r="T128" s="33" t="n"/>
      <c r="U128" s="33" t="n"/>
      <c r="V128" s="33" t="n"/>
      <c r="W128" s="33" t="n"/>
      <c r="X128" s="33" t="n"/>
      <c r="Y128" s="33" t="n"/>
      <c r="Z128" s="33" t="n"/>
      <c r="AA128" s="4">
        <f>R128-G128</f>
        <v/>
      </c>
      <c r="AB128" s="4">
        <f>G128-R128</f>
        <v/>
      </c>
      <c r="AC128" s="33" t="n"/>
    </row>
    <row r="129" ht="18.75" customHeight="1">
      <c r="A129" s="35">
        <f>SUBTOTAL(103,$B$24:B129)</f>
        <v/>
      </c>
      <c r="B129" s="36" t="inlineStr">
        <is>
          <t>Чашка з блюдцем кавові скляна</t>
        </is>
      </c>
      <c r="C129" s="37" t="inlineStr">
        <is>
          <t>шт.</t>
        </is>
      </c>
      <c r="D129" s="33" t="n"/>
      <c r="E129" s="33" t="n"/>
      <c r="F129" s="33">
        <f>E129*0.05</f>
        <v/>
      </c>
      <c r="G129" s="33">
        <f>E129+F129</f>
        <v/>
      </c>
      <c r="H129" s="33" t="n"/>
      <c r="I129" s="33" t="n"/>
      <c r="J129" s="33" t="n"/>
      <c r="K129" s="33">
        <f>L129+M129+N129</f>
        <v/>
      </c>
      <c r="L129" s="33" t="n"/>
      <c r="M129" s="33" t="n"/>
      <c r="N129" s="33" t="n"/>
      <c r="O129" s="33">
        <f>P129+Q129</f>
        <v/>
      </c>
      <c r="P129" s="33" t="n"/>
      <c r="Q129" s="33" t="n"/>
      <c r="R129" s="33">
        <f>H129+K129-O129</f>
        <v/>
      </c>
      <c r="S129" s="33" t="n"/>
      <c r="T129" s="33" t="n"/>
      <c r="U129" s="33" t="n"/>
      <c r="V129" s="33" t="n"/>
      <c r="W129" s="33" t="n"/>
      <c r="X129" s="33" t="n"/>
      <c r="Y129" s="33" t="n"/>
      <c r="Z129" s="33" t="n"/>
      <c r="AA129" s="4">
        <f>R129-G129</f>
        <v/>
      </c>
      <c r="AB129" s="4">
        <f>G129-R129</f>
        <v/>
      </c>
      <c r="AC129" s="33" t="n"/>
    </row>
    <row r="130" ht="18.75" customHeight="1">
      <c r="A130" s="35">
        <f>SUBTOTAL(103,$B$24:B130)</f>
        <v/>
      </c>
      <c r="B130" s="36" t="inlineStr">
        <is>
          <t>Чашка кавова фарфорова</t>
        </is>
      </c>
      <c r="C130" s="37" t="inlineStr">
        <is>
          <t>шт.</t>
        </is>
      </c>
      <c r="D130" s="33" t="n"/>
      <c r="E130" s="33" t="n"/>
      <c r="F130" s="33">
        <f>E130*0.05</f>
        <v/>
      </c>
      <c r="G130" s="33">
        <f>E130+F130</f>
        <v/>
      </c>
      <c r="H130" s="33" t="n"/>
      <c r="I130" s="33" t="n"/>
      <c r="J130" s="33" t="n"/>
      <c r="K130" s="33">
        <f>L130+M130+N130</f>
        <v/>
      </c>
      <c r="L130" s="33" t="n"/>
      <c r="M130" s="33" t="n"/>
      <c r="N130" s="33" t="n"/>
      <c r="O130" s="33">
        <f>P130+Q130</f>
        <v/>
      </c>
      <c r="P130" s="33" t="n"/>
      <c r="Q130" s="33" t="n"/>
      <c r="R130" s="33">
        <f>H130+K130-O130</f>
        <v/>
      </c>
      <c r="S130" s="33" t="n"/>
      <c r="T130" s="33" t="n"/>
      <c r="U130" s="33" t="n"/>
      <c r="V130" s="33" t="n"/>
      <c r="W130" s="33" t="n"/>
      <c r="X130" s="33" t="n"/>
      <c r="Y130" s="33" t="n"/>
      <c r="Z130" s="33" t="n"/>
      <c r="AA130" s="4">
        <f>R130-G130</f>
        <v/>
      </c>
      <c r="AB130" s="4">
        <f>G130-R130</f>
        <v/>
      </c>
      <c r="AC130" s="33" t="n"/>
    </row>
    <row r="131" ht="18.75" customHeight="1">
      <c r="A131" s="35">
        <f>SUBTOTAL(103,$B$24:B131)</f>
        <v/>
      </c>
      <c r="B131" s="36" t="inlineStr">
        <is>
          <t>Чашка чайна фарфорова</t>
        </is>
      </c>
      <c r="C131" s="37" t="inlineStr">
        <is>
          <t>шт.</t>
        </is>
      </c>
      <c r="D131" s="33" t="n"/>
      <c r="E131" s="33" t="n"/>
      <c r="F131" s="33">
        <f>E131*0.05</f>
        <v/>
      </c>
      <c r="G131" s="33">
        <f>E131+F131</f>
        <v/>
      </c>
      <c r="H131" s="33" t="n"/>
      <c r="I131" s="33" t="n"/>
      <c r="J131" s="33" t="n"/>
      <c r="K131" s="33">
        <f>L131+M131+N131</f>
        <v/>
      </c>
      <c r="L131" s="33" t="n"/>
      <c r="M131" s="33" t="n"/>
      <c r="N131" s="33" t="n"/>
      <c r="O131" s="33">
        <f>P131+Q131</f>
        <v/>
      </c>
      <c r="P131" s="33" t="n"/>
      <c r="Q131" s="33" t="n"/>
      <c r="R131" s="33">
        <f>H131+K131-O131</f>
        <v/>
      </c>
      <c r="S131" s="33" t="n"/>
      <c r="T131" s="33" t="n"/>
      <c r="U131" s="33" t="n"/>
      <c r="V131" s="33" t="n"/>
      <c r="W131" s="33" t="n"/>
      <c r="X131" s="33" t="n"/>
      <c r="Y131" s="33" t="n"/>
      <c r="Z131" s="33" t="n"/>
      <c r="AA131" s="4">
        <f>R131-G131</f>
        <v/>
      </c>
      <c r="AB131" s="4">
        <f>G131-R131</f>
        <v/>
      </c>
      <c r="AC131" s="33" t="n"/>
    </row>
    <row r="132" ht="18.75" customHeight="1">
      <c r="A132" s="35">
        <f>SUBTOTAL(103,$B$24:B132)</f>
        <v/>
      </c>
      <c r="B132" s="36" t="inlineStr">
        <is>
          <t>Стакан керамічний</t>
        </is>
      </c>
      <c r="C132" s="37" t="inlineStr">
        <is>
          <t>шт.</t>
        </is>
      </c>
      <c r="D132" s="33" t="n"/>
      <c r="E132" s="33" t="n"/>
      <c r="F132" s="33">
        <f>E132*0.05</f>
        <v/>
      </c>
      <c r="G132" s="33">
        <f>E132+F132</f>
        <v/>
      </c>
      <c r="H132" s="33" t="n"/>
      <c r="I132" s="33" t="n"/>
      <c r="J132" s="33" t="n"/>
      <c r="K132" s="33">
        <f>L132+M132+N132</f>
        <v/>
      </c>
      <c r="L132" s="33" t="n"/>
      <c r="M132" s="33" t="n"/>
      <c r="N132" s="33" t="n"/>
      <c r="O132" s="33">
        <f>P132+Q132</f>
        <v/>
      </c>
      <c r="P132" s="33" t="n"/>
      <c r="Q132" s="33" t="n"/>
      <c r="R132" s="33">
        <f>H132+K132-O132</f>
        <v/>
      </c>
      <c r="S132" s="33" t="n"/>
      <c r="T132" s="33" t="n"/>
      <c r="U132" s="33" t="n"/>
      <c r="V132" s="33" t="n"/>
      <c r="W132" s="33" t="n"/>
      <c r="X132" s="33" t="n"/>
      <c r="Y132" s="33" t="n"/>
      <c r="Z132" s="33" t="n"/>
      <c r="AA132" s="4">
        <f>R132-G132</f>
        <v/>
      </c>
      <c r="AB132" s="4">
        <f>G132-R132</f>
        <v/>
      </c>
      <c r="AC132" s="33" t="n"/>
    </row>
    <row r="133" ht="18.75" customHeight="1">
      <c r="A133" s="35">
        <f>SUBTOTAL(103,$B$24:B133)</f>
        <v/>
      </c>
      <c r="B133" s="36" t="inlineStr">
        <is>
          <t>Стакан гранчастий</t>
        </is>
      </c>
      <c r="C133" s="37" t="inlineStr">
        <is>
          <t>шт.</t>
        </is>
      </c>
      <c r="D133" s="33" t="n"/>
      <c r="E133" s="33" t="n"/>
      <c r="F133" s="33">
        <f>E133*0.05</f>
        <v/>
      </c>
      <c r="G133" s="33">
        <f>E133+F133</f>
        <v/>
      </c>
      <c r="H133" s="33" t="n"/>
      <c r="I133" s="33" t="n"/>
      <c r="J133" s="33" t="n"/>
      <c r="K133" s="33">
        <f>L133+M133+N133</f>
        <v/>
      </c>
      <c r="L133" s="33" t="n"/>
      <c r="M133" s="33" t="n"/>
      <c r="N133" s="33" t="n"/>
      <c r="O133" s="33">
        <f>P133+Q133</f>
        <v/>
      </c>
      <c r="P133" s="33" t="n"/>
      <c r="Q133" s="33" t="n"/>
      <c r="R133" s="33">
        <f>H133+K133-O133</f>
        <v/>
      </c>
      <c r="S133" s="33" t="n"/>
      <c r="T133" s="33" t="n"/>
      <c r="U133" s="33" t="n"/>
      <c r="V133" s="33" t="n"/>
      <c r="W133" s="33" t="n"/>
      <c r="X133" s="33" t="n"/>
      <c r="Y133" s="33" t="n"/>
      <c r="Z133" s="33" t="n"/>
      <c r="AA133" s="4">
        <f>R133-G133</f>
        <v/>
      </c>
      <c r="AB133" s="4">
        <f>G133-R133</f>
        <v/>
      </c>
      <c r="AC133" s="33" t="n"/>
    </row>
    <row r="134" ht="18.75" customHeight="1">
      <c r="A134" s="35">
        <f>SUBTOTAL(103,$B$24:B134)</f>
        <v/>
      </c>
      <c r="B134" s="36" t="inlineStr">
        <is>
          <t>Стакан скляний великий</t>
        </is>
      </c>
      <c r="C134" s="37" t="inlineStr">
        <is>
          <t>шт.</t>
        </is>
      </c>
      <c r="D134" s="33" t="n"/>
      <c r="E134" s="33" t="n"/>
      <c r="F134" s="33">
        <f>E134*0.05</f>
        <v/>
      </c>
      <c r="G134" s="33">
        <f>E134+F134</f>
        <v/>
      </c>
      <c r="H134" s="33" t="n"/>
      <c r="I134" s="33" t="n"/>
      <c r="J134" s="33" t="n"/>
      <c r="K134" s="33">
        <f>L134+M134+N134</f>
        <v/>
      </c>
      <c r="L134" s="33" t="n"/>
      <c r="M134" s="33" t="n"/>
      <c r="N134" s="33" t="n"/>
      <c r="O134" s="33">
        <f>P134+Q134</f>
        <v/>
      </c>
      <c r="P134" s="33" t="n"/>
      <c r="Q134" s="33" t="n"/>
      <c r="R134" s="33">
        <f>H134+K134-O134</f>
        <v/>
      </c>
      <c r="S134" s="33" t="n"/>
      <c r="T134" s="33" t="n"/>
      <c r="U134" s="33" t="n"/>
      <c r="V134" s="33" t="n"/>
      <c r="W134" s="33" t="n"/>
      <c r="X134" s="33" t="n"/>
      <c r="Y134" s="33" t="n"/>
      <c r="Z134" s="33" t="n"/>
      <c r="AA134" s="4">
        <f>R134-G134</f>
        <v/>
      </c>
      <c r="AB134" s="4">
        <f>G134-R134</f>
        <v/>
      </c>
      <c r="AC134" s="33" t="n"/>
    </row>
    <row r="135" ht="18.75" customHeight="1">
      <c r="A135" s="35">
        <f>SUBTOTAL(103,$B$24:B135)</f>
        <v/>
      </c>
      <c r="B135" s="36" t="inlineStr">
        <is>
          <t>Стакан скляний великий</t>
        </is>
      </c>
      <c r="C135" s="37" t="inlineStr">
        <is>
          <t>шт.</t>
        </is>
      </c>
      <c r="D135" s="33" t="n"/>
      <c r="E135" s="33" t="n"/>
      <c r="F135" s="33">
        <f>E135*0.05</f>
        <v/>
      </c>
      <c r="G135" s="33">
        <f>E135+F135</f>
        <v/>
      </c>
      <c r="H135" s="33" t="n"/>
      <c r="I135" s="33" t="n"/>
      <c r="J135" s="33" t="n"/>
      <c r="K135" s="33">
        <f>L135+M135+N135</f>
        <v/>
      </c>
      <c r="L135" s="33" t="n"/>
      <c r="M135" s="33" t="n"/>
      <c r="N135" s="33" t="n"/>
      <c r="O135" s="33">
        <f>P135+Q135</f>
        <v/>
      </c>
      <c r="P135" s="33" t="n"/>
      <c r="Q135" s="33" t="n"/>
      <c r="R135" s="33">
        <f>H135+K135-O135</f>
        <v/>
      </c>
      <c r="S135" s="33" t="n"/>
      <c r="T135" s="33" t="n"/>
      <c r="U135" s="33" t="n"/>
      <c r="V135" s="33" t="n"/>
      <c r="W135" s="33" t="n"/>
      <c r="X135" s="33" t="n"/>
      <c r="Y135" s="33" t="n"/>
      <c r="Z135" s="33" t="n"/>
      <c r="AA135" s="4">
        <f>R135-G135</f>
        <v/>
      </c>
      <c r="AB135" s="4">
        <f>G135-R135</f>
        <v/>
      </c>
      <c r="AC135" s="33" t="n"/>
    </row>
    <row r="136" ht="18.75" customHeight="1">
      <c r="A136" s="35">
        <f>SUBTOTAL(103,$B$24:B136)</f>
        <v/>
      </c>
      <c r="B136" s="36" t="inlineStr">
        <is>
          <t xml:space="preserve">Стакан чайний тонкостінний </t>
        </is>
      </c>
      <c r="C136" s="37" t="inlineStr">
        <is>
          <t>шт.</t>
        </is>
      </c>
      <c r="D136" s="33" t="n"/>
      <c r="E136" s="33" t="n"/>
      <c r="F136" s="33">
        <f>E136*0.05</f>
        <v/>
      </c>
      <c r="G136" s="33">
        <f>E136+F136</f>
        <v/>
      </c>
      <c r="H136" s="33" t="n"/>
      <c r="I136" s="33" t="n"/>
      <c r="J136" s="33" t="n"/>
      <c r="K136" s="33">
        <f>L136+M136+N136</f>
        <v/>
      </c>
      <c r="L136" s="33" t="n"/>
      <c r="M136" s="33" t="n"/>
      <c r="N136" s="33" t="n"/>
      <c r="O136" s="33">
        <f>P136+Q136</f>
        <v/>
      </c>
      <c r="P136" s="33" t="n"/>
      <c r="Q136" s="33" t="n"/>
      <c r="R136" s="33">
        <f>H136+K136-O136</f>
        <v/>
      </c>
      <c r="S136" s="33" t="n"/>
      <c r="T136" s="33" t="n"/>
      <c r="U136" s="33" t="n"/>
      <c r="V136" s="33" t="n"/>
      <c r="W136" s="33" t="n"/>
      <c r="X136" s="33" t="n"/>
      <c r="Y136" s="33" t="n"/>
      <c r="Z136" s="33" t="n"/>
      <c r="AA136" s="4">
        <f>R136-G136</f>
        <v/>
      </c>
      <c r="AB136" s="4">
        <f>G136-R136</f>
        <v/>
      </c>
      <c r="AC136" s="33" t="n"/>
    </row>
    <row r="137" ht="18.75" customHeight="1">
      <c r="A137" s="35">
        <f>SUBTOTAL(103,$B$24:B137)</f>
        <v/>
      </c>
      <c r="B137" s="36" t="inlineStr">
        <is>
          <t>Підстаканник</t>
        </is>
      </c>
      <c r="C137" s="37" t="inlineStr">
        <is>
          <t>шт.</t>
        </is>
      </c>
      <c r="D137" s="33" t="n"/>
      <c r="E137" s="33" t="n"/>
      <c r="F137" s="33">
        <f>E137*0.05</f>
        <v/>
      </c>
      <c r="G137" s="33">
        <f>E137+F137</f>
        <v/>
      </c>
      <c r="H137" s="33" t="n"/>
      <c r="I137" s="33" t="n"/>
      <c r="J137" s="33" t="n"/>
      <c r="K137" s="33">
        <f>L137+M137+N137</f>
        <v/>
      </c>
      <c r="L137" s="33" t="n"/>
      <c r="M137" s="33" t="n"/>
      <c r="N137" s="33" t="n"/>
      <c r="O137" s="33">
        <f>P137+Q137</f>
        <v/>
      </c>
      <c r="P137" s="33" t="n"/>
      <c r="Q137" s="33" t="n"/>
      <c r="R137" s="33">
        <f>H137+K137-O137</f>
        <v/>
      </c>
      <c r="S137" s="33" t="n"/>
      <c r="T137" s="33" t="n"/>
      <c r="U137" s="33" t="n"/>
      <c r="V137" s="33" t="n"/>
      <c r="W137" s="33" t="n"/>
      <c r="X137" s="33" t="n"/>
      <c r="Y137" s="33" t="n"/>
      <c r="Z137" s="33" t="n"/>
      <c r="AA137" s="4">
        <f>R137-G137</f>
        <v/>
      </c>
      <c r="AB137" s="4">
        <f>G137-R137</f>
        <v/>
      </c>
      <c r="AC137" s="33" t="n"/>
    </row>
    <row r="138" ht="18.75" customHeight="1">
      <c r="A138" s="35">
        <f>SUBTOTAL(103,$B$24:B138)</f>
        <v/>
      </c>
      <c r="B138" s="36" t="inlineStr">
        <is>
          <t xml:space="preserve">Підставник алюмінієвий </t>
        </is>
      </c>
      <c r="C138" s="37" t="inlineStr">
        <is>
          <t>шт.</t>
        </is>
      </c>
      <c r="D138" s="33" t="n"/>
      <c r="E138" s="33" t="n"/>
      <c r="F138" s="33">
        <f>E138*0.05</f>
        <v/>
      </c>
      <c r="G138" s="33">
        <f>E138+F138</f>
        <v/>
      </c>
      <c r="H138" s="33" t="n"/>
      <c r="I138" s="33" t="n"/>
      <c r="J138" s="33" t="n"/>
      <c r="K138" s="33">
        <f>L138+M138+N138</f>
        <v/>
      </c>
      <c r="L138" s="33" t="n"/>
      <c r="M138" s="33" t="n"/>
      <c r="N138" s="33" t="n"/>
      <c r="O138" s="33">
        <f>P138+Q138</f>
        <v/>
      </c>
      <c r="P138" s="33" t="n"/>
      <c r="Q138" s="33" t="n"/>
      <c r="R138" s="33">
        <f>H138+K138-O138</f>
        <v/>
      </c>
      <c r="S138" s="33" t="n"/>
      <c r="T138" s="33" t="n"/>
      <c r="U138" s="33" t="n"/>
      <c r="V138" s="33" t="n"/>
      <c r="W138" s="33" t="n"/>
      <c r="X138" s="33" t="n"/>
      <c r="Y138" s="33" t="n"/>
      <c r="Z138" s="33" t="n"/>
      <c r="AA138" s="4">
        <f>R138-G138</f>
        <v/>
      </c>
      <c r="AB138" s="4">
        <f>G138-R138</f>
        <v/>
      </c>
      <c r="AC138" s="33" t="n"/>
    </row>
    <row r="139" ht="18.75" customHeight="1">
      <c r="A139" s="35">
        <f>SUBTOTAL(103,$B$24:B139)</f>
        <v/>
      </c>
      <c r="B139" s="36" t="inlineStr">
        <is>
          <t>Підставник з нержавіючої сталі</t>
        </is>
      </c>
      <c r="C139" s="37" t="inlineStr">
        <is>
          <t>шт.</t>
        </is>
      </c>
      <c r="D139" s="33" t="n"/>
      <c r="E139" s="33" t="n"/>
      <c r="F139" s="33">
        <f>E139*0.05</f>
        <v/>
      </c>
      <c r="G139" s="33">
        <f>E139+F139</f>
        <v/>
      </c>
      <c r="H139" s="33" t="n"/>
      <c r="I139" s="33" t="n"/>
      <c r="J139" s="33" t="n"/>
      <c r="K139" s="33">
        <f>L139+M139+N139</f>
        <v/>
      </c>
      <c r="L139" s="33" t="n"/>
      <c r="M139" s="33" t="n"/>
      <c r="N139" s="33" t="n"/>
      <c r="O139" s="33">
        <f>P139+Q139</f>
        <v/>
      </c>
      <c r="P139" s="33" t="n"/>
      <c r="Q139" s="33" t="n"/>
      <c r="R139" s="33">
        <f>H139+K139-O139</f>
        <v/>
      </c>
      <c r="S139" s="33" t="n"/>
      <c r="T139" s="33" t="n"/>
      <c r="U139" s="33" t="n"/>
      <c r="V139" s="33" t="n"/>
      <c r="W139" s="33" t="n"/>
      <c r="X139" s="33" t="n"/>
      <c r="Y139" s="33" t="n"/>
      <c r="Z139" s="33" t="n"/>
      <c r="AA139" s="4">
        <f>R139-G139</f>
        <v/>
      </c>
      <c r="AB139" s="4">
        <f>G139-R139</f>
        <v/>
      </c>
      <c r="AC139" s="33" t="n"/>
    </row>
    <row r="140" ht="18.75" customHeight="1">
      <c r="A140" s="35">
        <f>SUBTOTAL(103,$B$24:B140)</f>
        <v/>
      </c>
      <c r="B140" s="36" t="inlineStr">
        <is>
          <t>Стакан для соків скляний</t>
        </is>
      </c>
      <c r="C140" s="37" t="inlineStr">
        <is>
          <t>шт.</t>
        </is>
      </c>
      <c r="D140" s="33" t="n"/>
      <c r="E140" s="33" t="n"/>
      <c r="F140" s="33">
        <f>E140*0.05</f>
        <v/>
      </c>
      <c r="G140" s="33">
        <f>E140+F140</f>
        <v/>
      </c>
      <c r="H140" s="33" t="n"/>
      <c r="I140" s="33" t="n"/>
      <c r="J140" s="33" t="n"/>
      <c r="K140" s="33">
        <f>L140+M140+N140</f>
        <v/>
      </c>
      <c r="L140" s="33" t="n"/>
      <c r="M140" s="33" t="n"/>
      <c r="N140" s="33" t="n"/>
      <c r="O140" s="33">
        <f>P140+Q140</f>
        <v/>
      </c>
      <c r="P140" s="33" t="n"/>
      <c r="Q140" s="33" t="n"/>
      <c r="R140" s="33">
        <f>H140+K140-O140</f>
        <v/>
      </c>
      <c r="S140" s="33" t="n"/>
      <c r="T140" s="33" t="n"/>
      <c r="U140" s="33" t="n"/>
      <c r="V140" s="33" t="n"/>
      <c r="W140" s="33" t="n"/>
      <c r="X140" s="33" t="n"/>
      <c r="Y140" s="33" t="n"/>
      <c r="Z140" s="33" t="n"/>
      <c r="AA140" s="4">
        <f>R140-G140</f>
        <v/>
      </c>
      <c r="AB140" s="4">
        <f>G140-R140</f>
        <v/>
      </c>
      <c r="AC140" s="33" t="n"/>
    </row>
    <row r="141" ht="18.75" customHeight="1">
      <c r="A141" s="35">
        <f>SUBTOTAL(103,$B$24:B141)</f>
        <v/>
      </c>
      <c r="B141" s="36" t="inlineStr">
        <is>
          <t>Чарка скляні</t>
        </is>
      </c>
      <c r="C141" s="37" t="inlineStr">
        <is>
          <t>шт.</t>
        </is>
      </c>
      <c r="D141" s="33" t="n"/>
      <c r="E141" s="33" t="n"/>
      <c r="F141" s="33">
        <f>E141*0.05</f>
        <v/>
      </c>
      <c r="G141" s="33">
        <f>E141+F141</f>
        <v/>
      </c>
      <c r="H141" s="33" t="n"/>
      <c r="I141" s="33" t="n"/>
      <c r="J141" s="33" t="n"/>
      <c r="K141" s="33">
        <f>L141+M141+N141</f>
        <v/>
      </c>
      <c r="L141" s="33" t="n"/>
      <c r="M141" s="33" t="n"/>
      <c r="N141" s="33" t="n"/>
      <c r="O141" s="33">
        <f>P141+Q141</f>
        <v/>
      </c>
      <c r="P141" s="33" t="n"/>
      <c r="Q141" s="33" t="n"/>
      <c r="R141" s="33">
        <f>H141+K141-O141</f>
        <v/>
      </c>
      <c r="S141" s="33" t="n"/>
      <c r="T141" s="33" t="n"/>
      <c r="U141" s="33" t="n"/>
      <c r="V141" s="33" t="n"/>
      <c r="W141" s="33" t="n"/>
      <c r="X141" s="33" t="n"/>
      <c r="Y141" s="33" t="n"/>
      <c r="Z141" s="33" t="n"/>
      <c r="AA141" s="4">
        <f>R141-G141</f>
        <v/>
      </c>
      <c r="AB141" s="4">
        <f>G141-R141</f>
        <v/>
      </c>
      <c r="AC141" s="33" t="n"/>
    </row>
    <row r="142" ht="18.75" customHeight="1">
      <c r="A142" s="35">
        <f>SUBTOTAL(103,$B$24:B142)</f>
        <v/>
      </c>
      <c r="B142" s="36" t="inlineStr">
        <is>
          <t>Чарка алмазної грані</t>
        </is>
      </c>
      <c r="C142" s="37" t="inlineStr">
        <is>
          <t>шт.</t>
        </is>
      </c>
      <c r="D142" s="33" t="n"/>
      <c r="E142" s="33" t="n"/>
      <c r="F142" s="33">
        <f>E142*0.05</f>
        <v/>
      </c>
      <c r="G142" s="33">
        <f>E142+F142</f>
        <v/>
      </c>
      <c r="H142" s="33" t="n"/>
      <c r="I142" s="33" t="n"/>
      <c r="J142" s="33" t="n"/>
      <c r="K142" s="33">
        <f>L142+M142+N142</f>
        <v/>
      </c>
      <c r="L142" s="33" t="n"/>
      <c r="M142" s="33" t="n"/>
      <c r="N142" s="33" t="n"/>
      <c r="O142" s="33">
        <f>P142+Q142</f>
        <v/>
      </c>
      <c r="P142" s="33" t="n"/>
      <c r="Q142" s="33" t="n"/>
      <c r="R142" s="33">
        <f>H142+K142-O142</f>
        <v/>
      </c>
      <c r="S142" s="33" t="n"/>
      <c r="T142" s="33" t="n"/>
      <c r="U142" s="33" t="n"/>
      <c r="V142" s="33" t="n"/>
      <c r="W142" s="33" t="n"/>
      <c r="X142" s="33" t="n"/>
      <c r="Y142" s="33" t="n"/>
      <c r="Z142" s="33" t="n"/>
      <c r="AA142" s="4">
        <f>R142-G142</f>
        <v/>
      </c>
      <c r="AB142" s="4">
        <f>G142-R142</f>
        <v/>
      </c>
      <c r="AC142" s="33" t="n"/>
    </row>
    <row r="143" ht="18.75" customHeight="1">
      <c r="A143" s="35">
        <f>SUBTOTAL(103,$B$24:B143)</f>
        <v/>
      </c>
      <c r="B143" s="36" t="inlineStr">
        <is>
          <t>Чарка кришталеві</t>
        </is>
      </c>
      <c r="C143" s="37" t="inlineStr">
        <is>
          <t>шт.</t>
        </is>
      </c>
      <c r="D143" s="33" t="n"/>
      <c r="E143" s="33" t="n"/>
      <c r="F143" s="33">
        <f>E143*0.05</f>
        <v/>
      </c>
      <c r="G143" s="33">
        <f>E143+F143</f>
        <v/>
      </c>
      <c r="H143" s="33" t="n"/>
      <c r="I143" s="33" t="n"/>
      <c r="J143" s="33" t="n"/>
      <c r="K143" s="33">
        <f>L143+M143+N143</f>
        <v/>
      </c>
      <c r="L143" s="33" t="n"/>
      <c r="M143" s="33" t="n"/>
      <c r="N143" s="33" t="n"/>
      <c r="O143" s="33">
        <f>P143+Q143</f>
        <v/>
      </c>
      <c r="P143" s="33" t="n"/>
      <c r="Q143" s="33" t="n"/>
      <c r="R143" s="33">
        <f>H143+K143-O143</f>
        <v/>
      </c>
      <c r="S143" s="33" t="n"/>
      <c r="T143" s="33" t="n"/>
      <c r="U143" s="33" t="n"/>
      <c r="V143" s="33" t="n"/>
      <c r="W143" s="33" t="n"/>
      <c r="X143" s="33" t="n"/>
      <c r="Y143" s="33" t="n"/>
      <c r="Z143" s="33" t="n"/>
      <c r="AA143" s="4">
        <f>R143-G143</f>
        <v/>
      </c>
      <c r="AB143" s="4">
        <f>G143-R143</f>
        <v/>
      </c>
      <c r="AC143" s="33" t="n"/>
    </row>
    <row r="144" ht="18.75" customHeight="1">
      <c r="A144" s="35">
        <f>SUBTOTAL(103,$B$24:B144)</f>
        <v/>
      </c>
      <c r="B144" s="36" t="inlineStr">
        <is>
          <t>Бокал скляні</t>
        </is>
      </c>
      <c r="C144" s="37" t="inlineStr">
        <is>
          <t>шт.</t>
        </is>
      </c>
      <c r="D144" s="33" t="n"/>
      <c r="E144" s="33" t="n"/>
      <c r="F144" s="33">
        <f>E144*0.05</f>
        <v/>
      </c>
      <c r="G144" s="33">
        <f>E144+F144</f>
        <v/>
      </c>
      <c r="H144" s="33" t="n"/>
      <c r="I144" s="33" t="n"/>
      <c r="J144" s="33" t="n"/>
      <c r="K144" s="33">
        <f>L144+M144+N144</f>
        <v/>
      </c>
      <c r="L144" s="33" t="n"/>
      <c r="M144" s="33" t="n"/>
      <c r="N144" s="33" t="n"/>
      <c r="O144" s="33">
        <f>P144+Q144</f>
        <v/>
      </c>
      <c r="P144" s="33" t="n"/>
      <c r="Q144" s="33" t="n"/>
      <c r="R144" s="33">
        <f>H144+K144-O144</f>
        <v/>
      </c>
      <c r="S144" s="33" t="n"/>
      <c r="T144" s="33" t="n"/>
      <c r="U144" s="33" t="n"/>
      <c r="V144" s="33" t="n"/>
      <c r="W144" s="33" t="n"/>
      <c r="X144" s="33" t="n"/>
      <c r="Y144" s="33" t="n"/>
      <c r="Z144" s="33" t="n"/>
      <c r="AA144" s="4">
        <f>R144-G144</f>
        <v/>
      </c>
      <c r="AB144" s="4">
        <f>G144-R144</f>
        <v/>
      </c>
      <c r="AC144" s="33" t="n"/>
    </row>
    <row r="145" ht="18.75" customHeight="1">
      <c r="A145" s="35">
        <f>SUBTOTAL(103,$B$24:B145)</f>
        <v/>
      </c>
      <c r="B145" s="36" t="inlineStr">
        <is>
          <t>Бокал алмазної грані</t>
        </is>
      </c>
      <c r="C145" s="37" t="inlineStr">
        <is>
          <t>шт.</t>
        </is>
      </c>
      <c r="D145" s="33" t="n"/>
      <c r="E145" s="33" t="n"/>
      <c r="F145" s="33">
        <f>E145*0.05</f>
        <v/>
      </c>
      <c r="G145" s="33">
        <f>E145+F145</f>
        <v/>
      </c>
      <c r="H145" s="33" t="n"/>
      <c r="I145" s="33" t="n"/>
      <c r="J145" s="33" t="n"/>
      <c r="K145" s="33">
        <f>L145+M145+N145</f>
        <v/>
      </c>
      <c r="L145" s="33" t="n"/>
      <c r="M145" s="33" t="n"/>
      <c r="N145" s="33" t="n"/>
      <c r="O145" s="33">
        <f>P145+Q145</f>
        <v/>
      </c>
      <c r="P145" s="33" t="n"/>
      <c r="Q145" s="33" t="n"/>
      <c r="R145" s="33">
        <f>H145+K145-O145</f>
        <v/>
      </c>
      <c r="S145" s="33" t="n"/>
      <c r="T145" s="33" t="n"/>
      <c r="U145" s="33" t="n"/>
      <c r="V145" s="33" t="n"/>
      <c r="W145" s="33" t="n"/>
      <c r="X145" s="33" t="n"/>
      <c r="Y145" s="33" t="n"/>
      <c r="Z145" s="33" t="n"/>
      <c r="AA145" s="4">
        <f>R145-G145</f>
        <v/>
      </c>
      <c r="AB145" s="4">
        <f>G145-R145</f>
        <v/>
      </c>
      <c r="AC145" s="33" t="n"/>
    </row>
    <row r="146" ht="18.75" customHeight="1">
      <c r="A146" s="35">
        <f>SUBTOTAL(103,$B$24:B146)</f>
        <v/>
      </c>
      <c r="B146" s="36" t="inlineStr">
        <is>
          <t>Бокал кришталеві</t>
        </is>
      </c>
      <c r="C146" s="37" t="inlineStr">
        <is>
          <t>шт.</t>
        </is>
      </c>
      <c r="D146" s="33" t="n"/>
      <c r="E146" s="33" t="n"/>
      <c r="F146" s="33">
        <f>E146*0.05</f>
        <v/>
      </c>
      <c r="G146" s="33">
        <f>E146+F146</f>
        <v/>
      </c>
      <c r="H146" s="33" t="n"/>
      <c r="I146" s="33" t="n"/>
      <c r="J146" s="33" t="n"/>
      <c r="K146" s="33">
        <f>L146+M146+N146</f>
        <v/>
      </c>
      <c r="L146" s="33" t="n"/>
      <c r="M146" s="33" t="n"/>
      <c r="N146" s="33" t="n"/>
      <c r="O146" s="33">
        <f>P146+Q146</f>
        <v/>
      </c>
      <c r="P146" s="33" t="n"/>
      <c r="Q146" s="33" t="n"/>
      <c r="R146" s="33">
        <f>H146+K146-O146</f>
        <v/>
      </c>
      <c r="S146" s="33" t="n"/>
      <c r="T146" s="33" t="n"/>
      <c r="U146" s="33" t="n"/>
      <c r="V146" s="33" t="n"/>
      <c r="W146" s="33" t="n"/>
      <c r="X146" s="33" t="n"/>
      <c r="Y146" s="33" t="n"/>
      <c r="Z146" s="33" t="n"/>
      <c r="AA146" s="4">
        <f>R146-G146</f>
        <v/>
      </c>
      <c r="AB146" s="4">
        <f>G146-R146</f>
        <v/>
      </c>
      <c r="AC146" s="33" t="n"/>
    </row>
    <row r="147" ht="18.75" customHeight="1">
      <c r="A147" s="35">
        <f>SUBTOTAL(103,$B$24:B147)</f>
        <v/>
      </c>
      <c r="B147" s="36" t="inlineStr">
        <is>
          <t>Фужер скляні</t>
        </is>
      </c>
      <c r="C147" s="37" t="inlineStr">
        <is>
          <t>шт.</t>
        </is>
      </c>
      <c r="D147" s="33" t="n"/>
      <c r="E147" s="33" t="n"/>
      <c r="F147" s="33">
        <f>E147*0.05</f>
        <v/>
      </c>
      <c r="G147" s="33">
        <f>E147+F147</f>
        <v/>
      </c>
      <c r="H147" s="33" t="n"/>
      <c r="I147" s="33" t="n"/>
      <c r="J147" s="33" t="n"/>
      <c r="K147" s="33">
        <f>L147+M147+N147</f>
        <v/>
      </c>
      <c r="L147" s="33" t="n"/>
      <c r="M147" s="33" t="n"/>
      <c r="N147" s="33" t="n"/>
      <c r="O147" s="33">
        <f>P147+Q147</f>
        <v/>
      </c>
      <c r="P147" s="33" t="n"/>
      <c r="Q147" s="33" t="n"/>
      <c r="R147" s="33">
        <f>H147+K147-O147</f>
        <v/>
      </c>
      <c r="S147" s="33" t="n"/>
      <c r="T147" s="33" t="n"/>
      <c r="U147" s="33" t="n"/>
      <c r="V147" s="33" t="n"/>
      <c r="W147" s="33" t="n"/>
      <c r="X147" s="33" t="n"/>
      <c r="Y147" s="33" t="n"/>
      <c r="Z147" s="33" t="n"/>
      <c r="AA147" s="4">
        <f>R147-G147</f>
        <v/>
      </c>
      <c r="AB147" s="4">
        <f>G147-R147</f>
        <v/>
      </c>
      <c r="AC147" s="33" t="n"/>
    </row>
    <row r="148" ht="18.75" customHeight="1">
      <c r="A148" s="35">
        <f>SUBTOTAL(103,$B$24:B148)</f>
        <v/>
      </c>
      <c r="B148" s="36" t="inlineStr">
        <is>
          <t>Фужер алмазної грані</t>
        </is>
      </c>
      <c r="C148" s="37" t="inlineStr">
        <is>
          <t>шт.</t>
        </is>
      </c>
      <c r="D148" s="33" t="n"/>
      <c r="E148" s="33" t="n"/>
      <c r="F148" s="33">
        <f>E148*0.05</f>
        <v/>
      </c>
      <c r="G148" s="33">
        <f>E148+F148</f>
        <v/>
      </c>
      <c r="H148" s="33" t="n"/>
      <c r="I148" s="33" t="n"/>
      <c r="J148" s="33" t="n"/>
      <c r="K148" s="33">
        <f>L148+M148+N148</f>
        <v/>
      </c>
      <c r="L148" s="33" t="n"/>
      <c r="M148" s="33" t="n"/>
      <c r="N148" s="33" t="n"/>
      <c r="O148" s="33">
        <f>P148+Q148</f>
        <v/>
      </c>
      <c r="P148" s="33" t="n"/>
      <c r="Q148" s="33" t="n"/>
      <c r="R148" s="33">
        <f>H148+K148-O148</f>
        <v/>
      </c>
      <c r="S148" s="33" t="n"/>
      <c r="T148" s="33" t="n"/>
      <c r="U148" s="33" t="n"/>
      <c r="V148" s="33" t="n"/>
      <c r="W148" s="33" t="n"/>
      <c r="X148" s="33" t="n"/>
      <c r="Y148" s="33" t="n"/>
      <c r="Z148" s="33" t="n"/>
      <c r="AA148" s="4">
        <f>R148-G148</f>
        <v/>
      </c>
      <c r="AB148" s="4">
        <f>G148-R148</f>
        <v/>
      </c>
      <c r="AC148" s="33" t="n"/>
    </row>
    <row r="149" ht="18.75" customHeight="1">
      <c r="A149" s="35">
        <f>SUBTOTAL(103,$B$24:B149)</f>
        <v/>
      </c>
      <c r="B149" s="36" t="inlineStr">
        <is>
          <t>Фужер кришталеві</t>
        </is>
      </c>
      <c r="C149" s="37" t="inlineStr">
        <is>
          <t>шт.</t>
        </is>
      </c>
      <c r="D149" s="33" t="n"/>
      <c r="E149" s="33" t="n"/>
      <c r="F149" s="33">
        <f>E149*0.05</f>
        <v/>
      </c>
      <c r="G149" s="33">
        <f>E149+F149</f>
        <v/>
      </c>
      <c r="H149" s="33" t="n"/>
      <c r="I149" s="33" t="n"/>
      <c r="J149" s="33" t="n"/>
      <c r="K149" s="33">
        <f>L149+M149+N149</f>
        <v/>
      </c>
      <c r="L149" s="33" t="n"/>
      <c r="M149" s="33" t="n"/>
      <c r="N149" s="33" t="n"/>
      <c r="O149" s="33">
        <f>P149+Q149</f>
        <v/>
      </c>
      <c r="P149" s="33" t="n"/>
      <c r="Q149" s="33" t="n"/>
      <c r="R149" s="33">
        <f>H149+K149-O149</f>
        <v/>
      </c>
      <c r="S149" s="33" t="n"/>
      <c r="T149" s="33" t="n"/>
      <c r="U149" s="33" t="n"/>
      <c r="V149" s="33" t="n"/>
      <c r="W149" s="33" t="n"/>
      <c r="X149" s="33" t="n"/>
      <c r="Y149" s="33" t="n"/>
      <c r="Z149" s="33" t="n"/>
      <c r="AA149" s="4">
        <f>R149-G149</f>
        <v/>
      </c>
      <c r="AB149" s="4">
        <f>G149-R149</f>
        <v/>
      </c>
      <c r="AC149" s="33" t="n"/>
    </row>
    <row r="150" ht="18.75" customHeight="1">
      <c r="A150" s="35">
        <f>SUBTOTAL(103,$B$24:B150)</f>
        <v/>
      </c>
      <c r="B150" s="36" t="inlineStr">
        <is>
          <t>Ложка столова алюмінієва</t>
        </is>
      </c>
      <c r="C150" s="37" t="inlineStr">
        <is>
          <t>шт.</t>
        </is>
      </c>
      <c r="D150" s="33" t="n"/>
      <c r="E150" s="33" t="n"/>
      <c r="F150" s="33">
        <f>E150*0.05</f>
        <v/>
      </c>
      <c r="G150" s="33">
        <f>E150+F150</f>
        <v/>
      </c>
      <c r="H150" s="33" t="n"/>
      <c r="I150" s="33" t="n"/>
      <c r="J150" s="33" t="n"/>
      <c r="K150" s="33">
        <f>L150+M150+N150</f>
        <v/>
      </c>
      <c r="L150" s="33" t="n"/>
      <c r="M150" s="33" t="n"/>
      <c r="N150" s="33" t="n"/>
      <c r="O150" s="33">
        <f>P150+Q150</f>
        <v/>
      </c>
      <c r="P150" s="33" t="n"/>
      <c r="Q150" s="33" t="n"/>
      <c r="R150" s="33">
        <f>H150+K150-O150</f>
        <v/>
      </c>
      <c r="S150" s="33" t="n"/>
      <c r="T150" s="33" t="n"/>
      <c r="U150" s="33" t="n"/>
      <c r="V150" s="33" t="n"/>
      <c r="W150" s="33" t="n"/>
      <c r="X150" s="33" t="n"/>
      <c r="Y150" s="33" t="n"/>
      <c r="Z150" s="33" t="n"/>
      <c r="AA150" s="4">
        <f>R150-G150</f>
        <v/>
      </c>
      <c r="AB150" s="4">
        <f>G150-R150</f>
        <v/>
      </c>
      <c r="AC150" s="33" t="n"/>
    </row>
    <row r="151" ht="18.75" customHeight="1">
      <c r="A151" s="35">
        <f>SUBTOTAL(103,$B$24:B151)</f>
        <v/>
      </c>
      <c r="B151" s="36" t="inlineStr">
        <is>
          <t xml:space="preserve">Ложка столова з нержавіючої сталі </t>
        </is>
      </c>
      <c r="C151" s="37" t="inlineStr">
        <is>
          <t>шт.</t>
        </is>
      </c>
      <c r="D151" s="33" t="n"/>
      <c r="E151" s="33" t="n"/>
      <c r="F151" s="33">
        <f>E151*0.05</f>
        <v/>
      </c>
      <c r="G151" s="33">
        <f>E151+F151</f>
        <v/>
      </c>
      <c r="H151" s="33" t="n"/>
      <c r="I151" s="33" t="n"/>
      <c r="J151" s="33" t="n"/>
      <c r="K151" s="33">
        <f>L151+M151+N151</f>
        <v/>
      </c>
      <c r="L151" s="33" t="n"/>
      <c r="M151" s="33" t="n"/>
      <c r="N151" s="33" t="n"/>
      <c r="O151" s="33">
        <f>P151+Q151</f>
        <v/>
      </c>
      <c r="P151" s="33" t="n"/>
      <c r="Q151" s="33" t="n"/>
      <c r="R151" s="33">
        <f>H151+K151-O151</f>
        <v/>
      </c>
      <c r="S151" s="33" t="n"/>
      <c r="T151" s="33" t="n"/>
      <c r="U151" s="33" t="n"/>
      <c r="V151" s="33" t="n"/>
      <c r="W151" s="33" t="n"/>
      <c r="X151" s="33" t="n"/>
      <c r="Y151" s="33" t="n"/>
      <c r="Z151" s="33" t="n"/>
      <c r="AA151" s="4">
        <f>R151-G151</f>
        <v/>
      </c>
      <c r="AB151" s="4">
        <f>G151-R151</f>
        <v/>
      </c>
      <c r="AC151" s="33" t="n"/>
    </row>
    <row r="152" ht="18.75" customHeight="1">
      <c r="A152" s="35">
        <f>SUBTOTAL(103,$B$24:B152)</f>
        <v/>
      </c>
      <c r="B152" s="36" t="inlineStr">
        <is>
          <t xml:space="preserve">Ложка столова мельхіорова </t>
        </is>
      </c>
      <c r="C152" s="37" t="inlineStr">
        <is>
          <t>шт.</t>
        </is>
      </c>
      <c r="D152" s="33" t="n"/>
      <c r="E152" s="33" t="n"/>
      <c r="F152" s="33">
        <f>E152*0.05</f>
        <v/>
      </c>
      <c r="G152" s="33">
        <f>E152+F152</f>
        <v/>
      </c>
      <c r="H152" s="33" t="n"/>
      <c r="I152" s="33" t="n"/>
      <c r="J152" s="33" t="n"/>
      <c r="K152" s="33">
        <f>L152+M152+N152</f>
        <v/>
      </c>
      <c r="L152" s="33" t="n"/>
      <c r="M152" s="33" t="n"/>
      <c r="N152" s="33" t="n"/>
      <c r="O152" s="33">
        <f>P152+Q152</f>
        <v/>
      </c>
      <c r="P152" s="33" t="n"/>
      <c r="Q152" s="33" t="n"/>
      <c r="R152" s="33">
        <f>H152+K152-O152</f>
        <v/>
      </c>
      <c r="S152" s="33" t="n"/>
      <c r="T152" s="33" t="n"/>
      <c r="U152" s="33" t="n"/>
      <c r="V152" s="33" t="n"/>
      <c r="W152" s="33" t="n"/>
      <c r="X152" s="33" t="n"/>
      <c r="Y152" s="33" t="n"/>
      <c r="Z152" s="33" t="n"/>
      <c r="AA152" s="4">
        <f>R152-G152</f>
        <v/>
      </c>
      <c r="AB152" s="4">
        <f>G152-R152</f>
        <v/>
      </c>
      <c r="AC152" s="33" t="n"/>
    </row>
    <row r="153" ht="37.5" customHeight="1">
      <c r="A153" s="35">
        <f>SUBTOTAL(103,$B$24:B153)</f>
        <v/>
      </c>
      <c r="B153" s="36" t="inlineStr">
        <is>
          <t>Ложка столова дитяча з нержавіючої сталі</t>
        </is>
      </c>
      <c r="C153" s="37" t="inlineStr">
        <is>
          <t>шт.</t>
        </is>
      </c>
      <c r="D153" s="33" t="n"/>
      <c r="E153" s="33" t="n"/>
      <c r="F153" s="33">
        <f>E153*0.05</f>
        <v/>
      </c>
      <c r="G153" s="33">
        <f>E153+F153</f>
        <v/>
      </c>
      <c r="H153" s="33" t="n"/>
      <c r="I153" s="33" t="n"/>
      <c r="J153" s="33" t="n"/>
      <c r="K153" s="33">
        <f>L153+M153+N153</f>
        <v/>
      </c>
      <c r="L153" s="33" t="n"/>
      <c r="M153" s="33" t="n"/>
      <c r="N153" s="33" t="n"/>
      <c r="O153" s="33">
        <f>P153+Q153</f>
        <v/>
      </c>
      <c r="P153" s="33" t="n"/>
      <c r="Q153" s="33" t="n"/>
      <c r="R153" s="33">
        <f>H153+K153-O153</f>
        <v/>
      </c>
      <c r="S153" s="33" t="n"/>
      <c r="T153" s="33" t="n"/>
      <c r="U153" s="33" t="n"/>
      <c r="V153" s="33" t="n"/>
      <c r="W153" s="33" t="n"/>
      <c r="X153" s="33" t="n"/>
      <c r="Y153" s="33" t="n"/>
      <c r="Z153" s="33" t="n"/>
      <c r="AA153" s="4">
        <f>R153-G153</f>
        <v/>
      </c>
      <c r="AB153" s="4">
        <f>G153-R153</f>
        <v/>
      </c>
      <c r="AC153" s="33" t="n"/>
    </row>
    <row r="154" ht="18.75" customHeight="1">
      <c r="A154" s="35">
        <f>SUBTOTAL(103,$B$24:B154)</f>
        <v/>
      </c>
      <c r="B154" s="36" t="inlineStr">
        <is>
          <t>Ложка чайна алюмінієва</t>
        </is>
      </c>
      <c r="C154" s="37" t="inlineStr">
        <is>
          <t>шт.</t>
        </is>
      </c>
      <c r="D154" s="33" t="n"/>
      <c r="E154" s="33" t="n"/>
      <c r="F154" s="33">
        <f>E154*0.05</f>
        <v/>
      </c>
      <c r="G154" s="33">
        <f>E154+F154</f>
        <v/>
      </c>
      <c r="H154" s="33" t="n"/>
      <c r="I154" s="33" t="n"/>
      <c r="J154" s="33" t="n"/>
      <c r="K154" s="33">
        <f>L154+M154+N154</f>
        <v/>
      </c>
      <c r="L154" s="33" t="n"/>
      <c r="M154" s="33" t="n"/>
      <c r="N154" s="33" t="n"/>
      <c r="O154" s="33">
        <f>P154+Q154</f>
        <v/>
      </c>
      <c r="P154" s="33" t="n"/>
      <c r="Q154" s="33" t="n"/>
      <c r="R154" s="33">
        <f>H154+K154-O154</f>
        <v/>
      </c>
      <c r="S154" s="33" t="n"/>
      <c r="T154" s="33" t="n"/>
      <c r="U154" s="33" t="n"/>
      <c r="V154" s="33" t="n"/>
      <c r="W154" s="33" t="n"/>
      <c r="X154" s="33" t="n"/>
      <c r="Y154" s="33" t="n"/>
      <c r="Z154" s="33" t="n"/>
      <c r="AA154" s="4">
        <f>R154-G154</f>
        <v/>
      </c>
      <c r="AB154" s="4">
        <f>G154-R154</f>
        <v/>
      </c>
      <c r="AC154" s="33" t="n"/>
    </row>
    <row r="155" ht="18.75" customHeight="1">
      <c r="A155" s="35">
        <f>SUBTOTAL(103,$B$24:B155)</f>
        <v/>
      </c>
      <c r="B155" s="36" t="inlineStr">
        <is>
          <t>Ложка чайна з нержавіючої сталі</t>
        </is>
      </c>
      <c r="C155" s="37" t="inlineStr">
        <is>
          <t>шт.</t>
        </is>
      </c>
      <c r="D155" s="33" t="n"/>
      <c r="E155" s="33" t="n"/>
      <c r="F155" s="33">
        <f>E155*0.05</f>
        <v/>
      </c>
      <c r="G155" s="33">
        <f>E155+F155</f>
        <v/>
      </c>
      <c r="H155" s="33" t="n"/>
      <c r="I155" s="33" t="n"/>
      <c r="J155" s="33" t="n"/>
      <c r="K155" s="33">
        <f>L155+M155+N155</f>
        <v/>
      </c>
      <c r="L155" s="33" t="n"/>
      <c r="M155" s="33" t="n"/>
      <c r="N155" s="33" t="n"/>
      <c r="O155" s="33">
        <f>P155+Q155</f>
        <v/>
      </c>
      <c r="P155" s="33" t="n"/>
      <c r="Q155" s="33" t="n"/>
      <c r="R155" s="33">
        <f>H155+K155-O155</f>
        <v/>
      </c>
      <c r="S155" s="33" t="n"/>
      <c r="T155" s="33" t="n"/>
      <c r="U155" s="33" t="n"/>
      <c r="V155" s="33" t="n"/>
      <c r="W155" s="33" t="n"/>
      <c r="X155" s="33" t="n"/>
      <c r="Y155" s="33" t="n"/>
      <c r="Z155" s="33" t="n"/>
      <c r="AA155" s="4">
        <f>R155-G155</f>
        <v/>
      </c>
      <c r="AB155" s="4">
        <f>G155-R155</f>
        <v/>
      </c>
      <c r="AC155" s="33" t="n"/>
    </row>
    <row r="156" ht="18.75" customHeight="1">
      <c r="A156" s="35">
        <f>SUBTOTAL(103,$B$24:B156)</f>
        <v/>
      </c>
      <c r="B156" s="36" t="inlineStr">
        <is>
          <t>Ложка чайна мельхіорова</t>
        </is>
      </c>
      <c r="C156" s="37" t="inlineStr">
        <is>
          <t>шт.</t>
        </is>
      </c>
      <c r="D156" s="33" t="n"/>
      <c r="E156" s="33" t="n"/>
      <c r="F156" s="33">
        <f>E156*0.05</f>
        <v/>
      </c>
      <c r="G156" s="33">
        <f>E156+F156</f>
        <v/>
      </c>
      <c r="H156" s="33" t="n"/>
      <c r="I156" s="33" t="n"/>
      <c r="J156" s="33" t="n"/>
      <c r="K156" s="33">
        <f>L156+M156+N156</f>
        <v/>
      </c>
      <c r="L156" s="33" t="n"/>
      <c r="M156" s="33" t="n"/>
      <c r="N156" s="33" t="n"/>
      <c r="O156" s="33">
        <f>P156+Q156</f>
        <v/>
      </c>
      <c r="P156" s="33" t="n"/>
      <c r="Q156" s="33" t="n"/>
      <c r="R156" s="33">
        <f>H156+K156-O156</f>
        <v/>
      </c>
      <c r="S156" s="33" t="n"/>
      <c r="T156" s="33" t="n"/>
      <c r="U156" s="33" t="n"/>
      <c r="V156" s="33" t="n"/>
      <c r="W156" s="33" t="n"/>
      <c r="X156" s="33" t="n"/>
      <c r="Y156" s="33" t="n"/>
      <c r="Z156" s="33" t="n"/>
      <c r="AA156" s="4">
        <f>R156-G156</f>
        <v/>
      </c>
      <c r="AB156" s="4">
        <f>G156-R156</f>
        <v/>
      </c>
      <c r="AC156" s="33" t="n"/>
    </row>
    <row r="157" ht="18.75" customHeight="1">
      <c r="A157" s="35">
        <f>SUBTOTAL(103,$B$24:B157)</f>
        <v/>
      </c>
      <c r="B157" s="36" t="inlineStr">
        <is>
          <t>Ложки кавові н/сталі</t>
        </is>
      </c>
      <c r="C157" s="37" t="inlineStr">
        <is>
          <t>шт.</t>
        </is>
      </c>
      <c r="D157" s="33" t="n"/>
      <c r="E157" s="33" t="n"/>
      <c r="F157" s="33">
        <f>E157*0.05</f>
        <v/>
      </c>
      <c r="G157" s="33">
        <f>E157+F157</f>
        <v/>
      </c>
      <c r="H157" s="33" t="n"/>
      <c r="I157" s="33" t="n"/>
      <c r="J157" s="33" t="n"/>
      <c r="K157" s="33">
        <f>L157+M157+N157</f>
        <v/>
      </c>
      <c r="L157" s="33" t="n"/>
      <c r="M157" s="33" t="n"/>
      <c r="N157" s="33" t="n"/>
      <c r="O157" s="33">
        <f>P157+Q157</f>
        <v/>
      </c>
      <c r="P157" s="33" t="n"/>
      <c r="Q157" s="33" t="n"/>
      <c r="R157" s="33">
        <f>H157+K157-O157</f>
        <v/>
      </c>
      <c r="S157" s="33" t="n"/>
      <c r="T157" s="33" t="n"/>
      <c r="U157" s="33" t="n"/>
      <c r="V157" s="33" t="n"/>
      <c r="W157" s="33" t="n"/>
      <c r="X157" s="33" t="n"/>
      <c r="Y157" s="33" t="n"/>
      <c r="Z157" s="33" t="n"/>
      <c r="AA157" s="4">
        <f>R157-G157</f>
        <v/>
      </c>
      <c r="AB157" s="4">
        <f>G157-R157</f>
        <v/>
      </c>
      <c r="AC157" s="33" t="n"/>
    </row>
    <row r="158" ht="18.75" customHeight="1">
      <c r="A158" s="35">
        <f>SUBTOTAL(103,$B$24:B158)</f>
        <v/>
      </c>
      <c r="B158" s="36" t="inlineStr">
        <is>
          <t>Ложка десертна з нержавіючої сталі</t>
        </is>
      </c>
      <c r="C158" s="37" t="inlineStr">
        <is>
          <t>шт.</t>
        </is>
      </c>
      <c r="D158" s="33" t="n"/>
      <c r="E158" s="33" t="n"/>
      <c r="F158" s="33">
        <f>E158*0.05</f>
        <v/>
      </c>
      <c r="G158" s="33">
        <f>E158+F158</f>
        <v/>
      </c>
      <c r="H158" s="33" t="n"/>
      <c r="I158" s="33" t="n"/>
      <c r="J158" s="33" t="n"/>
      <c r="K158" s="33">
        <f>L158+M158+N158</f>
        <v/>
      </c>
      <c r="L158" s="33" t="n"/>
      <c r="M158" s="33" t="n"/>
      <c r="N158" s="33" t="n"/>
      <c r="O158" s="33">
        <f>P158+Q158</f>
        <v/>
      </c>
      <c r="P158" s="33" t="n"/>
      <c r="Q158" s="33" t="n"/>
      <c r="R158" s="33">
        <f>H158+K158-O158</f>
        <v/>
      </c>
      <c r="S158" s="33" t="n"/>
      <c r="T158" s="33" t="n"/>
      <c r="U158" s="33" t="n"/>
      <c r="V158" s="33" t="n"/>
      <c r="W158" s="33" t="n"/>
      <c r="X158" s="33" t="n"/>
      <c r="Y158" s="33" t="n"/>
      <c r="Z158" s="33" t="n"/>
      <c r="AA158" s="4">
        <f>R158-G158</f>
        <v/>
      </c>
      <c r="AB158" s="4">
        <f>G158-R158</f>
        <v/>
      </c>
      <c r="AC158" s="33" t="n"/>
    </row>
    <row r="159" ht="18.75" customHeight="1">
      <c r="A159" s="35">
        <f>SUBTOTAL(103,$B$24:B159)</f>
        <v/>
      </c>
      <c r="B159" s="36" t="inlineStr">
        <is>
          <t>Ложка розливна алюмінієва</t>
        </is>
      </c>
      <c r="C159" s="37" t="inlineStr">
        <is>
          <t>шт.</t>
        </is>
      </c>
      <c r="D159" s="33" t="n"/>
      <c r="E159" s="33" t="n"/>
      <c r="F159" s="33">
        <f>E159*0.05</f>
        <v/>
      </c>
      <c r="G159" s="33">
        <f>E159+F159</f>
        <v/>
      </c>
      <c r="H159" s="33" t="n"/>
      <c r="I159" s="33" t="n"/>
      <c r="J159" s="33" t="n"/>
      <c r="K159" s="33">
        <f>L159+M159+N159</f>
        <v/>
      </c>
      <c r="L159" s="33" t="n"/>
      <c r="M159" s="33" t="n"/>
      <c r="N159" s="33" t="n"/>
      <c r="O159" s="33">
        <f>P159+Q159</f>
        <v/>
      </c>
      <c r="P159" s="33" t="n"/>
      <c r="Q159" s="33" t="n"/>
      <c r="R159" s="33">
        <f>H159+K159-O159</f>
        <v/>
      </c>
      <c r="S159" s="33" t="n"/>
      <c r="T159" s="33" t="n"/>
      <c r="U159" s="33" t="n"/>
      <c r="V159" s="33" t="n"/>
      <c r="W159" s="33" t="n"/>
      <c r="X159" s="33" t="n"/>
      <c r="Y159" s="33" t="n"/>
      <c r="Z159" s="33" t="n"/>
      <c r="AA159" s="4">
        <f>R159-G159</f>
        <v/>
      </c>
      <c r="AB159" s="4">
        <f>G159-R159</f>
        <v/>
      </c>
      <c r="AC159" s="33" t="n"/>
    </row>
    <row r="160" ht="18.75" customHeight="1">
      <c r="A160" s="35">
        <f>SUBTOTAL(103,$B$24:B160)</f>
        <v/>
      </c>
      <c r="B160" s="36" t="inlineStr">
        <is>
          <t>Ложка для опрацювання свіжого хліба</t>
        </is>
      </c>
      <c r="C160" s="37" t="inlineStr">
        <is>
          <t>шт.</t>
        </is>
      </c>
      <c r="D160" s="33" t="n"/>
      <c r="E160" s="33" t="n"/>
      <c r="F160" s="33">
        <f>E160*0.05</f>
        <v/>
      </c>
      <c r="G160" s="33">
        <f>E160+F160</f>
        <v/>
      </c>
      <c r="H160" s="33" t="n"/>
      <c r="I160" s="33" t="n"/>
      <c r="J160" s="33" t="n"/>
      <c r="K160" s="33">
        <f>L160+M160+N160</f>
        <v/>
      </c>
      <c r="L160" s="33" t="n"/>
      <c r="M160" s="33" t="n"/>
      <c r="N160" s="33" t="n"/>
      <c r="O160" s="33">
        <f>P160+Q160</f>
        <v/>
      </c>
      <c r="P160" s="33" t="n"/>
      <c r="Q160" s="33" t="n"/>
      <c r="R160" s="33">
        <f>H160+K160-O160</f>
        <v/>
      </c>
      <c r="S160" s="33" t="n"/>
      <c r="T160" s="33" t="n"/>
      <c r="U160" s="33" t="n"/>
      <c r="V160" s="33" t="n"/>
      <c r="W160" s="33" t="n"/>
      <c r="X160" s="33" t="n"/>
      <c r="Y160" s="33" t="n"/>
      <c r="Z160" s="33" t="n"/>
      <c r="AA160" s="4">
        <f>R160-G160</f>
        <v/>
      </c>
      <c r="AB160" s="4">
        <f>G160-R160</f>
        <v/>
      </c>
      <c r="AC160" s="33" t="n"/>
    </row>
    <row r="161" ht="18.75" customHeight="1">
      <c r="A161" s="35">
        <f>SUBTOTAL(103,$B$24:B161)</f>
        <v/>
      </c>
      <c r="B161" s="36" t="inlineStr">
        <is>
          <t xml:space="preserve">Ложка розливна з нержавіючої сталі </t>
        </is>
      </c>
      <c r="C161" s="37" t="inlineStr">
        <is>
          <t>шт.</t>
        </is>
      </c>
      <c r="D161" s="33" t="n"/>
      <c r="E161" s="33" t="n"/>
      <c r="F161" s="33">
        <f>E161*0.05</f>
        <v/>
      </c>
      <c r="G161" s="33">
        <f>E161+F161</f>
        <v/>
      </c>
      <c r="H161" s="33" t="n"/>
      <c r="I161" s="33" t="n"/>
      <c r="J161" s="33" t="n"/>
      <c r="K161" s="33">
        <f>L161+M161+N161</f>
        <v/>
      </c>
      <c r="L161" s="33" t="n"/>
      <c r="M161" s="33" t="n"/>
      <c r="N161" s="33" t="n"/>
      <c r="O161" s="33">
        <f>P161+Q161</f>
        <v/>
      </c>
      <c r="P161" s="33" t="n"/>
      <c r="Q161" s="33" t="n"/>
      <c r="R161" s="33">
        <f>H161+K161-O161</f>
        <v/>
      </c>
      <c r="S161" s="33" t="n"/>
      <c r="T161" s="33" t="n"/>
      <c r="U161" s="33" t="n"/>
      <c r="V161" s="33" t="n"/>
      <c r="W161" s="33" t="n"/>
      <c r="X161" s="33" t="n"/>
      <c r="Y161" s="33" t="n"/>
      <c r="Z161" s="33" t="n"/>
      <c r="AA161" s="4">
        <f>R161-G161</f>
        <v/>
      </c>
      <c r="AB161" s="4">
        <f>G161-R161</f>
        <v/>
      </c>
      <c r="AC161" s="33" t="n"/>
    </row>
    <row r="162" ht="18.75" customHeight="1">
      <c r="A162" s="35">
        <f>SUBTOTAL(103,$B$24:B162)</f>
        <v/>
      </c>
      <c r="B162" s="36" t="inlineStr">
        <is>
          <t xml:space="preserve">Ложка гарнірна </t>
        </is>
      </c>
      <c r="C162" s="37" t="inlineStr">
        <is>
          <t>шт.</t>
        </is>
      </c>
      <c r="D162" s="33" t="n"/>
      <c r="E162" s="33" t="n"/>
      <c r="F162" s="33">
        <f>E162*0.05</f>
        <v/>
      </c>
      <c r="G162" s="33">
        <f>E162+F162</f>
        <v/>
      </c>
      <c r="H162" s="33" t="n"/>
      <c r="I162" s="33" t="n"/>
      <c r="J162" s="33" t="n"/>
      <c r="K162" s="33">
        <f>L162+M162+N162</f>
        <v/>
      </c>
      <c r="L162" s="33" t="n"/>
      <c r="M162" s="33" t="n"/>
      <c r="N162" s="33" t="n"/>
      <c r="O162" s="33">
        <f>P162+Q162</f>
        <v/>
      </c>
      <c r="P162" s="33" t="n"/>
      <c r="Q162" s="33" t="n"/>
      <c r="R162" s="33">
        <f>H162+K162-O162</f>
        <v/>
      </c>
      <c r="S162" s="33" t="n"/>
      <c r="T162" s="33" t="n"/>
      <c r="U162" s="33" t="n"/>
      <c r="V162" s="33" t="n"/>
      <c r="W162" s="33" t="n"/>
      <c r="X162" s="33" t="n"/>
      <c r="Y162" s="33" t="n"/>
      <c r="Z162" s="33" t="n"/>
      <c r="AA162" s="4">
        <f>R162-G162</f>
        <v/>
      </c>
      <c r="AB162" s="4">
        <f>G162-R162</f>
        <v/>
      </c>
      <c r="AC162" s="33" t="n"/>
    </row>
    <row r="163" ht="18.75" customHeight="1">
      <c r="A163" s="35">
        <f>SUBTOTAL(103,$B$24:B163)</f>
        <v/>
      </c>
      <c r="B163" s="36" t="inlineStr">
        <is>
          <t>Ложка для цукру</t>
        </is>
      </c>
      <c r="C163" s="37" t="inlineStr">
        <is>
          <t>шт.</t>
        </is>
      </c>
      <c r="D163" s="33" t="n"/>
      <c r="E163" s="33" t="n"/>
      <c r="F163" s="33">
        <f>E163*0.05</f>
        <v/>
      </c>
      <c r="G163" s="33">
        <f>E163+F163</f>
        <v/>
      </c>
      <c r="H163" s="33" t="n"/>
      <c r="I163" s="33" t="n"/>
      <c r="J163" s="33" t="n"/>
      <c r="K163" s="33">
        <f>L163+M163+N163</f>
        <v/>
      </c>
      <c r="L163" s="33" t="n"/>
      <c r="M163" s="33" t="n"/>
      <c r="N163" s="33" t="n"/>
      <c r="O163" s="33">
        <f>P163+Q163</f>
        <v/>
      </c>
      <c r="P163" s="33" t="n"/>
      <c r="Q163" s="33" t="n"/>
      <c r="R163" s="33">
        <f>H163+K163-O163</f>
        <v/>
      </c>
      <c r="S163" s="33" t="n"/>
      <c r="T163" s="33" t="n"/>
      <c r="U163" s="33" t="n"/>
      <c r="V163" s="33" t="n"/>
      <c r="W163" s="33" t="n"/>
      <c r="X163" s="33" t="n"/>
      <c r="Y163" s="33" t="n"/>
      <c r="Z163" s="33" t="n"/>
      <c r="AA163" s="4">
        <f>R163-G163</f>
        <v/>
      </c>
      <c r="AB163" s="4">
        <f>G163-R163</f>
        <v/>
      </c>
      <c r="AC163" s="33" t="n"/>
    </row>
    <row r="164" ht="18.75" customHeight="1">
      <c r="A164" s="35">
        <f>SUBTOTAL(103,$B$24:B164)</f>
        <v/>
      </c>
      <c r="B164" s="36" t="inlineStr">
        <is>
          <t>Ложка пластмасова</t>
        </is>
      </c>
      <c r="C164" s="37" t="inlineStr">
        <is>
          <t>шт.</t>
        </is>
      </c>
      <c r="D164" s="33" t="n"/>
      <c r="E164" s="33" t="n"/>
      <c r="F164" s="33">
        <f>E164*0.05</f>
        <v/>
      </c>
      <c r="G164" s="33">
        <f>E164+F164</f>
        <v/>
      </c>
      <c r="H164" s="33" t="n"/>
      <c r="I164" s="33" t="n"/>
      <c r="J164" s="33" t="n"/>
      <c r="K164" s="33">
        <f>L164+M164+N164</f>
        <v/>
      </c>
      <c r="L164" s="33" t="n"/>
      <c r="M164" s="33" t="n"/>
      <c r="N164" s="33" t="n"/>
      <c r="O164" s="33">
        <f>P164+Q164</f>
        <v/>
      </c>
      <c r="P164" s="33" t="n"/>
      <c r="Q164" s="33" t="n"/>
      <c r="R164" s="33">
        <f>H164+K164-O164</f>
        <v/>
      </c>
      <c r="S164" s="33" t="n"/>
      <c r="T164" s="33" t="n"/>
      <c r="U164" s="33" t="n"/>
      <c r="V164" s="33" t="n"/>
      <c r="W164" s="33" t="n"/>
      <c r="X164" s="33" t="n"/>
      <c r="Y164" s="33" t="n"/>
      <c r="Z164" s="33" t="n"/>
      <c r="AA164" s="4">
        <f>R164-G164</f>
        <v/>
      </c>
      <c r="AB164" s="4">
        <f>G164-R164</f>
        <v/>
      </c>
      <c r="AC164" s="33" t="n"/>
    </row>
    <row r="165" ht="18.75" customHeight="1">
      <c r="A165" s="35">
        <f>SUBTOTAL(103,$B$24:B165)</f>
        <v/>
      </c>
      <c r="B165" s="36" t="inlineStr">
        <is>
          <t>Виделка столова односталева</t>
        </is>
      </c>
      <c r="C165" s="37" t="inlineStr">
        <is>
          <t>шт.</t>
        </is>
      </c>
      <c r="D165" s="33" t="n"/>
      <c r="E165" s="33" t="n"/>
      <c r="F165" s="33">
        <f>E165*0.05</f>
        <v/>
      </c>
      <c r="G165" s="33">
        <f>E165+F165</f>
        <v/>
      </c>
      <c r="H165" s="33" t="n"/>
      <c r="I165" s="33" t="n"/>
      <c r="J165" s="33" t="n"/>
      <c r="K165" s="33">
        <f>L165+M165+N165</f>
        <v/>
      </c>
      <c r="L165" s="33" t="n"/>
      <c r="M165" s="33" t="n"/>
      <c r="N165" s="33" t="n"/>
      <c r="O165" s="33">
        <f>P165+Q165</f>
        <v/>
      </c>
      <c r="P165" s="33" t="n"/>
      <c r="Q165" s="33" t="n"/>
      <c r="R165" s="33">
        <f>H165+K165-O165</f>
        <v/>
      </c>
      <c r="S165" s="33" t="n"/>
      <c r="T165" s="33" t="n"/>
      <c r="U165" s="33" t="n"/>
      <c r="V165" s="33" t="n"/>
      <c r="W165" s="33" t="n"/>
      <c r="X165" s="33" t="n"/>
      <c r="Y165" s="33" t="n"/>
      <c r="Z165" s="33" t="n"/>
      <c r="AA165" s="4">
        <f>R165-G165</f>
        <v/>
      </c>
      <c r="AB165" s="4">
        <f>G165-R165</f>
        <v/>
      </c>
      <c r="AC165" s="33" t="n"/>
    </row>
    <row r="166" ht="18.75" customHeight="1">
      <c r="A166" s="35">
        <f>SUBTOTAL(103,$B$24:B166)</f>
        <v/>
      </c>
      <c r="B166" s="36" t="inlineStr">
        <is>
          <t>Виделка столова алюмінієва</t>
        </is>
      </c>
      <c r="C166" s="37" t="inlineStr">
        <is>
          <t>шт.</t>
        </is>
      </c>
      <c r="D166" s="33" t="n"/>
      <c r="E166" s="33" t="n"/>
      <c r="F166" s="33">
        <f>E166*0.05</f>
        <v/>
      </c>
      <c r="G166" s="33">
        <f>E166+F166</f>
        <v/>
      </c>
      <c r="H166" s="33" t="n"/>
      <c r="I166" s="33" t="n"/>
      <c r="J166" s="33" t="n"/>
      <c r="K166" s="33">
        <f>L166+M166+N166</f>
        <v/>
      </c>
      <c r="L166" s="33" t="n"/>
      <c r="M166" s="33" t="n"/>
      <c r="N166" s="33" t="n"/>
      <c r="O166" s="33">
        <f>P166+Q166</f>
        <v/>
      </c>
      <c r="P166" s="33" t="n"/>
      <c r="Q166" s="33" t="n"/>
      <c r="R166" s="33">
        <f>H166+K166-O166</f>
        <v/>
      </c>
      <c r="S166" s="33" t="n"/>
      <c r="T166" s="33" t="n"/>
      <c r="U166" s="33" t="n"/>
      <c r="V166" s="33" t="n"/>
      <c r="W166" s="33" t="n"/>
      <c r="X166" s="33" t="n"/>
      <c r="Y166" s="33" t="n"/>
      <c r="Z166" s="33" t="n"/>
      <c r="AA166" s="4">
        <f>R166-G166</f>
        <v/>
      </c>
      <c r="AB166" s="4">
        <f>G166-R166</f>
        <v/>
      </c>
      <c r="AC166" s="33" t="n"/>
    </row>
    <row r="167" ht="18.75" customHeight="1">
      <c r="A167" s="35">
        <f>SUBTOTAL(103,$B$24:B167)</f>
        <v/>
      </c>
      <c r="B167" s="36" t="inlineStr">
        <is>
          <t xml:space="preserve">Виделка столова нержавіючої сталі </t>
        </is>
      </c>
      <c r="C167" s="37" t="inlineStr">
        <is>
          <t>шт.</t>
        </is>
      </c>
      <c r="D167" s="33" t="n"/>
      <c r="E167" s="33" t="n"/>
      <c r="F167" s="33">
        <f>E167*0.05</f>
        <v/>
      </c>
      <c r="G167" s="33">
        <f>E167+F167</f>
        <v/>
      </c>
      <c r="H167" s="33" t="n"/>
      <c r="I167" s="33" t="n"/>
      <c r="J167" s="33" t="n"/>
      <c r="K167" s="33">
        <f>L167+M167+N167</f>
        <v/>
      </c>
      <c r="L167" s="33" t="n"/>
      <c r="M167" s="33" t="n"/>
      <c r="N167" s="33" t="n"/>
      <c r="O167" s="33">
        <f>P167+Q167</f>
        <v/>
      </c>
      <c r="P167" s="33" t="n"/>
      <c r="Q167" s="33" t="n"/>
      <c r="R167" s="33">
        <f>H167+K167-O167</f>
        <v/>
      </c>
      <c r="S167" s="33" t="n"/>
      <c r="T167" s="33" t="n"/>
      <c r="U167" s="33" t="n"/>
      <c r="V167" s="33" t="n"/>
      <c r="W167" s="33" t="n"/>
      <c r="X167" s="33" t="n"/>
      <c r="Y167" s="33" t="n"/>
      <c r="Z167" s="33" t="n"/>
      <c r="AA167" s="4">
        <f>R167-G167</f>
        <v/>
      </c>
      <c r="AB167" s="4">
        <f>G167-R167</f>
        <v/>
      </c>
      <c r="AC167" s="33" t="n"/>
    </row>
    <row r="168" ht="18.75" customHeight="1">
      <c r="A168" s="35">
        <f>SUBTOTAL(103,$B$24:B168)</f>
        <v/>
      </c>
      <c r="B168" s="36" t="inlineStr">
        <is>
          <t>Виделка десертна з нержавіючою сталі</t>
        </is>
      </c>
      <c r="C168" s="37" t="inlineStr">
        <is>
          <t>шт.</t>
        </is>
      </c>
      <c r="D168" s="33" t="n"/>
      <c r="E168" s="33" t="n"/>
      <c r="F168" s="33">
        <f>E168*0.05</f>
        <v/>
      </c>
      <c r="G168" s="33">
        <f>E168+F168</f>
        <v/>
      </c>
      <c r="H168" s="33" t="n"/>
      <c r="I168" s="33" t="n"/>
      <c r="J168" s="33" t="n"/>
      <c r="K168" s="33">
        <f>L168+M168+N168</f>
        <v/>
      </c>
      <c r="L168" s="33" t="n"/>
      <c r="M168" s="33" t="n"/>
      <c r="N168" s="33" t="n"/>
      <c r="O168" s="33">
        <f>P168+Q168</f>
        <v/>
      </c>
      <c r="P168" s="33" t="n"/>
      <c r="Q168" s="33" t="n"/>
      <c r="R168" s="33">
        <f>H168+K168-O168</f>
        <v/>
      </c>
      <c r="S168" s="33" t="n"/>
      <c r="T168" s="33" t="n"/>
      <c r="U168" s="33" t="n"/>
      <c r="V168" s="33" t="n"/>
      <c r="W168" s="33" t="n"/>
      <c r="X168" s="33" t="n"/>
      <c r="Y168" s="33" t="n"/>
      <c r="Z168" s="33" t="n"/>
      <c r="AA168" s="4">
        <f>R168-G168</f>
        <v/>
      </c>
      <c r="AB168" s="4">
        <f>G168-R168</f>
        <v/>
      </c>
      <c r="AC168" s="33" t="n"/>
    </row>
    <row r="169" ht="18.75" customHeight="1">
      <c r="A169" s="35">
        <f>SUBTOTAL(103,$B$24:B169)</f>
        <v/>
      </c>
      <c r="B169" s="36" t="inlineStr">
        <is>
          <t>Вилка дитяча з нержавіючої сталі</t>
        </is>
      </c>
      <c r="C169" s="37" t="inlineStr">
        <is>
          <t>шт.</t>
        </is>
      </c>
      <c r="D169" s="33" t="n"/>
      <c r="E169" s="33" t="n"/>
      <c r="F169" s="33">
        <f>E169*0.05</f>
        <v/>
      </c>
      <c r="G169" s="33">
        <f>E169+F169</f>
        <v/>
      </c>
      <c r="H169" s="33" t="n"/>
      <c r="I169" s="33" t="n"/>
      <c r="J169" s="33" t="n"/>
      <c r="K169" s="33">
        <f>L169+M169+N169</f>
        <v/>
      </c>
      <c r="L169" s="33" t="n"/>
      <c r="M169" s="33" t="n"/>
      <c r="N169" s="33" t="n"/>
      <c r="O169" s="33">
        <f>P169+Q169</f>
        <v/>
      </c>
      <c r="P169" s="33" t="n"/>
      <c r="Q169" s="33" t="n"/>
      <c r="R169" s="33">
        <f>H169+K169-O169</f>
        <v/>
      </c>
      <c r="S169" s="33" t="n"/>
      <c r="T169" s="33" t="n"/>
      <c r="U169" s="33" t="n"/>
      <c r="V169" s="33" t="n"/>
      <c r="W169" s="33" t="n"/>
      <c r="X169" s="33" t="n"/>
      <c r="Y169" s="33" t="n"/>
      <c r="Z169" s="33" t="n"/>
      <c r="AA169" s="4">
        <f>R169-G169</f>
        <v/>
      </c>
      <c r="AB169" s="4">
        <f>G169-R169</f>
        <v/>
      </c>
      <c r="AC169" s="33" t="n"/>
    </row>
    <row r="170" ht="18.75" customHeight="1">
      <c r="A170" s="35">
        <f>SUBTOTAL(103,$B$24:B170)</f>
        <v/>
      </c>
      <c r="B170" s="36" t="inlineStr">
        <is>
          <t>Виделка закусочна</t>
        </is>
      </c>
      <c r="C170" s="37" t="inlineStr">
        <is>
          <t>шт.</t>
        </is>
      </c>
      <c r="D170" s="33" t="n"/>
      <c r="E170" s="33" t="n"/>
      <c r="F170" s="33">
        <f>E170*0.05</f>
        <v/>
      </c>
      <c r="G170" s="33">
        <f>E170+F170</f>
        <v/>
      </c>
      <c r="H170" s="33" t="n"/>
      <c r="I170" s="33" t="n"/>
      <c r="J170" s="33" t="n"/>
      <c r="K170" s="33">
        <f>L170+M170+N170</f>
        <v/>
      </c>
      <c r="L170" s="33" t="n"/>
      <c r="M170" s="33" t="n"/>
      <c r="N170" s="33" t="n"/>
      <c r="O170" s="33">
        <f>P170+Q170</f>
        <v/>
      </c>
      <c r="P170" s="33" t="n"/>
      <c r="Q170" s="33" t="n"/>
      <c r="R170" s="33">
        <f>H170+K170-O170</f>
        <v/>
      </c>
      <c r="S170" s="33" t="n"/>
      <c r="T170" s="33" t="n"/>
      <c r="U170" s="33" t="n"/>
      <c r="V170" s="33" t="n"/>
      <c r="W170" s="33" t="n"/>
      <c r="X170" s="33" t="n"/>
      <c r="Y170" s="33" t="n"/>
      <c r="Z170" s="33" t="n"/>
      <c r="AA170" s="4">
        <f>R170-G170</f>
        <v/>
      </c>
      <c r="AB170" s="4">
        <f>G170-R170</f>
        <v/>
      </c>
      <c r="AC170" s="33" t="n"/>
    </row>
    <row r="171" ht="18.75" customHeight="1">
      <c r="A171" s="35">
        <f>SUBTOTAL(103,$B$24:B171)</f>
        <v/>
      </c>
      <c r="B171" s="36" t="inlineStr">
        <is>
          <t>Виделка пластмасова</t>
        </is>
      </c>
      <c r="C171" s="37" t="inlineStr">
        <is>
          <t>шт.</t>
        </is>
      </c>
      <c r="D171" s="33" t="n"/>
      <c r="E171" s="33" t="n"/>
      <c r="F171" s="33">
        <f>E171*0.05</f>
        <v/>
      </c>
      <c r="G171" s="33">
        <f>E171+F171</f>
        <v/>
      </c>
      <c r="H171" s="33" t="n"/>
      <c r="I171" s="33" t="n"/>
      <c r="J171" s="33" t="n"/>
      <c r="K171" s="33">
        <f>L171+M171+N171</f>
        <v/>
      </c>
      <c r="L171" s="33" t="n"/>
      <c r="M171" s="33" t="n"/>
      <c r="N171" s="33" t="n"/>
      <c r="O171" s="33">
        <f>P171+Q171</f>
        <v/>
      </c>
      <c r="P171" s="33" t="n"/>
      <c r="Q171" s="33" t="n"/>
      <c r="R171" s="33">
        <f>H171+K171-O171</f>
        <v/>
      </c>
      <c r="S171" s="33" t="n"/>
      <c r="T171" s="33" t="n"/>
      <c r="U171" s="33" t="n"/>
      <c r="V171" s="33" t="n"/>
      <c r="W171" s="33" t="n"/>
      <c r="X171" s="33" t="n"/>
      <c r="Y171" s="33" t="n"/>
      <c r="Z171" s="33" t="n"/>
      <c r="AA171" s="4">
        <f>R171-G171</f>
        <v/>
      </c>
      <c r="AB171" s="4">
        <f>G171-R171</f>
        <v/>
      </c>
      <c r="AC171" s="33" t="n"/>
    </row>
    <row r="172" ht="18.75" customHeight="1">
      <c r="A172" s="35">
        <f>SUBTOTAL(103,$B$24:B172)</f>
        <v/>
      </c>
      <c r="B172" s="36" t="inlineStr">
        <is>
          <t>Ніж односталевий</t>
        </is>
      </c>
      <c r="C172" s="37" t="inlineStr">
        <is>
          <t>шт.</t>
        </is>
      </c>
      <c r="D172" s="33" t="n"/>
      <c r="E172" s="33" t="n"/>
      <c r="F172" s="33">
        <f>E172*0.05</f>
        <v/>
      </c>
      <c r="G172" s="33">
        <f>E172+F172</f>
        <v/>
      </c>
      <c r="H172" s="33" t="n"/>
      <c r="I172" s="33" t="n"/>
      <c r="J172" s="33" t="n"/>
      <c r="K172" s="33">
        <f>L172+M172+N172</f>
        <v/>
      </c>
      <c r="L172" s="33" t="n"/>
      <c r="M172" s="33" t="n"/>
      <c r="N172" s="33" t="n"/>
      <c r="O172" s="33">
        <f>P172+Q172</f>
        <v/>
      </c>
      <c r="P172" s="33" t="n"/>
      <c r="Q172" s="33" t="n"/>
      <c r="R172" s="33">
        <f>H172+K172-O172</f>
        <v/>
      </c>
      <c r="S172" s="33" t="n"/>
      <c r="T172" s="33" t="n"/>
      <c r="U172" s="33" t="n"/>
      <c r="V172" s="33" t="n"/>
      <c r="W172" s="33" t="n"/>
      <c r="X172" s="33" t="n"/>
      <c r="Y172" s="33" t="n"/>
      <c r="Z172" s="33" t="n"/>
      <c r="AA172" s="4">
        <f>R172-G172</f>
        <v/>
      </c>
      <c r="AB172" s="4">
        <f>G172-R172</f>
        <v/>
      </c>
      <c r="AC172" s="33" t="n"/>
    </row>
    <row r="173" ht="18.75" customHeight="1">
      <c r="A173" s="35">
        <f>SUBTOTAL(103,$B$24:B173)</f>
        <v/>
      </c>
      <c r="B173" s="36" t="inlineStr">
        <is>
          <t>Ніж столовий з нержавіючої сталі</t>
        </is>
      </c>
      <c r="C173" s="37" t="inlineStr">
        <is>
          <t>шт.</t>
        </is>
      </c>
      <c r="D173" s="33" t="n"/>
      <c r="E173" s="33" t="n"/>
      <c r="F173" s="33">
        <f>E173*0.05</f>
        <v/>
      </c>
      <c r="G173" s="33">
        <f>E173+F173</f>
        <v/>
      </c>
      <c r="H173" s="33" t="n"/>
      <c r="I173" s="33" t="n"/>
      <c r="J173" s="33" t="n"/>
      <c r="K173" s="33">
        <f>L173+M173+N173</f>
        <v/>
      </c>
      <c r="L173" s="33" t="n"/>
      <c r="M173" s="33" t="n"/>
      <c r="N173" s="33" t="n"/>
      <c r="O173" s="33">
        <f>P173+Q173</f>
        <v/>
      </c>
      <c r="P173" s="33" t="n"/>
      <c r="Q173" s="33" t="n"/>
      <c r="R173" s="33">
        <f>H173+K173-O173</f>
        <v/>
      </c>
      <c r="S173" s="33" t="n"/>
      <c r="T173" s="33" t="n"/>
      <c r="U173" s="33" t="n"/>
      <c r="V173" s="33" t="n"/>
      <c r="W173" s="33" t="n"/>
      <c r="X173" s="33" t="n"/>
      <c r="Y173" s="33" t="n"/>
      <c r="Z173" s="33" t="n"/>
      <c r="AA173" s="4">
        <f>R173-G173</f>
        <v/>
      </c>
      <c r="AB173" s="4">
        <f>G173-R173</f>
        <v/>
      </c>
      <c r="AC173" s="33" t="n"/>
    </row>
    <row r="174" ht="18.75" customHeight="1">
      <c r="A174" s="35">
        <f>SUBTOTAL(103,$B$24:B174)</f>
        <v/>
      </c>
      <c r="B174" s="36" t="inlineStr">
        <is>
          <t>Ніж столовий з пилочкою</t>
        </is>
      </c>
      <c r="C174" s="37" t="inlineStr">
        <is>
          <t>шт.</t>
        </is>
      </c>
      <c r="D174" s="33" t="n"/>
      <c r="E174" s="33" t="n"/>
      <c r="F174" s="33">
        <f>E174*0.05</f>
        <v/>
      </c>
      <c r="G174" s="33">
        <f>E174+F174</f>
        <v/>
      </c>
      <c r="H174" s="33" t="n"/>
      <c r="I174" s="33" t="n"/>
      <c r="J174" s="33" t="n"/>
      <c r="K174" s="33">
        <f>L174+M174+N174</f>
        <v/>
      </c>
      <c r="L174" s="33" t="n"/>
      <c r="M174" s="33" t="n"/>
      <c r="N174" s="33" t="n"/>
      <c r="O174" s="33">
        <f>P174+Q174</f>
        <v/>
      </c>
      <c r="P174" s="33" t="n"/>
      <c r="Q174" s="33" t="n"/>
      <c r="R174" s="33">
        <f>H174+K174-O174</f>
        <v/>
      </c>
      <c r="S174" s="33" t="n"/>
      <c r="T174" s="33" t="n"/>
      <c r="U174" s="33" t="n"/>
      <c r="V174" s="33" t="n"/>
      <c r="W174" s="33" t="n"/>
      <c r="X174" s="33" t="n"/>
      <c r="Y174" s="33" t="n"/>
      <c r="Z174" s="33" t="n"/>
      <c r="AA174" s="4">
        <f>R174-G174</f>
        <v/>
      </c>
      <c r="AB174" s="4">
        <f>G174-R174</f>
        <v/>
      </c>
      <c r="AC174" s="33" t="n"/>
    </row>
    <row r="175" ht="18.75" customHeight="1">
      <c r="A175" s="35">
        <f>SUBTOTAL(103,$B$24:B175)</f>
        <v/>
      </c>
      <c r="B175" s="36" t="inlineStr">
        <is>
          <t xml:space="preserve">Ніж столовий мельхіровий </t>
        </is>
      </c>
      <c r="C175" s="37" t="inlineStr">
        <is>
          <t>шт.</t>
        </is>
      </c>
      <c r="D175" s="33" t="n"/>
      <c r="E175" s="33" t="n"/>
      <c r="F175" s="33">
        <f>E175*0.05</f>
        <v/>
      </c>
      <c r="G175" s="33">
        <f>E175+F175</f>
        <v/>
      </c>
      <c r="H175" s="33" t="n"/>
      <c r="I175" s="33" t="n"/>
      <c r="J175" s="33" t="n"/>
      <c r="K175" s="33">
        <f>L175+M175+N175</f>
        <v/>
      </c>
      <c r="L175" s="33" t="n"/>
      <c r="M175" s="33" t="n"/>
      <c r="N175" s="33" t="n"/>
      <c r="O175" s="33">
        <f>P175+Q175</f>
        <v/>
      </c>
      <c r="P175" s="33" t="n"/>
      <c r="Q175" s="33" t="n"/>
      <c r="R175" s="33">
        <f>H175+K175-O175</f>
        <v/>
      </c>
      <c r="S175" s="33" t="n"/>
      <c r="T175" s="33" t="n"/>
      <c r="U175" s="33" t="n"/>
      <c r="V175" s="33" t="n"/>
      <c r="W175" s="33" t="n"/>
      <c r="X175" s="33" t="n"/>
      <c r="Y175" s="33" t="n"/>
      <c r="Z175" s="33" t="n"/>
      <c r="AA175" s="4">
        <f>R175-G175</f>
        <v/>
      </c>
      <c r="AB175" s="4">
        <f>G175-R175</f>
        <v/>
      </c>
      <c r="AC175" s="33" t="n"/>
    </row>
    <row r="176" ht="18.75" customHeight="1">
      <c r="A176" s="35">
        <f>SUBTOTAL(103,$B$24:B176)</f>
        <v/>
      </c>
      <c r="B176" s="36" t="inlineStr">
        <is>
          <t xml:space="preserve">Ніж десертний мельхіоровий </t>
        </is>
      </c>
      <c r="C176" s="37" t="inlineStr">
        <is>
          <t>шт.</t>
        </is>
      </c>
      <c r="D176" s="33" t="n"/>
      <c r="E176" s="33" t="n"/>
      <c r="F176" s="33">
        <f>E176*0.05</f>
        <v/>
      </c>
      <c r="G176" s="33">
        <f>E176+F176</f>
        <v/>
      </c>
      <c r="H176" s="33" t="n"/>
      <c r="I176" s="33" t="n"/>
      <c r="J176" s="33" t="n"/>
      <c r="K176" s="33">
        <f>L176+M176+N176</f>
        <v/>
      </c>
      <c r="L176" s="33" t="n"/>
      <c r="M176" s="33" t="n"/>
      <c r="N176" s="33" t="n"/>
      <c r="O176" s="33">
        <f>P176+Q176</f>
        <v/>
      </c>
      <c r="P176" s="33" t="n"/>
      <c r="Q176" s="33" t="n"/>
      <c r="R176" s="33">
        <f>H176+K176-O176</f>
        <v/>
      </c>
      <c r="S176" s="33" t="n"/>
      <c r="T176" s="33" t="n"/>
      <c r="U176" s="33" t="n"/>
      <c r="V176" s="33" t="n"/>
      <c r="W176" s="33" t="n"/>
      <c r="X176" s="33" t="n"/>
      <c r="Y176" s="33" t="n"/>
      <c r="Z176" s="33" t="n"/>
      <c r="AA176" s="4">
        <f>R176-G176</f>
        <v/>
      </c>
      <c r="AB176" s="4">
        <f>G176-R176</f>
        <v/>
      </c>
      <c r="AC176" s="33" t="n"/>
    </row>
    <row r="177" ht="18.75" customHeight="1">
      <c r="A177" s="35">
        <f>SUBTOTAL(103,$B$24:B177)</f>
        <v/>
      </c>
      <c r="B177" s="36" t="inlineStr">
        <is>
          <t>Ніж десертний з н/ст</t>
        </is>
      </c>
      <c r="C177" s="37" t="inlineStr">
        <is>
          <t>шт.</t>
        </is>
      </c>
      <c r="D177" s="33" t="n"/>
      <c r="E177" s="33" t="n"/>
      <c r="F177" s="33">
        <f>E177*0.05</f>
        <v/>
      </c>
      <c r="G177" s="33">
        <f>E177+F177</f>
        <v/>
      </c>
      <c r="H177" s="33" t="n"/>
      <c r="I177" s="33" t="n"/>
      <c r="J177" s="33" t="n"/>
      <c r="K177" s="33">
        <f>L177+M177+N177</f>
        <v/>
      </c>
      <c r="L177" s="33" t="n"/>
      <c r="M177" s="33" t="n"/>
      <c r="N177" s="33" t="n"/>
      <c r="O177" s="33">
        <f>P177+Q177</f>
        <v/>
      </c>
      <c r="P177" s="33" t="n"/>
      <c r="Q177" s="33" t="n"/>
      <c r="R177" s="33">
        <f>H177+K177-O177</f>
        <v/>
      </c>
      <c r="S177" s="33" t="n"/>
      <c r="T177" s="33" t="n"/>
      <c r="U177" s="33" t="n"/>
      <c r="V177" s="33" t="n"/>
      <c r="W177" s="33" t="n"/>
      <c r="X177" s="33" t="n"/>
      <c r="Y177" s="33" t="n"/>
      <c r="Z177" s="33" t="n"/>
      <c r="AA177" s="4">
        <f>R177-G177</f>
        <v/>
      </c>
      <c r="AB177" s="4">
        <f>G177-R177</f>
        <v/>
      </c>
      <c r="AC177" s="33" t="n"/>
    </row>
    <row r="178" ht="18.75" customHeight="1">
      <c r="A178" s="35">
        <f>SUBTOTAL(103,$B$24:B178)</f>
        <v/>
      </c>
      <c r="B178" s="36" t="inlineStr">
        <is>
          <t>Ніж закусочний</t>
        </is>
      </c>
      <c r="C178" s="37" t="inlineStr">
        <is>
          <t>шт.</t>
        </is>
      </c>
      <c r="D178" s="33" t="n"/>
      <c r="E178" s="33" t="n"/>
      <c r="F178" s="33">
        <f>E178*0.05</f>
        <v/>
      </c>
      <c r="G178" s="33">
        <f>E178+F178</f>
        <v/>
      </c>
      <c r="H178" s="33" t="n"/>
      <c r="I178" s="33" t="n"/>
      <c r="J178" s="33" t="n"/>
      <c r="K178" s="33">
        <f>L178+M178+N178</f>
        <v/>
      </c>
      <c r="L178" s="33" t="n"/>
      <c r="M178" s="33" t="n"/>
      <c r="N178" s="33" t="n"/>
      <c r="O178" s="33">
        <f>P178+Q178</f>
        <v/>
      </c>
      <c r="P178" s="33" t="n"/>
      <c r="Q178" s="33" t="n"/>
      <c r="R178" s="33">
        <f>H178+K178-O178</f>
        <v/>
      </c>
      <c r="S178" s="33" t="n"/>
      <c r="T178" s="33" t="n"/>
      <c r="U178" s="33" t="n"/>
      <c r="V178" s="33" t="n"/>
      <c r="W178" s="33" t="n"/>
      <c r="X178" s="33" t="n"/>
      <c r="Y178" s="33" t="n"/>
      <c r="Z178" s="33" t="n"/>
      <c r="AA178" s="4">
        <f>R178-G178</f>
        <v/>
      </c>
      <c r="AB178" s="4">
        <f>G178-R178</f>
        <v/>
      </c>
      <c r="AC178" s="33" t="n"/>
    </row>
    <row r="179" ht="18.75" customHeight="1">
      <c r="A179" s="35">
        <f>SUBTOTAL(103,$B$24:B179)</f>
        <v/>
      </c>
      <c r="B179" s="36" t="inlineStr">
        <is>
          <t xml:space="preserve">Набори для спецій мелолітові </t>
        </is>
      </c>
      <c r="C179" s="37" t="inlineStr">
        <is>
          <t>шт.</t>
        </is>
      </c>
      <c r="D179" s="33" t="n"/>
      <c r="E179" s="33" t="n"/>
      <c r="F179" s="33">
        <f>E179*0.05</f>
        <v/>
      </c>
      <c r="G179" s="33">
        <f>E179+F179</f>
        <v/>
      </c>
      <c r="H179" s="33" t="n"/>
      <c r="I179" s="33" t="n"/>
      <c r="J179" s="33" t="n"/>
      <c r="K179" s="33">
        <f>L179+M179+N179</f>
        <v/>
      </c>
      <c r="L179" s="33" t="n"/>
      <c r="M179" s="33" t="n"/>
      <c r="N179" s="33" t="n"/>
      <c r="O179" s="33">
        <f>P179+Q179</f>
        <v/>
      </c>
      <c r="P179" s="33" t="n"/>
      <c r="Q179" s="33" t="n"/>
      <c r="R179" s="33">
        <f>H179+K179-O179</f>
        <v/>
      </c>
      <c r="S179" s="33" t="n"/>
      <c r="T179" s="33" t="n"/>
      <c r="U179" s="33" t="n"/>
      <c r="V179" s="33" t="n"/>
      <c r="W179" s="33" t="n"/>
      <c r="X179" s="33" t="n"/>
      <c r="Y179" s="33" t="n"/>
      <c r="Z179" s="33" t="n"/>
      <c r="AA179" s="4">
        <f>R179-G179</f>
        <v/>
      </c>
      <c r="AB179" s="4">
        <f>G179-R179</f>
        <v/>
      </c>
      <c r="AC179" s="33" t="n"/>
    </row>
    <row r="180" ht="18.75" customHeight="1">
      <c r="A180" s="35">
        <f>SUBTOTAL(103,$B$24:B180)</f>
        <v/>
      </c>
      <c r="B180" s="36" t="inlineStr">
        <is>
          <t>Набір для спецій алюмінієвий</t>
        </is>
      </c>
      <c r="C180" s="37" t="inlineStr">
        <is>
          <t>шт.</t>
        </is>
      </c>
      <c r="D180" s="33" t="n"/>
      <c r="E180" s="33" t="n"/>
      <c r="F180" s="33">
        <f>E180*0.05</f>
        <v/>
      </c>
      <c r="G180" s="33">
        <f>E180+F180</f>
        <v/>
      </c>
      <c r="H180" s="33" t="n"/>
      <c r="I180" s="33" t="n"/>
      <c r="J180" s="33" t="n"/>
      <c r="K180" s="33">
        <f>L180+M180+N180</f>
        <v/>
      </c>
      <c r="L180" s="33" t="n"/>
      <c r="M180" s="33" t="n"/>
      <c r="N180" s="33" t="n"/>
      <c r="O180" s="33">
        <f>P180+Q180</f>
        <v/>
      </c>
      <c r="P180" s="33" t="n"/>
      <c r="Q180" s="33" t="n"/>
      <c r="R180" s="33">
        <f>H180+K180-O180</f>
        <v/>
      </c>
      <c r="S180" s="33" t="n"/>
      <c r="T180" s="33" t="n"/>
      <c r="U180" s="33" t="n"/>
      <c r="V180" s="33" t="n"/>
      <c r="W180" s="33" t="n"/>
      <c r="X180" s="33" t="n"/>
      <c r="Y180" s="33" t="n"/>
      <c r="Z180" s="33" t="n"/>
      <c r="AA180" s="4">
        <f>R180-G180</f>
        <v/>
      </c>
      <c r="AB180" s="4">
        <f>G180-R180</f>
        <v/>
      </c>
      <c r="AC180" s="33" t="n"/>
    </row>
    <row r="181" ht="18.75" customHeight="1">
      <c r="A181" s="35">
        <f>SUBTOTAL(103,$B$24:B181)</f>
        <v/>
      </c>
      <c r="B181" s="36" t="inlineStr">
        <is>
          <t xml:space="preserve">Набір для спецій пластмасовий </t>
        </is>
      </c>
      <c r="C181" s="37" t="inlineStr">
        <is>
          <t>шт.</t>
        </is>
      </c>
      <c r="D181" s="33" t="n"/>
      <c r="E181" s="33" t="n"/>
      <c r="F181" s="33">
        <f>E181*0.05</f>
        <v/>
      </c>
      <c r="G181" s="33">
        <f>E181+F181</f>
        <v/>
      </c>
      <c r="H181" s="33" t="n"/>
      <c r="I181" s="33" t="n"/>
      <c r="J181" s="33" t="n"/>
      <c r="K181" s="33">
        <f>L181+M181+N181</f>
        <v/>
      </c>
      <c r="L181" s="33" t="n"/>
      <c r="M181" s="33" t="n"/>
      <c r="N181" s="33" t="n"/>
      <c r="O181" s="33">
        <f>P181+Q181</f>
        <v/>
      </c>
      <c r="P181" s="33" t="n"/>
      <c r="Q181" s="33" t="n"/>
      <c r="R181" s="33">
        <f>H181+K181-O181</f>
        <v/>
      </c>
      <c r="S181" s="33" t="n"/>
      <c r="T181" s="33" t="n"/>
      <c r="U181" s="33" t="n"/>
      <c r="V181" s="33" t="n"/>
      <c r="W181" s="33" t="n"/>
      <c r="X181" s="33" t="n"/>
      <c r="Y181" s="33" t="n"/>
      <c r="Z181" s="33" t="n"/>
      <c r="AA181" s="4">
        <f>R181-G181</f>
        <v/>
      </c>
      <c r="AB181" s="4">
        <f>G181-R181</f>
        <v/>
      </c>
      <c r="AC181" s="33" t="n"/>
    </row>
    <row r="182" ht="18.75" customHeight="1">
      <c r="A182" s="35">
        <f>SUBTOTAL(103,$B$24:B182)</f>
        <v/>
      </c>
      <c r="B182" s="36" t="inlineStr">
        <is>
          <t xml:space="preserve">Набір для спецій напівфарфоровий </t>
        </is>
      </c>
      <c r="C182" s="37" t="inlineStr">
        <is>
          <t>шт.</t>
        </is>
      </c>
      <c r="D182" s="33" t="n"/>
      <c r="E182" s="33" t="n"/>
      <c r="F182" s="33">
        <f>E182*0.05</f>
        <v/>
      </c>
      <c r="G182" s="33">
        <f>E182+F182</f>
        <v/>
      </c>
      <c r="H182" s="33" t="n"/>
      <c r="I182" s="33" t="n"/>
      <c r="J182" s="33" t="n"/>
      <c r="K182" s="33">
        <f>L182+M182+N182</f>
        <v/>
      </c>
      <c r="L182" s="33" t="n"/>
      <c r="M182" s="33" t="n"/>
      <c r="N182" s="33" t="n"/>
      <c r="O182" s="33">
        <f>P182+Q182</f>
        <v/>
      </c>
      <c r="P182" s="33" t="n"/>
      <c r="Q182" s="33" t="n"/>
      <c r="R182" s="33">
        <f>H182+K182-O182</f>
        <v/>
      </c>
      <c r="S182" s="33" t="n"/>
      <c r="T182" s="33" t="n"/>
      <c r="U182" s="33" t="n"/>
      <c r="V182" s="33" t="n"/>
      <c r="W182" s="33" t="n"/>
      <c r="X182" s="33" t="n"/>
      <c r="Y182" s="33" t="n"/>
      <c r="Z182" s="33" t="n"/>
      <c r="AA182" s="4">
        <f>R182-G182</f>
        <v/>
      </c>
      <c r="AB182" s="4">
        <f>G182-R182</f>
        <v/>
      </c>
      <c r="AC182" s="33" t="n"/>
    </row>
    <row r="183" ht="37.5" customHeight="1">
      <c r="A183" s="35">
        <f>SUBTOTAL(103,$B$24:B183)</f>
        <v/>
      </c>
      <c r="B183" s="36" t="inlineStr">
        <is>
          <t>Набір для спецій в оправі з нержавіючої сталі</t>
        </is>
      </c>
      <c r="C183" s="37" t="inlineStr">
        <is>
          <t>шт.</t>
        </is>
      </c>
      <c r="D183" s="33" t="n"/>
      <c r="E183" s="33" t="n"/>
      <c r="F183" s="33">
        <f>E183*0.05</f>
        <v/>
      </c>
      <c r="G183" s="33">
        <f>E183+F183</f>
        <v/>
      </c>
      <c r="H183" s="33" t="n"/>
      <c r="I183" s="33" t="n"/>
      <c r="J183" s="33" t="n"/>
      <c r="K183" s="33">
        <f>L183+M183+N183</f>
        <v/>
      </c>
      <c r="L183" s="33" t="n"/>
      <c r="M183" s="33" t="n"/>
      <c r="N183" s="33" t="n"/>
      <c r="O183" s="33">
        <f>P183+Q183</f>
        <v/>
      </c>
      <c r="P183" s="33" t="n"/>
      <c r="Q183" s="33" t="n"/>
      <c r="R183" s="33">
        <f>H183+K183-O183</f>
        <v/>
      </c>
      <c r="S183" s="33" t="n"/>
      <c r="T183" s="33" t="n"/>
      <c r="U183" s="33" t="n"/>
      <c r="V183" s="33" t="n"/>
      <c r="W183" s="33" t="n"/>
      <c r="X183" s="33" t="n"/>
      <c r="Y183" s="33" t="n"/>
      <c r="Z183" s="33" t="n"/>
      <c r="AA183" s="4">
        <f>R183-G183</f>
        <v/>
      </c>
      <c r="AB183" s="4">
        <f>G183-R183</f>
        <v/>
      </c>
      <c r="AC183" s="33" t="n"/>
    </row>
    <row r="184" ht="18.75" customHeight="1">
      <c r="A184" s="35">
        <f>SUBTOTAL(103,$B$24:B184)</f>
        <v/>
      </c>
      <c r="B184" s="36" t="inlineStr">
        <is>
          <t>Набір для спецій з н/ст</t>
        </is>
      </c>
      <c r="C184" s="37" t="inlineStr">
        <is>
          <t>шт.</t>
        </is>
      </c>
      <c r="D184" s="33" t="n"/>
      <c r="E184" s="33" t="n"/>
      <c r="F184" s="33">
        <f>E184*0.05</f>
        <v/>
      </c>
      <c r="G184" s="33">
        <f>E184+F184</f>
        <v/>
      </c>
      <c r="H184" s="33" t="n"/>
      <c r="I184" s="33" t="n"/>
      <c r="J184" s="33" t="n"/>
      <c r="K184" s="33">
        <f>L184+M184+N184</f>
        <v/>
      </c>
      <c r="L184" s="33" t="n"/>
      <c r="M184" s="33" t="n"/>
      <c r="N184" s="33" t="n"/>
      <c r="O184" s="33">
        <f>P184+Q184</f>
        <v/>
      </c>
      <c r="P184" s="33" t="n"/>
      <c r="Q184" s="33" t="n"/>
      <c r="R184" s="33">
        <f>H184+K184-O184</f>
        <v/>
      </c>
      <c r="S184" s="33" t="n"/>
      <c r="T184" s="33" t="n"/>
      <c r="U184" s="33" t="n"/>
      <c r="V184" s="33" t="n"/>
      <c r="W184" s="33" t="n"/>
      <c r="X184" s="33" t="n"/>
      <c r="Y184" s="33" t="n"/>
      <c r="Z184" s="33" t="n"/>
      <c r="AA184" s="4">
        <f>R184-G184</f>
        <v/>
      </c>
      <c r="AB184" s="4">
        <f>G184-R184</f>
        <v/>
      </c>
      <c r="AC184" s="33" t="n"/>
    </row>
    <row r="185" ht="18.75" customHeight="1">
      <c r="A185" s="35">
        <f>SUBTOTAL(103,$B$24:B185)</f>
        <v/>
      </c>
      <c r="B185" s="36" t="inlineStr">
        <is>
          <t xml:space="preserve">Набір для спецій фарфоровий </t>
        </is>
      </c>
      <c r="C185" s="37" t="inlineStr">
        <is>
          <t>шт.</t>
        </is>
      </c>
      <c r="D185" s="33" t="n"/>
      <c r="E185" s="33" t="n"/>
      <c r="F185" s="33">
        <f>E185*0.05</f>
        <v/>
      </c>
      <c r="G185" s="33">
        <f>E185+F185</f>
        <v/>
      </c>
      <c r="H185" s="33" t="n"/>
      <c r="I185" s="33" t="n"/>
      <c r="J185" s="33" t="n"/>
      <c r="K185" s="33">
        <f>L185+M185+N185</f>
        <v/>
      </c>
      <c r="L185" s="33" t="n"/>
      <c r="M185" s="33" t="n"/>
      <c r="N185" s="33" t="n"/>
      <c r="O185" s="33">
        <f>P185+Q185</f>
        <v/>
      </c>
      <c r="P185" s="33" t="n"/>
      <c r="Q185" s="33" t="n"/>
      <c r="R185" s="33">
        <f>H185+K185-O185</f>
        <v/>
      </c>
      <c r="S185" s="33" t="n"/>
      <c r="T185" s="33" t="n"/>
      <c r="U185" s="33" t="n"/>
      <c r="V185" s="33" t="n"/>
      <c r="W185" s="33" t="n"/>
      <c r="X185" s="33" t="n"/>
      <c r="Y185" s="33" t="n"/>
      <c r="Z185" s="33" t="n"/>
      <c r="AA185" s="4">
        <f>R185-G185</f>
        <v/>
      </c>
      <c r="AB185" s="4">
        <f>G185-R185</f>
        <v/>
      </c>
      <c r="AC185" s="33" t="n"/>
    </row>
    <row r="186" ht="18.75" customHeight="1">
      <c r="A186" s="35">
        <f>SUBTOTAL(103,$B$24:B186)</f>
        <v/>
      </c>
      <c r="B186" s="36" t="inlineStr">
        <is>
          <t>Набір комбінований НК-1</t>
        </is>
      </c>
      <c r="C186" s="37" t="inlineStr">
        <is>
          <t>шт.</t>
        </is>
      </c>
      <c r="D186" s="33" t="n"/>
      <c r="E186" s="33" t="n"/>
      <c r="F186" s="33">
        <f>E186*0.05</f>
        <v/>
      </c>
      <c r="G186" s="33">
        <f>E186+F186</f>
        <v/>
      </c>
      <c r="H186" s="33" t="n"/>
      <c r="I186" s="33" t="n"/>
      <c r="J186" s="33" t="n"/>
      <c r="K186" s="33">
        <f>L186+M186+N186</f>
        <v/>
      </c>
      <c r="L186" s="33" t="n"/>
      <c r="M186" s="33" t="n"/>
      <c r="N186" s="33" t="n"/>
      <c r="O186" s="33">
        <f>P186+Q186</f>
        <v/>
      </c>
      <c r="P186" s="33" t="n"/>
      <c r="Q186" s="33" t="n"/>
      <c r="R186" s="33">
        <f>H186+K186-O186</f>
        <v/>
      </c>
      <c r="S186" s="33" t="n"/>
      <c r="T186" s="33" t="n"/>
      <c r="U186" s="33" t="n"/>
      <c r="V186" s="33" t="n"/>
      <c r="W186" s="33" t="n"/>
      <c r="X186" s="33" t="n"/>
      <c r="Y186" s="33" t="n"/>
      <c r="Z186" s="33" t="n"/>
      <c r="AA186" s="4">
        <f>R186-G186</f>
        <v/>
      </c>
      <c r="AB186" s="4">
        <f>G186-R186</f>
        <v/>
      </c>
      <c r="AC186" s="33" t="n"/>
    </row>
    <row r="187" ht="18.75" customHeight="1">
      <c r="A187" s="35">
        <f>SUBTOTAL(103,$B$24:B187)</f>
        <v/>
      </c>
      <c r="B187" s="36" t="inlineStr">
        <is>
          <t>Флакони для спецій скляні</t>
        </is>
      </c>
      <c r="C187" s="37" t="inlineStr">
        <is>
          <t>шт.</t>
        </is>
      </c>
      <c r="D187" s="33" t="n"/>
      <c r="E187" s="33" t="n"/>
      <c r="F187" s="33">
        <f>E187*0.05</f>
        <v/>
      </c>
      <c r="G187" s="33">
        <f>E187+F187</f>
        <v/>
      </c>
      <c r="H187" s="33" t="n"/>
      <c r="I187" s="33" t="n"/>
      <c r="J187" s="33" t="n"/>
      <c r="K187" s="33">
        <f>L187+M187+N187</f>
        <v/>
      </c>
      <c r="L187" s="33" t="n"/>
      <c r="M187" s="33" t="n"/>
      <c r="N187" s="33" t="n"/>
      <c r="O187" s="33">
        <f>P187+Q187</f>
        <v/>
      </c>
      <c r="P187" s="33" t="n"/>
      <c r="Q187" s="33" t="n"/>
      <c r="R187" s="33">
        <f>H187+K187-O187</f>
        <v/>
      </c>
      <c r="S187" s="33" t="n"/>
      <c r="T187" s="33" t="n"/>
      <c r="U187" s="33" t="n"/>
      <c r="V187" s="33" t="n"/>
      <c r="W187" s="33" t="n"/>
      <c r="X187" s="33" t="n"/>
      <c r="Y187" s="33" t="n"/>
      <c r="Z187" s="33" t="n"/>
      <c r="AA187" s="4">
        <f>R187-G187</f>
        <v/>
      </c>
      <c r="AB187" s="4">
        <f>G187-R187</f>
        <v/>
      </c>
      <c r="AC187" s="33" t="n"/>
    </row>
    <row r="188" ht="18.75" customHeight="1">
      <c r="A188" s="35">
        <f>SUBTOTAL(103,$B$24:B188)</f>
        <v/>
      </c>
      <c r="B188" s="36" t="inlineStr">
        <is>
          <t>Чашка чайна н/фарфорова</t>
        </is>
      </c>
      <c r="C188" s="37" t="inlineStr">
        <is>
          <t>шт.</t>
        </is>
      </c>
      <c r="D188" s="33" t="n"/>
      <c r="E188" s="33" t="n"/>
      <c r="F188" s="33">
        <f>E188*0.05</f>
        <v/>
      </c>
      <c r="G188" s="33">
        <f>E188+F188</f>
        <v/>
      </c>
      <c r="H188" s="33" t="n"/>
      <c r="I188" s="33" t="n"/>
      <c r="J188" s="33" t="n"/>
      <c r="K188" s="33">
        <f>L188+M188+N188</f>
        <v/>
      </c>
      <c r="L188" s="33" t="n"/>
      <c r="M188" s="33" t="n"/>
      <c r="N188" s="33" t="n"/>
      <c r="O188" s="33">
        <f>P188+Q188</f>
        <v/>
      </c>
      <c r="P188" s="33" t="n"/>
      <c r="Q188" s="33" t="n"/>
      <c r="R188" s="33">
        <f>H188+K188-O188</f>
        <v/>
      </c>
      <c r="S188" s="33" t="n"/>
      <c r="T188" s="33" t="n"/>
      <c r="U188" s="33" t="n"/>
      <c r="V188" s="33" t="n"/>
      <c r="W188" s="33" t="n"/>
      <c r="X188" s="33" t="n"/>
      <c r="Y188" s="33" t="n"/>
      <c r="Z188" s="33" t="n"/>
      <c r="AA188" s="4">
        <f>R188-G188</f>
        <v/>
      </c>
      <c r="AB188" s="4">
        <f>G188-R188</f>
        <v/>
      </c>
      <c r="AC188" s="33" t="n"/>
    </row>
    <row r="189" ht="18.75" customHeight="1">
      <c r="A189" s="35">
        <f>SUBTOTAL(103,$B$24:B189)</f>
        <v/>
      </c>
      <c r="B189" s="36" t="inlineStr">
        <is>
          <t xml:space="preserve">Соусник фарфоровий </t>
        </is>
      </c>
      <c r="C189" s="37" t="inlineStr">
        <is>
          <t>шт.</t>
        </is>
      </c>
      <c r="D189" s="33" t="n"/>
      <c r="E189" s="33" t="n"/>
      <c r="F189" s="33">
        <f>E189*0.05</f>
        <v/>
      </c>
      <c r="G189" s="33">
        <f>E189+F189</f>
        <v/>
      </c>
      <c r="H189" s="33" t="n"/>
      <c r="I189" s="33" t="n"/>
      <c r="J189" s="33" t="n"/>
      <c r="K189" s="33">
        <f>L189+M189+N189</f>
        <v/>
      </c>
      <c r="L189" s="33" t="n"/>
      <c r="M189" s="33" t="n"/>
      <c r="N189" s="33" t="n"/>
      <c r="O189" s="33">
        <f>P189+Q189</f>
        <v/>
      </c>
      <c r="P189" s="33" t="n"/>
      <c r="Q189" s="33" t="n"/>
      <c r="R189" s="33">
        <f>H189+K189-O189</f>
        <v/>
      </c>
      <c r="S189" s="33" t="n"/>
      <c r="T189" s="33" t="n"/>
      <c r="U189" s="33" t="n"/>
      <c r="V189" s="33" t="n"/>
      <c r="W189" s="33" t="n"/>
      <c r="X189" s="33" t="n"/>
      <c r="Y189" s="33" t="n"/>
      <c r="Z189" s="33" t="n"/>
      <c r="AA189" s="4">
        <f>R189-G189</f>
        <v/>
      </c>
      <c r="AB189" s="4">
        <f>G189-R189</f>
        <v/>
      </c>
      <c r="AC189" s="33" t="n"/>
    </row>
    <row r="190" ht="18.75" customHeight="1">
      <c r="A190" s="35">
        <f>SUBTOTAL(103,$B$24:B190)</f>
        <v/>
      </c>
      <c r="B190" s="36" t="inlineStr">
        <is>
          <t>Пляшка для соусів</t>
        </is>
      </c>
      <c r="C190" s="37" t="inlineStr">
        <is>
          <t>шт.</t>
        </is>
      </c>
      <c r="D190" s="33" t="n"/>
      <c r="E190" s="33" t="n"/>
      <c r="F190" s="33">
        <f>E190*0.05</f>
        <v/>
      </c>
      <c r="G190" s="33">
        <f>E190+F190</f>
        <v/>
      </c>
      <c r="H190" s="33" t="n"/>
      <c r="I190" s="33" t="n"/>
      <c r="J190" s="33" t="n"/>
      <c r="K190" s="33">
        <f>L190+M190+N190</f>
        <v/>
      </c>
      <c r="L190" s="33" t="n"/>
      <c r="M190" s="33" t="n"/>
      <c r="N190" s="33" t="n"/>
      <c r="O190" s="33">
        <f>P190+Q190</f>
        <v/>
      </c>
      <c r="P190" s="33" t="n"/>
      <c r="Q190" s="33" t="n"/>
      <c r="R190" s="33">
        <f>H190+K190-O190</f>
        <v/>
      </c>
      <c r="S190" s="33" t="n"/>
      <c r="T190" s="33" t="n"/>
      <c r="U190" s="33" t="n"/>
      <c r="V190" s="33" t="n"/>
      <c r="W190" s="33" t="n"/>
      <c r="X190" s="33" t="n"/>
      <c r="Y190" s="33" t="n"/>
      <c r="Z190" s="33" t="n"/>
      <c r="AA190" s="4">
        <f>R190-G190</f>
        <v/>
      </c>
      <c r="AB190" s="4">
        <f>G190-R190</f>
        <v/>
      </c>
      <c r="AC190" s="33" t="n"/>
    </row>
    <row r="191" ht="18.75" customHeight="1">
      <c r="A191" s="35">
        <f>SUBTOTAL(103,$B$24:B191)</f>
        <v/>
      </c>
      <c r="B191" s="36" t="inlineStr">
        <is>
          <t>Хрінниця фарфорова</t>
        </is>
      </c>
      <c r="C191" s="37" t="inlineStr">
        <is>
          <t>шт.</t>
        </is>
      </c>
      <c r="D191" s="33" t="n"/>
      <c r="E191" s="33" t="n"/>
      <c r="F191" s="33">
        <f>E191*0.05</f>
        <v/>
      </c>
      <c r="G191" s="33">
        <f>E191+F191</f>
        <v/>
      </c>
      <c r="H191" s="33" t="n"/>
      <c r="I191" s="33" t="n"/>
      <c r="J191" s="33" t="n"/>
      <c r="K191" s="33">
        <f>L191+M191+N191</f>
        <v/>
      </c>
      <c r="L191" s="33" t="n"/>
      <c r="M191" s="33" t="n"/>
      <c r="N191" s="33" t="n"/>
      <c r="O191" s="33">
        <f>P191+Q191</f>
        <v/>
      </c>
      <c r="P191" s="33" t="n"/>
      <c r="Q191" s="33" t="n"/>
      <c r="R191" s="33">
        <f>H191+K191-O191</f>
        <v/>
      </c>
      <c r="S191" s="33" t="n"/>
      <c r="T191" s="33" t="n"/>
      <c r="U191" s="33" t="n"/>
      <c r="V191" s="33" t="n"/>
      <c r="W191" s="33" t="n"/>
      <c r="X191" s="33" t="n"/>
      <c r="Y191" s="33" t="n"/>
      <c r="Z191" s="33" t="n"/>
      <c r="AA191" s="4">
        <f>R191-G191</f>
        <v/>
      </c>
      <c r="AB191" s="4">
        <f>G191-R191</f>
        <v/>
      </c>
      <c r="AC191" s="33" t="n"/>
    </row>
    <row r="192" ht="18.75" customHeight="1">
      <c r="A192" s="35">
        <f>SUBTOTAL(103,$B$24:B192)</f>
        <v/>
      </c>
      <c r="B192" s="36" t="inlineStr">
        <is>
          <t>Перечниця скляна</t>
        </is>
      </c>
      <c r="C192" s="37" t="inlineStr">
        <is>
          <t>шт.</t>
        </is>
      </c>
      <c r="D192" s="33" t="n"/>
      <c r="E192" s="33" t="n"/>
      <c r="F192" s="33">
        <f>E192*0.05</f>
        <v/>
      </c>
      <c r="G192" s="33">
        <f>E192+F192</f>
        <v/>
      </c>
      <c r="H192" s="33" t="n"/>
      <c r="I192" s="33" t="n"/>
      <c r="J192" s="33" t="n"/>
      <c r="K192" s="33">
        <f>L192+M192+N192</f>
        <v/>
      </c>
      <c r="L192" s="33" t="n"/>
      <c r="M192" s="33" t="n"/>
      <c r="N192" s="33" t="n"/>
      <c r="O192" s="33">
        <f>P192+Q192</f>
        <v/>
      </c>
      <c r="P192" s="33" t="n"/>
      <c r="Q192" s="33" t="n"/>
      <c r="R192" s="33">
        <f>H192+K192-O192</f>
        <v/>
      </c>
      <c r="S192" s="33" t="n"/>
      <c r="T192" s="33" t="n"/>
      <c r="U192" s="33" t="n"/>
      <c r="V192" s="33" t="n"/>
      <c r="W192" s="33" t="n"/>
      <c r="X192" s="33" t="n"/>
      <c r="Y192" s="33" t="n"/>
      <c r="Z192" s="33" t="n"/>
      <c r="AA192" s="4">
        <f>R192-G192</f>
        <v/>
      </c>
      <c r="AB192" s="4">
        <f>G192-R192</f>
        <v/>
      </c>
      <c r="AC192" s="33" t="n"/>
    </row>
    <row r="193" ht="18.75" customHeight="1">
      <c r="A193" s="35">
        <f>SUBTOTAL(103,$B$24:B193)</f>
        <v/>
      </c>
      <c r="B193" s="36" t="inlineStr">
        <is>
          <t>Перечниця фарфорова</t>
        </is>
      </c>
      <c r="C193" s="37" t="inlineStr">
        <is>
          <t>шт.</t>
        </is>
      </c>
      <c r="D193" s="33" t="n"/>
      <c r="E193" s="33" t="n"/>
      <c r="F193" s="33">
        <f>E193*0.05</f>
        <v/>
      </c>
      <c r="G193" s="33">
        <f>E193+F193</f>
        <v/>
      </c>
      <c r="H193" s="33" t="n"/>
      <c r="I193" s="33" t="n"/>
      <c r="J193" s="33" t="n"/>
      <c r="K193" s="33">
        <f>L193+M193+N193</f>
        <v/>
      </c>
      <c r="L193" s="33" t="n"/>
      <c r="M193" s="33" t="n"/>
      <c r="N193" s="33" t="n"/>
      <c r="O193" s="33">
        <f>P193+Q193</f>
        <v/>
      </c>
      <c r="P193" s="33" t="n"/>
      <c r="Q193" s="33" t="n"/>
      <c r="R193" s="33">
        <f>H193+K193-O193</f>
        <v/>
      </c>
      <c r="S193" s="33" t="n"/>
      <c r="T193" s="33" t="n"/>
      <c r="U193" s="33" t="n"/>
      <c r="V193" s="33" t="n"/>
      <c r="W193" s="33" t="n"/>
      <c r="X193" s="33" t="n"/>
      <c r="Y193" s="33" t="n"/>
      <c r="Z193" s="33" t="n"/>
      <c r="AA193" s="4">
        <f>R193-G193</f>
        <v/>
      </c>
      <c r="AB193" s="4">
        <f>G193-R193</f>
        <v/>
      </c>
      <c r="AC193" s="33" t="n"/>
    </row>
    <row r="194" ht="18.75" customHeight="1">
      <c r="A194" s="35">
        <f>SUBTOTAL(103,$B$24:B194)</f>
        <v/>
      </c>
      <c r="B194" s="36" t="inlineStr">
        <is>
          <t>Гірчичниця скляна</t>
        </is>
      </c>
      <c r="C194" s="37" t="inlineStr">
        <is>
          <t>шт.</t>
        </is>
      </c>
      <c r="D194" s="33" t="n"/>
      <c r="E194" s="33" t="n"/>
      <c r="F194" s="33">
        <f>E194*0.05</f>
        <v/>
      </c>
      <c r="G194" s="33">
        <f>E194+F194</f>
        <v/>
      </c>
      <c r="H194" s="33" t="n"/>
      <c r="I194" s="33" t="n"/>
      <c r="J194" s="33" t="n"/>
      <c r="K194" s="33">
        <f>L194+M194+N194</f>
        <v/>
      </c>
      <c r="L194" s="33" t="n"/>
      <c r="M194" s="33" t="n"/>
      <c r="N194" s="33" t="n"/>
      <c r="O194" s="33">
        <f>P194+Q194</f>
        <v/>
      </c>
      <c r="P194" s="33" t="n"/>
      <c r="Q194" s="33" t="n"/>
      <c r="R194" s="33">
        <f>H194+K194-O194</f>
        <v/>
      </c>
      <c r="S194" s="33" t="n"/>
      <c r="T194" s="33" t="n"/>
      <c r="U194" s="33" t="n"/>
      <c r="V194" s="33" t="n"/>
      <c r="W194" s="33" t="n"/>
      <c r="X194" s="33" t="n"/>
      <c r="Y194" s="33" t="n"/>
      <c r="Z194" s="33" t="n"/>
      <c r="AA194" s="4">
        <f>R194-G194</f>
        <v/>
      </c>
      <c r="AB194" s="4">
        <f>G194-R194</f>
        <v/>
      </c>
      <c r="AC194" s="33" t="n"/>
    </row>
    <row r="195" ht="18.75" customHeight="1">
      <c r="A195" s="35">
        <f>SUBTOTAL(103,$B$24:B195)</f>
        <v/>
      </c>
      <c r="B195" s="36" t="inlineStr">
        <is>
          <t>Гірчичниця фарфорова</t>
        </is>
      </c>
      <c r="C195" s="37" t="inlineStr">
        <is>
          <t>шт.</t>
        </is>
      </c>
      <c r="D195" s="33" t="n"/>
      <c r="E195" s="33" t="n"/>
      <c r="F195" s="33">
        <f>E195*0.05</f>
        <v/>
      </c>
      <c r="G195" s="33">
        <f>E195+F195</f>
        <v/>
      </c>
      <c r="H195" s="33" t="n"/>
      <c r="I195" s="33" t="n"/>
      <c r="J195" s="33" t="n"/>
      <c r="K195" s="33">
        <f>L195+M195+N195</f>
        <v/>
      </c>
      <c r="L195" s="33" t="n"/>
      <c r="M195" s="33" t="n"/>
      <c r="N195" s="33" t="n"/>
      <c r="O195" s="33">
        <f>P195+Q195</f>
        <v/>
      </c>
      <c r="P195" s="33" t="n"/>
      <c r="Q195" s="33" t="n"/>
      <c r="R195" s="33">
        <f>H195+K195-O195</f>
        <v/>
      </c>
      <c r="S195" s="33" t="n"/>
      <c r="T195" s="33" t="n"/>
      <c r="U195" s="33" t="n"/>
      <c r="V195" s="33" t="n"/>
      <c r="W195" s="33" t="n"/>
      <c r="X195" s="33" t="n"/>
      <c r="Y195" s="33" t="n"/>
      <c r="Z195" s="33" t="n"/>
      <c r="AA195" s="4">
        <f>R195-G195</f>
        <v/>
      </c>
      <c r="AB195" s="4">
        <f>G195-R195</f>
        <v/>
      </c>
      <c r="AC195" s="33" t="n"/>
    </row>
    <row r="196" ht="18.75" customHeight="1">
      <c r="A196" s="35">
        <f>SUBTOTAL(103,$B$24:B196)</f>
        <v/>
      </c>
      <c r="B196" s="36" t="inlineStr">
        <is>
          <t xml:space="preserve">Підливочник фарфоровий </t>
        </is>
      </c>
      <c r="C196" s="37" t="inlineStr">
        <is>
          <t>шт.</t>
        </is>
      </c>
      <c r="D196" s="33" t="n"/>
      <c r="E196" s="33" t="n"/>
      <c r="F196" s="33">
        <f>E196*0.05</f>
        <v/>
      </c>
      <c r="G196" s="33">
        <f>E196+F196</f>
        <v/>
      </c>
      <c r="H196" s="33" t="n"/>
      <c r="I196" s="33" t="n"/>
      <c r="J196" s="33" t="n"/>
      <c r="K196" s="33">
        <f>L196+M196+N196</f>
        <v/>
      </c>
      <c r="L196" s="33" t="n"/>
      <c r="M196" s="33" t="n"/>
      <c r="N196" s="33" t="n"/>
      <c r="O196" s="33">
        <f>P196+Q196</f>
        <v/>
      </c>
      <c r="P196" s="33" t="n"/>
      <c r="Q196" s="33" t="n"/>
      <c r="R196" s="33">
        <f>H196+K196-O196</f>
        <v/>
      </c>
      <c r="S196" s="33" t="n"/>
      <c r="T196" s="33" t="n"/>
      <c r="U196" s="33" t="n"/>
      <c r="V196" s="33" t="n"/>
      <c r="W196" s="33" t="n"/>
      <c r="X196" s="33" t="n"/>
      <c r="Y196" s="33" t="n"/>
      <c r="Z196" s="33" t="n"/>
      <c r="AA196" s="4">
        <f>R196-G196</f>
        <v/>
      </c>
      <c r="AB196" s="4">
        <f>G196-R196</f>
        <v/>
      </c>
      <c r="AC196" s="33" t="n"/>
    </row>
    <row r="197" ht="18.75" customHeight="1">
      <c r="A197" s="35">
        <f>SUBTOTAL(103,$B$24:B197)</f>
        <v/>
      </c>
      <c r="B197" s="36" t="inlineStr">
        <is>
          <t>Підливочник скляний</t>
        </is>
      </c>
      <c r="C197" s="37" t="inlineStr">
        <is>
          <t>шт.</t>
        </is>
      </c>
      <c r="D197" s="33" t="n"/>
      <c r="E197" s="33" t="n"/>
      <c r="F197" s="33">
        <f>E197*0.05</f>
        <v/>
      </c>
      <c r="G197" s="33">
        <f>E197+F197</f>
        <v/>
      </c>
      <c r="H197" s="33" t="n"/>
      <c r="I197" s="33" t="n"/>
      <c r="J197" s="33" t="n"/>
      <c r="K197" s="33">
        <f>L197+M197+N197</f>
        <v/>
      </c>
      <c r="L197" s="33" t="n"/>
      <c r="M197" s="33" t="n"/>
      <c r="N197" s="33" t="n"/>
      <c r="O197" s="33">
        <f>P197+Q197</f>
        <v/>
      </c>
      <c r="P197" s="33" t="n"/>
      <c r="Q197" s="33" t="n"/>
      <c r="R197" s="33">
        <f>H197+K197-O197</f>
        <v/>
      </c>
      <c r="S197" s="33" t="n"/>
      <c r="T197" s="33" t="n"/>
      <c r="U197" s="33" t="n"/>
      <c r="V197" s="33" t="n"/>
      <c r="W197" s="33" t="n"/>
      <c r="X197" s="33" t="n"/>
      <c r="Y197" s="33" t="n"/>
      <c r="Z197" s="33" t="n"/>
      <c r="AA197" s="4">
        <f>R197-G197</f>
        <v/>
      </c>
      <c r="AB197" s="4">
        <f>G197-R197</f>
        <v/>
      </c>
      <c r="AC197" s="33" t="n"/>
    </row>
    <row r="198" ht="18.75" customHeight="1">
      <c r="A198" s="35">
        <f>SUBTOTAL(103,$B$24:B198)</f>
        <v/>
      </c>
      <c r="B198" s="36" t="inlineStr">
        <is>
          <t xml:space="preserve">Солянка скляна </t>
        </is>
      </c>
      <c r="C198" s="37" t="inlineStr">
        <is>
          <t>шт.</t>
        </is>
      </c>
      <c r="D198" s="33" t="n"/>
      <c r="E198" s="33" t="n"/>
      <c r="F198" s="33">
        <f>E198*0.05</f>
        <v/>
      </c>
      <c r="G198" s="33">
        <f>E198+F198</f>
        <v/>
      </c>
      <c r="H198" s="33" t="n"/>
      <c r="I198" s="33" t="n"/>
      <c r="J198" s="33" t="n"/>
      <c r="K198" s="33">
        <f>L198+M198+N198</f>
        <v/>
      </c>
      <c r="L198" s="33" t="n"/>
      <c r="M198" s="33" t="n"/>
      <c r="N198" s="33" t="n"/>
      <c r="O198" s="33">
        <f>P198+Q198</f>
        <v/>
      </c>
      <c r="P198" s="33" t="n"/>
      <c r="Q198" s="33" t="n"/>
      <c r="R198" s="33">
        <f>H198+K198-O198</f>
        <v/>
      </c>
      <c r="S198" s="33" t="n"/>
      <c r="T198" s="33" t="n"/>
      <c r="U198" s="33" t="n"/>
      <c r="V198" s="33" t="n"/>
      <c r="W198" s="33" t="n"/>
      <c r="X198" s="33" t="n"/>
      <c r="Y198" s="33" t="n"/>
      <c r="Z198" s="33" t="n"/>
      <c r="AA198" s="4">
        <f>R198-G198</f>
        <v/>
      </c>
      <c r="AB198" s="4">
        <f>G198-R198</f>
        <v/>
      </c>
      <c r="AC198" s="33" t="n"/>
    </row>
    <row r="199" ht="18.75" customHeight="1">
      <c r="A199" s="35">
        <f>SUBTOTAL(103,$B$24:B199)</f>
        <v/>
      </c>
      <c r="B199" s="36" t="inlineStr">
        <is>
          <t>Солянка алюмінієва</t>
        </is>
      </c>
      <c r="C199" s="37" t="inlineStr">
        <is>
          <t>шт.</t>
        </is>
      </c>
      <c r="D199" s="33" t="n"/>
      <c r="E199" s="33" t="n"/>
      <c r="F199" s="33">
        <f>E199*0.05</f>
        <v/>
      </c>
      <c r="G199" s="33">
        <f>E199+F199</f>
        <v/>
      </c>
      <c r="H199" s="33" t="n"/>
      <c r="I199" s="33" t="n"/>
      <c r="J199" s="33" t="n"/>
      <c r="K199" s="33">
        <f>L199+M199+N199</f>
        <v/>
      </c>
      <c r="L199" s="33" t="n"/>
      <c r="M199" s="33" t="n"/>
      <c r="N199" s="33" t="n"/>
      <c r="O199" s="33">
        <f>P199+Q199</f>
        <v/>
      </c>
      <c r="P199" s="33" t="n"/>
      <c r="Q199" s="33" t="n"/>
      <c r="R199" s="33">
        <f>H199+K199-O199</f>
        <v/>
      </c>
      <c r="S199" s="33" t="n"/>
      <c r="T199" s="33" t="n"/>
      <c r="U199" s="33" t="n"/>
      <c r="V199" s="33" t="n"/>
      <c r="W199" s="33" t="n"/>
      <c r="X199" s="33" t="n"/>
      <c r="Y199" s="33" t="n"/>
      <c r="Z199" s="33" t="n"/>
      <c r="AA199" s="4">
        <f>R199-G199</f>
        <v/>
      </c>
      <c r="AB199" s="4">
        <f>G199-R199</f>
        <v/>
      </c>
      <c r="AC199" s="33" t="n"/>
    </row>
    <row r="200" ht="18.75" customHeight="1">
      <c r="A200" s="35">
        <f>SUBTOTAL(103,$B$24:B200)</f>
        <v/>
      </c>
      <c r="B200" s="36" t="inlineStr">
        <is>
          <t>Солянкак фарфорова</t>
        </is>
      </c>
      <c r="C200" s="37" t="inlineStr">
        <is>
          <t>шт.</t>
        </is>
      </c>
      <c r="D200" s="33" t="n"/>
      <c r="E200" s="33" t="n"/>
      <c r="F200" s="33">
        <f>E200*0.05</f>
        <v/>
      </c>
      <c r="G200" s="33">
        <f>E200+F200</f>
        <v/>
      </c>
      <c r="H200" s="33" t="n"/>
      <c r="I200" s="33" t="n"/>
      <c r="J200" s="33" t="n"/>
      <c r="K200" s="33">
        <f>L200+M200+N200</f>
        <v/>
      </c>
      <c r="L200" s="33" t="n"/>
      <c r="M200" s="33" t="n"/>
      <c r="N200" s="33" t="n"/>
      <c r="O200" s="33">
        <f>P200+Q200</f>
        <v/>
      </c>
      <c r="P200" s="33" t="n"/>
      <c r="Q200" s="33" t="n"/>
      <c r="R200" s="33">
        <f>H200+K200-O200</f>
        <v/>
      </c>
      <c r="S200" s="33" t="n"/>
      <c r="T200" s="33" t="n"/>
      <c r="U200" s="33" t="n"/>
      <c r="V200" s="33" t="n"/>
      <c r="W200" s="33" t="n"/>
      <c r="X200" s="33" t="n"/>
      <c r="Y200" s="33" t="n"/>
      <c r="Z200" s="33" t="n"/>
      <c r="AA200" s="4">
        <f>R200-G200</f>
        <v/>
      </c>
      <c r="AB200" s="4">
        <f>G200-R200</f>
        <v/>
      </c>
      <c r="AC200" s="33" t="n"/>
    </row>
    <row r="201" ht="18.75" customHeight="1">
      <c r="A201" s="35">
        <f>SUBTOTAL(103,$B$24:B201)</f>
        <v/>
      </c>
      <c r="B201" s="36" t="inlineStr">
        <is>
          <t>Солянка напівфарфорова</t>
        </is>
      </c>
      <c r="C201" s="37" t="inlineStr">
        <is>
          <t>шт.</t>
        </is>
      </c>
      <c r="D201" s="33" t="n"/>
      <c r="E201" s="33" t="n"/>
      <c r="F201" s="33">
        <f>E201*0.05</f>
        <v/>
      </c>
      <c r="G201" s="33">
        <f>E201+F201</f>
        <v/>
      </c>
      <c r="H201" s="33" t="n"/>
      <c r="I201" s="33" t="n"/>
      <c r="J201" s="33" t="n"/>
      <c r="K201" s="33">
        <f>L201+M201+N201</f>
        <v/>
      </c>
      <c r="L201" s="33" t="n"/>
      <c r="M201" s="33" t="n"/>
      <c r="N201" s="33" t="n"/>
      <c r="O201" s="33">
        <f>P201+Q201</f>
        <v/>
      </c>
      <c r="P201" s="33" t="n"/>
      <c r="Q201" s="33" t="n"/>
      <c r="R201" s="33">
        <f>H201+K201-O201</f>
        <v/>
      </c>
      <c r="S201" s="33" t="n"/>
      <c r="T201" s="33" t="n"/>
      <c r="U201" s="33" t="n"/>
      <c r="V201" s="33" t="n"/>
      <c r="W201" s="33" t="n"/>
      <c r="X201" s="33" t="n"/>
      <c r="Y201" s="33" t="n"/>
      <c r="Z201" s="33" t="n"/>
      <c r="AA201" s="4">
        <f>R201-G201</f>
        <v/>
      </c>
      <c r="AB201" s="4">
        <f>G201-R201</f>
        <v/>
      </c>
      <c r="AC201" s="33" t="n"/>
    </row>
    <row r="202" ht="18.75" customHeight="1">
      <c r="A202" s="35">
        <f>SUBTOTAL(103,$B$24:B202)</f>
        <v/>
      </c>
      <c r="B202" s="36" t="inlineStr">
        <is>
          <t>Солянка пластмасова</t>
        </is>
      </c>
      <c r="C202" s="37" t="inlineStr">
        <is>
          <t>шт.</t>
        </is>
      </c>
      <c r="D202" s="33" t="n"/>
      <c r="E202" s="33" t="n"/>
      <c r="F202" s="33">
        <f>E202*0.05</f>
        <v/>
      </c>
      <c r="G202" s="33">
        <f>E202+F202</f>
        <v/>
      </c>
      <c r="H202" s="33" t="n"/>
      <c r="I202" s="33" t="n"/>
      <c r="J202" s="33" t="n"/>
      <c r="K202" s="33">
        <f>L202+M202+N202</f>
        <v/>
      </c>
      <c r="L202" s="33" t="n"/>
      <c r="M202" s="33" t="n"/>
      <c r="N202" s="33" t="n"/>
      <c r="O202" s="33">
        <f>P202+Q202</f>
        <v/>
      </c>
      <c r="P202" s="33" t="n"/>
      <c r="Q202" s="33" t="n"/>
      <c r="R202" s="33">
        <f>H202+K202-O202</f>
        <v/>
      </c>
      <c r="S202" s="33" t="n"/>
      <c r="T202" s="33" t="n"/>
      <c r="U202" s="33" t="n"/>
      <c r="V202" s="33" t="n"/>
      <c r="W202" s="33" t="n"/>
      <c r="X202" s="33" t="n"/>
      <c r="Y202" s="33" t="n"/>
      <c r="Z202" s="33" t="n"/>
      <c r="AA202" s="4">
        <f>R202-G202</f>
        <v/>
      </c>
      <c r="AB202" s="4">
        <f>G202-R202</f>
        <v/>
      </c>
      <c r="AC202" s="33" t="n"/>
    </row>
    <row r="203" ht="37.5" customHeight="1">
      <c r="A203" s="35">
        <f>SUBTOTAL(103,$B$24:B203)</f>
        <v/>
      </c>
      <c r="B203" s="36" t="inlineStr">
        <is>
          <t>Посуд для вершків (сливочник) фарфоровий</t>
        </is>
      </c>
      <c r="C203" s="37" t="inlineStr">
        <is>
          <t>шт.</t>
        </is>
      </c>
      <c r="D203" s="33" t="n"/>
      <c r="E203" s="33" t="n"/>
      <c r="F203" s="33">
        <f>E203*0.05</f>
        <v/>
      </c>
      <c r="G203" s="33">
        <f>E203+F203</f>
        <v/>
      </c>
      <c r="H203" s="33" t="n"/>
      <c r="I203" s="33" t="n"/>
      <c r="J203" s="33" t="n"/>
      <c r="K203" s="33">
        <f>L203+M203+N203</f>
        <v/>
      </c>
      <c r="L203" s="33" t="n"/>
      <c r="M203" s="33" t="n"/>
      <c r="N203" s="33" t="n"/>
      <c r="O203" s="33">
        <f>P203+Q203</f>
        <v/>
      </c>
      <c r="P203" s="33" t="n"/>
      <c r="Q203" s="33" t="n"/>
      <c r="R203" s="33">
        <f>H203+K203-O203</f>
        <v/>
      </c>
      <c r="S203" s="33" t="n"/>
      <c r="T203" s="33" t="n"/>
      <c r="U203" s="33" t="n"/>
      <c r="V203" s="33" t="n"/>
      <c r="W203" s="33" t="n"/>
      <c r="X203" s="33" t="n"/>
      <c r="Y203" s="33" t="n"/>
      <c r="Z203" s="33" t="n"/>
      <c r="AA203" s="4">
        <f>R203-G203</f>
        <v/>
      </c>
      <c r="AB203" s="4">
        <f>G203-R203</f>
        <v/>
      </c>
      <c r="AC203" s="33" t="n"/>
    </row>
    <row r="204" ht="18.75" customHeight="1">
      <c r="A204" s="35">
        <f>SUBTOTAL(103,$B$24:B204)</f>
        <v/>
      </c>
      <c r="B204" s="36" t="inlineStr">
        <is>
          <t>Вершковник</t>
        </is>
      </c>
      <c r="C204" s="37" t="inlineStr">
        <is>
          <t>шт.</t>
        </is>
      </c>
      <c r="D204" s="33" t="n"/>
      <c r="E204" s="33" t="n"/>
      <c r="F204" s="33">
        <f>E204*0.05</f>
        <v/>
      </c>
      <c r="G204" s="33">
        <f>E204+F204</f>
        <v/>
      </c>
      <c r="H204" s="33" t="n"/>
      <c r="I204" s="33" t="n"/>
      <c r="J204" s="33" t="n"/>
      <c r="K204" s="33">
        <f>L204+M204+N204</f>
        <v/>
      </c>
      <c r="L204" s="33" t="n"/>
      <c r="M204" s="33" t="n"/>
      <c r="N204" s="33" t="n"/>
      <c r="O204" s="33">
        <f>P204+Q204</f>
        <v/>
      </c>
      <c r="P204" s="33" t="n"/>
      <c r="Q204" s="33" t="n"/>
      <c r="R204" s="33">
        <f>H204+K204-O204</f>
        <v/>
      </c>
      <c r="S204" s="33" t="n"/>
      <c r="T204" s="33" t="n"/>
      <c r="U204" s="33" t="n"/>
      <c r="V204" s="33" t="n"/>
      <c r="W204" s="33" t="n"/>
      <c r="X204" s="33" t="n"/>
      <c r="Y204" s="33" t="n"/>
      <c r="Z204" s="33" t="n"/>
      <c r="AA204" s="4">
        <f>R204-G204</f>
        <v/>
      </c>
      <c r="AB204" s="4">
        <f>G204-R204</f>
        <v/>
      </c>
      <c r="AC204" s="33" t="n"/>
    </row>
    <row r="205" ht="18.75" customHeight="1">
      <c r="A205" s="35">
        <f>SUBTOTAL(103,$B$24:B205)</f>
        <v/>
      </c>
      <c r="B205" s="36" t="inlineStr">
        <is>
          <t xml:space="preserve">Вітамінниця </t>
        </is>
      </c>
      <c r="C205" s="37" t="inlineStr">
        <is>
          <t>шт.</t>
        </is>
      </c>
      <c r="D205" s="33" t="n"/>
      <c r="E205" s="33" t="n"/>
      <c r="F205" s="33">
        <f>E205*0.05</f>
        <v/>
      </c>
      <c r="G205" s="33">
        <f>E205+F205</f>
        <v/>
      </c>
      <c r="H205" s="33" t="n"/>
      <c r="I205" s="33" t="n"/>
      <c r="J205" s="33" t="n"/>
      <c r="K205" s="33">
        <f>L205+M205+N205</f>
        <v/>
      </c>
      <c r="L205" s="33" t="n"/>
      <c r="M205" s="33" t="n"/>
      <c r="N205" s="33" t="n"/>
      <c r="O205" s="33">
        <f>P205+Q205</f>
        <v/>
      </c>
      <c r="P205" s="33" t="n"/>
      <c r="Q205" s="33" t="n"/>
      <c r="R205" s="33">
        <f>H205+K205-O205</f>
        <v/>
      </c>
      <c r="S205" s="33" t="n"/>
      <c r="T205" s="33" t="n"/>
      <c r="U205" s="33" t="n"/>
      <c r="V205" s="33" t="n"/>
      <c r="W205" s="33" t="n"/>
      <c r="X205" s="33" t="n"/>
      <c r="Y205" s="33" t="n"/>
      <c r="Z205" s="33" t="n"/>
      <c r="AA205" s="4">
        <f>R205-G205</f>
        <v/>
      </c>
      <c r="AB205" s="4">
        <f>G205-R205</f>
        <v/>
      </c>
      <c r="AC205" s="33" t="n"/>
    </row>
    <row r="206" ht="18.75" customHeight="1">
      <c r="A206" s="35">
        <f>SUBTOTAL(103,$B$24:B206)</f>
        <v/>
      </c>
      <c r="B206" s="36" t="inlineStr">
        <is>
          <t>Бачок оцинкований</t>
        </is>
      </c>
      <c r="C206" s="37" t="inlineStr">
        <is>
          <t>шт.</t>
        </is>
      </c>
      <c r="D206" s="33" t="n"/>
      <c r="E206" s="33" t="n"/>
      <c r="F206" s="33">
        <f>E206*0.05</f>
        <v/>
      </c>
      <c r="G206" s="33">
        <f>E206+F206</f>
        <v/>
      </c>
      <c r="H206" s="33" t="n"/>
      <c r="I206" s="33" t="n"/>
      <c r="J206" s="33" t="n"/>
      <c r="K206" s="33">
        <f>L206+M206+N206</f>
        <v/>
      </c>
      <c r="L206" s="33" t="n"/>
      <c r="M206" s="33" t="n"/>
      <c r="N206" s="33" t="n"/>
      <c r="O206" s="33">
        <f>P206+Q206</f>
        <v/>
      </c>
      <c r="P206" s="33" t="n"/>
      <c r="Q206" s="33" t="n"/>
      <c r="R206" s="33">
        <f>H206+K206-O206</f>
        <v/>
      </c>
      <c r="S206" s="33" t="n"/>
      <c r="T206" s="33" t="n"/>
      <c r="U206" s="33" t="n"/>
      <c r="V206" s="33" t="n"/>
      <c r="W206" s="33" t="n"/>
      <c r="X206" s="33" t="n"/>
      <c r="Y206" s="33" t="n"/>
      <c r="Z206" s="33" t="n"/>
      <c r="AA206" s="4">
        <f>R206-G206</f>
        <v/>
      </c>
      <c r="AB206" s="4">
        <f>G206-R206</f>
        <v/>
      </c>
      <c r="AC206" s="33" t="n"/>
    </row>
    <row r="207" ht="18.75" customHeight="1">
      <c r="A207" s="35">
        <f>SUBTOTAL(103,$B$24:B207)</f>
        <v/>
      </c>
      <c r="B207" s="36" t="inlineStr">
        <is>
          <t>Бачок алюмінієвий 8-10 л</t>
        </is>
      </c>
      <c r="C207" s="37" t="inlineStr">
        <is>
          <t>шт.</t>
        </is>
      </c>
      <c r="D207" s="33" t="n"/>
      <c r="E207" s="33" t="n"/>
      <c r="F207" s="33">
        <f>E207*0.05</f>
        <v/>
      </c>
      <c r="G207" s="33">
        <f>E207+F207</f>
        <v/>
      </c>
      <c r="H207" s="33" t="n"/>
      <c r="I207" s="33" t="n"/>
      <c r="J207" s="33" t="n"/>
      <c r="K207" s="33">
        <f>L207+M207+N207</f>
        <v/>
      </c>
      <c r="L207" s="33" t="n"/>
      <c r="M207" s="33" t="n"/>
      <c r="N207" s="33" t="n"/>
      <c r="O207" s="33">
        <f>P207+Q207</f>
        <v/>
      </c>
      <c r="P207" s="33" t="n"/>
      <c r="Q207" s="33" t="n"/>
      <c r="R207" s="33">
        <f>H207+K207-O207</f>
        <v/>
      </c>
      <c r="S207" s="33" t="n"/>
      <c r="T207" s="33" t="n"/>
      <c r="U207" s="33" t="n"/>
      <c r="V207" s="33" t="n"/>
      <c r="W207" s="33" t="n"/>
      <c r="X207" s="33" t="n"/>
      <c r="Y207" s="33" t="n"/>
      <c r="Z207" s="33" t="n"/>
      <c r="AA207" s="4">
        <f>R207-G207</f>
        <v/>
      </c>
      <c r="AB207" s="4">
        <f>G207-R207</f>
        <v/>
      </c>
      <c r="AC207" s="33" t="n"/>
    </row>
    <row r="208" ht="18.75" customHeight="1">
      <c r="A208" s="35">
        <f>SUBTOTAL(103,$B$24:B208)</f>
        <v/>
      </c>
      <c r="B208" s="36" t="inlineStr">
        <is>
          <t>Бачок алюмінієвий 4,5-6 л</t>
        </is>
      </c>
      <c r="C208" s="37" t="inlineStr">
        <is>
          <t>шт.</t>
        </is>
      </c>
      <c r="D208" s="33" t="n"/>
      <c r="E208" s="33" t="n"/>
      <c r="F208" s="33">
        <f>E208*0.05</f>
        <v/>
      </c>
      <c r="G208" s="33">
        <f>E208+F208</f>
        <v/>
      </c>
      <c r="H208" s="33" t="n"/>
      <c r="I208" s="33" t="n"/>
      <c r="J208" s="33" t="n"/>
      <c r="K208" s="33">
        <f>L208+M208+N208</f>
        <v/>
      </c>
      <c r="L208" s="33" t="n"/>
      <c r="M208" s="33" t="n"/>
      <c r="N208" s="33" t="n"/>
      <c r="O208" s="33">
        <f>P208+Q208</f>
        <v/>
      </c>
      <c r="P208" s="33" t="n"/>
      <c r="Q208" s="33" t="n"/>
      <c r="R208" s="33">
        <f>H208+K208-O208</f>
        <v/>
      </c>
      <c r="S208" s="33" t="n"/>
      <c r="T208" s="33" t="n"/>
      <c r="U208" s="33" t="n"/>
      <c r="V208" s="33" t="n"/>
      <c r="W208" s="33" t="n"/>
      <c r="X208" s="33" t="n"/>
      <c r="Y208" s="33" t="n"/>
      <c r="Z208" s="33" t="n"/>
      <c r="AA208" s="4">
        <f>R208-G208</f>
        <v/>
      </c>
      <c r="AB208" s="4">
        <f>G208-R208</f>
        <v/>
      </c>
      <c r="AC208" s="33" t="n"/>
    </row>
    <row r="209" ht="18.75" customHeight="1">
      <c r="A209" s="35">
        <f>SUBTOTAL(103,$B$24:B209)</f>
        <v/>
      </c>
      <c r="B209" s="36" t="inlineStr">
        <is>
          <t>Бачок алюмінієвий 2,5-3 Л</t>
        </is>
      </c>
      <c r="C209" s="37" t="inlineStr">
        <is>
          <t>шт.</t>
        </is>
      </c>
      <c r="D209" s="33" t="n"/>
      <c r="E209" s="33" t="n"/>
      <c r="F209" s="33">
        <f>E209*0.05</f>
        <v/>
      </c>
      <c r="G209" s="33">
        <f>E209+F209</f>
        <v/>
      </c>
      <c r="H209" s="33" t="n"/>
      <c r="I209" s="33" t="n"/>
      <c r="J209" s="33" t="n"/>
      <c r="K209" s="33">
        <f>L209+M209+N209</f>
        <v/>
      </c>
      <c r="L209" s="33" t="n"/>
      <c r="M209" s="33" t="n"/>
      <c r="N209" s="33" t="n"/>
      <c r="O209" s="33">
        <f>P209+Q209</f>
        <v/>
      </c>
      <c r="P209" s="33" t="n"/>
      <c r="Q209" s="33" t="n"/>
      <c r="R209" s="33">
        <f>H209+K209-O209</f>
        <v/>
      </c>
      <c r="S209" s="33" t="n"/>
      <c r="T209" s="33" t="n"/>
      <c r="U209" s="33" t="n"/>
      <c r="V209" s="33" t="n"/>
      <c r="W209" s="33" t="n"/>
      <c r="X209" s="33" t="n"/>
      <c r="Y209" s="33" t="n"/>
      <c r="Z209" s="33" t="n"/>
      <c r="AA209" s="4">
        <f>R209-G209</f>
        <v/>
      </c>
      <c r="AB209" s="4">
        <f>G209-R209</f>
        <v/>
      </c>
      <c r="AC209" s="33" t="n"/>
    </row>
    <row r="210" ht="18.75" customHeight="1">
      <c r="A210" s="35">
        <f>SUBTOTAL(103,$B$24:B210)</f>
        <v/>
      </c>
      <c r="B210" s="36" t="inlineStr">
        <is>
          <t>Кастрюля алюмінієва 1-1,5 л</t>
        </is>
      </c>
      <c r="C210" s="37" t="inlineStr">
        <is>
          <t>шт.</t>
        </is>
      </c>
      <c r="D210" s="33" t="n"/>
      <c r="E210" s="33" t="n"/>
      <c r="F210" s="33">
        <f>E210*0.05</f>
        <v/>
      </c>
      <c r="G210" s="33">
        <f>E210+F210</f>
        <v/>
      </c>
      <c r="H210" s="33" t="n"/>
      <c r="I210" s="33" t="n"/>
      <c r="J210" s="33" t="n"/>
      <c r="K210" s="33">
        <f>L210+M210+N210</f>
        <v/>
      </c>
      <c r="L210" s="33" t="n"/>
      <c r="M210" s="33" t="n"/>
      <c r="N210" s="33" t="n"/>
      <c r="O210" s="33">
        <f>P210+Q210</f>
        <v/>
      </c>
      <c r="P210" s="33" t="n"/>
      <c r="Q210" s="33" t="n"/>
      <c r="R210" s="33">
        <f>H210+K210-O210</f>
        <v/>
      </c>
      <c r="S210" s="33" t="n"/>
      <c r="T210" s="33" t="n"/>
      <c r="U210" s="33" t="n"/>
      <c r="V210" s="33" t="n"/>
      <c r="W210" s="33" t="n"/>
      <c r="X210" s="33" t="n"/>
      <c r="Y210" s="33" t="n"/>
      <c r="Z210" s="33" t="n"/>
      <c r="AA210" s="4">
        <f>R210-G210</f>
        <v/>
      </c>
      <c r="AB210" s="4">
        <f>G210-R210</f>
        <v/>
      </c>
      <c r="AC210" s="33" t="n"/>
    </row>
    <row r="211" ht="18.75" customHeight="1">
      <c r="A211" s="35">
        <f>SUBTOTAL(103,$B$24:B211)</f>
        <v/>
      </c>
      <c r="B211" s="36" t="inlineStr">
        <is>
          <t>Кастрюля алюмінієва 2,5-4,5 л</t>
        </is>
      </c>
      <c r="C211" s="37" t="inlineStr">
        <is>
          <t>шт.</t>
        </is>
      </c>
      <c r="D211" s="33" t="n"/>
      <c r="E211" s="33" t="n"/>
      <c r="F211" s="33">
        <f>E211*0.05</f>
        <v/>
      </c>
      <c r="G211" s="33">
        <f>E211+F211</f>
        <v/>
      </c>
      <c r="H211" s="33" t="n"/>
      <c r="I211" s="33" t="n"/>
      <c r="J211" s="33" t="n"/>
      <c r="K211" s="33">
        <f>L211+M211+N211</f>
        <v/>
      </c>
      <c r="L211" s="33" t="n"/>
      <c r="M211" s="33" t="n"/>
      <c r="N211" s="33" t="n"/>
      <c r="O211" s="33">
        <f>P211+Q211</f>
        <v/>
      </c>
      <c r="P211" s="33" t="n"/>
      <c r="Q211" s="33" t="n"/>
      <c r="R211" s="33">
        <f>H211+K211-O211</f>
        <v/>
      </c>
      <c r="S211" s="33" t="n"/>
      <c r="T211" s="33" t="n"/>
      <c r="U211" s="33" t="n"/>
      <c r="V211" s="33" t="n"/>
      <c r="W211" s="33" t="n"/>
      <c r="X211" s="33" t="n"/>
      <c r="Y211" s="33" t="n"/>
      <c r="Z211" s="33" t="n"/>
      <c r="AA211" s="4">
        <f>R211-G211</f>
        <v/>
      </c>
      <c r="AB211" s="4">
        <f>G211-R211</f>
        <v/>
      </c>
      <c r="AC211" s="33" t="n"/>
    </row>
    <row r="212" ht="18.75" customHeight="1">
      <c r="A212" s="35">
        <f>SUBTOTAL(103,$B$24:B212)</f>
        <v/>
      </c>
      <c r="B212" s="36" t="inlineStr">
        <is>
          <t>Кастрюля алюмінієва 4,5-6 л</t>
        </is>
      </c>
      <c r="C212" s="37" t="inlineStr">
        <is>
          <t>шт.</t>
        </is>
      </c>
      <c r="D212" s="33" t="n"/>
      <c r="E212" s="33" t="n"/>
      <c r="F212" s="33">
        <f>E212*0.05</f>
        <v/>
      </c>
      <c r="G212" s="33">
        <f>E212+F212</f>
        <v/>
      </c>
      <c r="H212" s="33" t="n"/>
      <c r="I212" s="33" t="n"/>
      <c r="J212" s="33" t="n"/>
      <c r="K212" s="33">
        <f>L212+M212+N212</f>
        <v/>
      </c>
      <c r="L212" s="33" t="n"/>
      <c r="M212" s="33" t="n"/>
      <c r="N212" s="33" t="n"/>
      <c r="O212" s="33">
        <f>P212+Q212</f>
        <v/>
      </c>
      <c r="P212" s="33" t="n"/>
      <c r="Q212" s="33" t="n"/>
      <c r="R212" s="33">
        <f>H212+K212-O212</f>
        <v/>
      </c>
      <c r="S212" s="33" t="n"/>
      <c r="T212" s="33" t="n"/>
      <c r="U212" s="33" t="n"/>
      <c r="V212" s="33" t="n"/>
      <c r="W212" s="33" t="n"/>
      <c r="X212" s="33" t="n"/>
      <c r="Y212" s="33" t="n"/>
      <c r="Z212" s="33" t="n"/>
      <c r="AA212" s="4">
        <f>R212-G212</f>
        <v/>
      </c>
      <c r="AB212" s="4">
        <f>G212-R212</f>
        <v/>
      </c>
      <c r="AC212" s="33" t="n"/>
    </row>
    <row r="213" ht="18.75" customHeight="1">
      <c r="A213" s="35">
        <f>SUBTOTAL(103,$B$24:B213)</f>
        <v/>
      </c>
      <c r="B213" s="36" t="inlineStr">
        <is>
          <t>Каструля алюмінієва 6-8 л.</t>
        </is>
      </c>
      <c r="C213" s="37" t="inlineStr">
        <is>
          <t>шт.</t>
        </is>
      </c>
      <c r="D213" s="33" t="n"/>
      <c r="E213" s="33" t="n"/>
      <c r="F213" s="33">
        <f>E213*0.05</f>
        <v/>
      </c>
      <c r="G213" s="33">
        <f>E213+F213</f>
        <v/>
      </c>
      <c r="H213" s="33" t="n"/>
      <c r="I213" s="33" t="n"/>
      <c r="J213" s="33" t="n"/>
      <c r="K213" s="33">
        <f>L213+M213+N213</f>
        <v/>
      </c>
      <c r="L213" s="33" t="n"/>
      <c r="M213" s="33" t="n"/>
      <c r="N213" s="33" t="n"/>
      <c r="O213" s="33">
        <f>P213+Q213</f>
        <v/>
      </c>
      <c r="P213" s="33" t="n"/>
      <c r="Q213" s="33" t="n"/>
      <c r="R213" s="33">
        <f>H213+K213-O213</f>
        <v/>
      </c>
      <c r="S213" s="33" t="n"/>
      <c r="T213" s="33" t="n"/>
      <c r="U213" s="33" t="n"/>
      <c r="V213" s="33" t="n"/>
      <c r="W213" s="33" t="n"/>
      <c r="X213" s="33" t="n"/>
      <c r="Y213" s="33" t="n"/>
      <c r="Z213" s="33" t="n"/>
      <c r="AA213" s="4">
        <f>R213-G213</f>
        <v/>
      </c>
      <c r="AB213" s="4">
        <f>G213-R213</f>
        <v/>
      </c>
      <c r="AC213" s="33" t="n"/>
    </row>
    <row r="214" ht="18.75" customHeight="1">
      <c r="A214" s="35">
        <f>SUBTOTAL(103,$B$24:B214)</f>
        <v/>
      </c>
      <c r="B214" s="36" t="inlineStr">
        <is>
          <t>Кастрюля алюмінієва 8-10 л.</t>
        </is>
      </c>
      <c r="C214" s="37" t="inlineStr">
        <is>
          <t>шт.</t>
        </is>
      </c>
      <c r="D214" s="33" t="n"/>
      <c r="E214" s="33" t="n"/>
      <c r="F214" s="33">
        <f>E214*0.05</f>
        <v/>
      </c>
      <c r="G214" s="33">
        <f>E214+F214</f>
        <v/>
      </c>
      <c r="H214" s="33" t="n"/>
      <c r="I214" s="33" t="n"/>
      <c r="J214" s="33" t="n"/>
      <c r="K214" s="33">
        <f>L214+M214+N214</f>
        <v/>
      </c>
      <c r="L214" s="33" t="n"/>
      <c r="M214" s="33" t="n"/>
      <c r="N214" s="33" t="n"/>
      <c r="O214" s="33">
        <f>P214+Q214</f>
        <v/>
      </c>
      <c r="P214" s="33" t="n"/>
      <c r="Q214" s="33" t="n"/>
      <c r="R214" s="33">
        <f>H214+K214-O214</f>
        <v/>
      </c>
      <c r="S214" s="33" t="n"/>
      <c r="T214" s="33" t="n"/>
      <c r="U214" s="33" t="n"/>
      <c r="V214" s="33" t="n"/>
      <c r="W214" s="33" t="n"/>
      <c r="X214" s="33" t="n"/>
      <c r="Y214" s="33" t="n"/>
      <c r="Z214" s="33" t="n"/>
      <c r="AA214" s="4">
        <f>R214-G214</f>
        <v/>
      </c>
      <c r="AB214" s="4">
        <f>G214-R214</f>
        <v/>
      </c>
      <c r="AC214" s="33" t="n"/>
    </row>
    <row r="215" ht="18.75" customHeight="1">
      <c r="A215" s="35">
        <f>SUBTOTAL(103,$B$24:B215)</f>
        <v/>
      </c>
      <c r="B215" s="36" t="inlineStr">
        <is>
          <t>Кастрюля алюмінієва полірована</t>
        </is>
      </c>
      <c r="C215" s="37" t="inlineStr">
        <is>
          <t>шт.</t>
        </is>
      </c>
      <c r="D215" s="33" t="n"/>
      <c r="E215" s="33" t="n"/>
      <c r="F215" s="33">
        <f>E215*0.05</f>
        <v/>
      </c>
      <c r="G215" s="33">
        <f>E215+F215</f>
        <v/>
      </c>
      <c r="H215" s="33" t="n"/>
      <c r="I215" s="33" t="n"/>
      <c r="J215" s="33" t="n"/>
      <c r="K215" s="33">
        <f>L215+M215+N215</f>
        <v/>
      </c>
      <c r="L215" s="33" t="n"/>
      <c r="M215" s="33" t="n"/>
      <c r="N215" s="33" t="n"/>
      <c r="O215" s="33">
        <f>P215+Q215</f>
        <v/>
      </c>
      <c r="P215" s="33" t="n"/>
      <c r="Q215" s="33" t="n"/>
      <c r="R215" s="33">
        <f>H215+K215-O215</f>
        <v/>
      </c>
      <c r="S215" s="33" t="n"/>
      <c r="T215" s="33" t="n"/>
      <c r="U215" s="33" t="n"/>
      <c r="V215" s="33" t="n"/>
      <c r="W215" s="33" t="n"/>
      <c r="X215" s="33" t="n"/>
      <c r="Y215" s="33" t="n"/>
      <c r="Z215" s="33" t="n"/>
      <c r="AA215" s="4">
        <f>R215-G215</f>
        <v/>
      </c>
      <c r="AB215" s="4">
        <f>G215-R215</f>
        <v/>
      </c>
      <c r="AC215" s="33" t="n"/>
    </row>
    <row r="216" ht="18.75" customHeight="1">
      <c r="A216" s="35">
        <f>SUBTOTAL(103,$B$24:B216)</f>
        <v/>
      </c>
      <c r="B216" s="36" t="inlineStr">
        <is>
          <t>Кришка алюмінієва</t>
        </is>
      </c>
      <c r="C216" s="37" t="inlineStr">
        <is>
          <t>шт.</t>
        </is>
      </c>
      <c r="D216" s="33" t="n"/>
      <c r="E216" s="33" t="n"/>
      <c r="F216" s="33">
        <f>E216*0.05</f>
        <v/>
      </c>
      <c r="G216" s="33">
        <f>E216+F216</f>
        <v/>
      </c>
      <c r="H216" s="33" t="n"/>
      <c r="I216" s="33" t="n"/>
      <c r="J216" s="33" t="n"/>
      <c r="K216" s="33">
        <f>L216+M216+N216</f>
        <v/>
      </c>
      <c r="L216" s="33" t="n"/>
      <c r="M216" s="33" t="n"/>
      <c r="N216" s="33" t="n"/>
      <c r="O216" s="33">
        <f>P216+Q216</f>
        <v/>
      </c>
      <c r="P216" s="33" t="n"/>
      <c r="Q216" s="33" t="n"/>
      <c r="R216" s="33">
        <f>H216+K216-O216</f>
        <v/>
      </c>
      <c r="S216" s="33" t="n"/>
      <c r="T216" s="33" t="n"/>
      <c r="U216" s="33" t="n"/>
      <c r="V216" s="33" t="n"/>
      <c r="W216" s="33" t="n"/>
      <c r="X216" s="33" t="n"/>
      <c r="Y216" s="33" t="n"/>
      <c r="Z216" s="33" t="n"/>
      <c r="AA216" s="4">
        <f>R216-G216</f>
        <v/>
      </c>
      <c r="AB216" s="4">
        <f>G216-R216</f>
        <v/>
      </c>
      <c r="AC216" s="33" t="n"/>
    </row>
    <row r="217" ht="18.75" customHeight="1">
      <c r="A217" s="35">
        <f>SUBTOTAL(103,$B$24:B217)</f>
        <v/>
      </c>
      <c r="B217" s="36" t="inlineStr">
        <is>
          <t>Кришка чавунна</t>
        </is>
      </c>
      <c r="C217" s="37" t="inlineStr">
        <is>
          <t>шт.</t>
        </is>
      </c>
      <c r="D217" s="33" t="n"/>
      <c r="E217" s="33" t="n"/>
      <c r="F217" s="33">
        <f>E217*0.05</f>
        <v/>
      </c>
      <c r="G217" s="33">
        <f>E217+F217</f>
        <v/>
      </c>
      <c r="H217" s="33" t="n"/>
      <c r="I217" s="33" t="n"/>
      <c r="J217" s="33" t="n"/>
      <c r="K217" s="33">
        <f>L217+M217+N217</f>
        <v/>
      </c>
      <c r="L217" s="33" t="n"/>
      <c r="M217" s="33" t="n"/>
      <c r="N217" s="33" t="n"/>
      <c r="O217" s="33">
        <f>P217+Q217</f>
        <v/>
      </c>
      <c r="P217" s="33" t="n"/>
      <c r="Q217" s="33" t="n"/>
      <c r="R217" s="33">
        <f>H217+K217-O217</f>
        <v/>
      </c>
      <c r="S217" s="33" t="n"/>
      <c r="T217" s="33" t="n"/>
      <c r="U217" s="33" t="n"/>
      <c r="V217" s="33" t="n"/>
      <c r="W217" s="33" t="n"/>
      <c r="X217" s="33" t="n"/>
      <c r="Y217" s="33" t="n"/>
      <c r="Z217" s="33" t="n"/>
      <c r="AA217" s="4">
        <f>R217-G217</f>
        <v/>
      </c>
      <c r="AB217" s="4">
        <f>G217-R217</f>
        <v/>
      </c>
      <c r="AC217" s="33" t="n"/>
    </row>
    <row r="218" ht="18.75" customHeight="1">
      <c r="A218" s="35">
        <f>SUBTOTAL(103,$B$24:B218)</f>
        <v/>
      </c>
      <c r="B218" s="36" t="inlineStr">
        <is>
          <t>Кастрюля з нержавіюсої сталі</t>
        </is>
      </c>
      <c r="C218" s="37" t="inlineStr">
        <is>
          <t>шт.</t>
        </is>
      </c>
      <c r="D218" s="33" t="n"/>
      <c r="E218" s="33" t="n"/>
      <c r="F218" s="33">
        <f>E218*0.05</f>
        <v/>
      </c>
      <c r="G218" s="33">
        <f>E218+F218</f>
        <v/>
      </c>
      <c r="H218" s="33" t="n"/>
      <c r="I218" s="33" t="n"/>
      <c r="J218" s="33" t="n"/>
      <c r="K218" s="33">
        <f>L218+M218+N218</f>
        <v/>
      </c>
      <c r="L218" s="33" t="n"/>
      <c r="M218" s="33" t="n"/>
      <c r="N218" s="33" t="n"/>
      <c r="O218" s="33">
        <f>P218+Q218</f>
        <v/>
      </c>
      <c r="P218" s="33" t="n"/>
      <c r="Q218" s="33" t="n"/>
      <c r="R218" s="33">
        <f>H218+K218-O218</f>
        <v/>
      </c>
      <c r="S218" s="33" t="n"/>
      <c r="T218" s="33" t="n"/>
      <c r="U218" s="33" t="n"/>
      <c r="V218" s="33" t="n"/>
      <c r="W218" s="33" t="n"/>
      <c r="X218" s="33" t="n"/>
      <c r="Y218" s="33" t="n"/>
      <c r="Z218" s="33" t="n"/>
      <c r="AA218" s="4">
        <f>R218-G218</f>
        <v/>
      </c>
      <c r="AB218" s="4">
        <f>G218-R218</f>
        <v/>
      </c>
      <c r="AC218" s="33" t="n"/>
    </row>
    <row r="219" ht="18.75" customHeight="1">
      <c r="A219" s="35">
        <f>SUBTOTAL(103,$B$24:B219)</f>
        <v/>
      </c>
      <c r="B219" s="36" t="inlineStr">
        <is>
          <t>Кастрюля з нержавіюсої сталі 3-5 л</t>
        </is>
      </c>
      <c r="C219" s="37" t="inlineStr">
        <is>
          <t>шт.</t>
        </is>
      </c>
      <c r="D219" s="33" t="n"/>
      <c r="E219" s="33" t="n"/>
      <c r="F219" s="33">
        <f>E219*0.05</f>
        <v/>
      </c>
      <c r="G219" s="33">
        <f>E219+F219</f>
        <v/>
      </c>
      <c r="H219" s="33" t="n"/>
      <c r="I219" s="33" t="n"/>
      <c r="J219" s="33" t="n"/>
      <c r="K219" s="33">
        <f>L219+M219+N219</f>
        <v/>
      </c>
      <c r="L219" s="33" t="n"/>
      <c r="M219" s="33" t="n"/>
      <c r="N219" s="33" t="n"/>
      <c r="O219" s="33">
        <f>P219+Q219</f>
        <v/>
      </c>
      <c r="P219" s="33" t="n"/>
      <c r="Q219" s="33" t="n"/>
      <c r="R219" s="33">
        <f>H219+K219-O219</f>
        <v/>
      </c>
      <c r="S219" s="33" t="n"/>
      <c r="T219" s="33" t="n"/>
      <c r="U219" s="33" t="n"/>
      <c r="V219" s="33" t="n"/>
      <c r="W219" s="33" t="n"/>
      <c r="X219" s="33" t="n"/>
      <c r="Y219" s="33" t="n"/>
      <c r="Z219" s="33" t="n"/>
      <c r="AA219" s="4">
        <f>R219-G219</f>
        <v/>
      </c>
      <c r="AB219" s="4">
        <f>G219-R219</f>
        <v/>
      </c>
      <c r="AC219" s="33" t="n"/>
    </row>
    <row r="220" ht="18.75" customHeight="1">
      <c r="A220" s="35">
        <f>SUBTOTAL(103,$B$24:B220)</f>
        <v/>
      </c>
      <c r="B220" s="36" t="inlineStr">
        <is>
          <t>Кастрюля з нержавіюсої сталі 4,5-5,5 л</t>
        </is>
      </c>
      <c r="C220" s="37" t="inlineStr">
        <is>
          <t>шт.</t>
        </is>
      </c>
      <c r="D220" s="33" t="n"/>
      <c r="E220" s="33" t="n"/>
      <c r="F220" s="33">
        <f>E220*0.05</f>
        <v/>
      </c>
      <c r="G220" s="33">
        <f>E220+F220</f>
        <v/>
      </c>
      <c r="H220" s="33" t="n"/>
      <c r="I220" s="33" t="n"/>
      <c r="J220" s="33" t="n"/>
      <c r="K220" s="33">
        <f>L220+M220+N220</f>
        <v/>
      </c>
      <c r="L220" s="33" t="n"/>
      <c r="M220" s="33" t="n"/>
      <c r="N220" s="33" t="n"/>
      <c r="O220" s="33">
        <f>P220+Q220</f>
        <v/>
      </c>
      <c r="P220" s="33" t="n"/>
      <c r="Q220" s="33" t="n"/>
      <c r="R220" s="33">
        <f>H220+K220-O220</f>
        <v/>
      </c>
      <c r="S220" s="33" t="n"/>
      <c r="T220" s="33" t="n"/>
      <c r="U220" s="33" t="n"/>
      <c r="V220" s="33" t="n"/>
      <c r="W220" s="33" t="n"/>
      <c r="X220" s="33" t="n"/>
      <c r="Y220" s="33" t="n"/>
      <c r="Z220" s="33" t="n"/>
      <c r="AA220" s="4">
        <f>R220-G220</f>
        <v/>
      </c>
      <c r="AB220" s="4">
        <f>G220-R220</f>
        <v/>
      </c>
      <c r="AC220" s="33" t="n"/>
    </row>
    <row r="221" ht="18.75" customHeight="1">
      <c r="A221" s="35">
        <f>SUBTOTAL(103,$B$24:B221)</f>
        <v/>
      </c>
      <c r="B221" s="36" t="inlineStr">
        <is>
          <t xml:space="preserve">Кастрюля з нержавіюсої сталі 8-10 л </t>
        </is>
      </c>
      <c r="C221" s="37" t="inlineStr">
        <is>
          <t>шт.</t>
        </is>
      </c>
      <c r="D221" s="33" t="n"/>
      <c r="E221" s="33" t="n"/>
      <c r="F221" s="33">
        <f>E221*0.05</f>
        <v/>
      </c>
      <c r="G221" s="33">
        <f>E221+F221</f>
        <v/>
      </c>
      <c r="H221" s="33" t="n"/>
      <c r="I221" s="33" t="n"/>
      <c r="J221" s="33" t="n"/>
      <c r="K221" s="33">
        <f>L221+M221+N221</f>
        <v/>
      </c>
      <c r="L221" s="33" t="n"/>
      <c r="M221" s="33" t="n"/>
      <c r="N221" s="33" t="n"/>
      <c r="O221" s="33">
        <f>P221+Q221</f>
        <v/>
      </c>
      <c r="P221" s="33" t="n"/>
      <c r="Q221" s="33" t="n"/>
      <c r="R221" s="33">
        <f>H221+K221-O221</f>
        <v/>
      </c>
      <c r="S221" s="33" t="n"/>
      <c r="T221" s="33" t="n"/>
      <c r="U221" s="33" t="n"/>
      <c r="V221" s="33" t="n"/>
      <c r="W221" s="33" t="n"/>
      <c r="X221" s="33" t="n"/>
      <c r="Y221" s="33" t="n"/>
      <c r="Z221" s="33" t="n"/>
      <c r="AA221" s="4">
        <f>R221-G221</f>
        <v/>
      </c>
      <c r="AB221" s="4">
        <f>G221-R221</f>
        <v/>
      </c>
      <c r="AC221" s="33" t="n"/>
    </row>
    <row r="222" ht="18.75" customHeight="1">
      <c r="A222" s="35">
        <f>SUBTOTAL(103,$B$24:B222)</f>
        <v/>
      </c>
      <c r="B222" s="36" t="inlineStr">
        <is>
          <t>Кастрюля з н/ст 11 л.</t>
        </is>
      </c>
      <c r="C222" s="37" t="inlineStr">
        <is>
          <t>шт.</t>
        </is>
      </c>
      <c r="D222" s="33" t="n"/>
      <c r="E222" s="33" t="n"/>
      <c r="F222" s="33">
        <f>E222*0.05</f>
        <v/>
      </c>
      <c r="G222" s="33">
        <f>E222+F222</f>
        <v/>
      </c>
      <c r="H222" s="33" t="n"/>
      <c r="I222" s="33" t="n"/>
      <c r="J222" s="33" t="n"/>
      <c r="K222" s="33">
        <f>L222+M222+N222</f>
        <v/>
      </c>
      <c r="L222" s="33" t="n"/>
      <c r="M222" s="33" t="n"/>
      <c r="N222" s="33" t="n"/>
      <c r="O222" s="33">
        <f>P222+Q222</f>
        <v/>
      </c>
      <c r="P222" s="33" t="n"/>
      <c r="Q222" s="33" t="n"/>
      <c r="R222" s="33">
        <f>H222+K222-O222</f>
        <v/>
      </c>
      <c r="S222" s="33" t="n"/>
      <c r="T222" s="33" t="n"/>
      <c r="U222" s="33" t="n"/>
      <c r="V222" s="33" t="n"/>
      <c r="W222" s="33" t="n"/>
      <c r="X222" s="33" t="n"/>
      <c r="Y222" s="33" t="n"/>
      <c r="Z222" s="33" t="n"/>
      <c r="AA222" s="4">
        <f>R222-G222</f>
        <v/>
      </c>
      <c r="AB222" s="4">
        <f>G222-R222</f>
        <v/>
      </c>
      <c r="AC222" s="33" t="n"/>
    </row>
    <row r="223" ht="18.75" customHeight="1">
      <c r="A223" s="35">
        <f>SUBTOTAL(103,$B$24:B223)</f>
        <v/>
      </c>
      <c r="B223" s="36" t="inlineStr">
        <is>
          <t>Кастрюлі н/сталі 12 л.</t>
        </is>
      </c>
      <c r="C223" s="37" t="inlineStr">
        <is>
          <t>шт.</t>
        </is>
      </c>
      <c r="D223" s="33" t="n"/>
      <c r="E223" s="33" t="n"/>
      <c r="F223" s="33">
        <f>E223*0.05</f>
        <v/>
      </c>
      <c r="G223" s="33">
        <f>E223+F223</f>
        <v/>
      </c>
      <c r="H223" s="33" t="n"/>
      <c r="I223" s="33" t="n"/>
      <c r="J223" s="33" t="n"/>
      <c r="K223" s="33">
        <f>L223+M223+N223</f>
        <v/>
      </c>
      <c r="L223" s="33" t="n"/>
      <c r="M223" s="33" t="n"/>
      <c r="N223" s="33" t="n"/>
      <c r="O223" s="33">
        <f>P223+Q223</f>
        <v/>
      </c>
      <c r="P223" s="33" t="n"/>
      <c r="Q223" s="33" t="n"/>
      <c r="R223" s="33">
        <f>H223+K223-O223</f>
        <v/>
      </c>
      <c r="S223" s="33" t="n"/>
      <c r="T223" s="33" t="n"/>
      <c r="U223" s="33" t="n"/>
      <c r="V223" s="33" t="n"/>
      <c r="W223" s="33" t="n"/>
      <c r="X223" s="33" t="n"/>
      <c r="Y223" s="33" t="n"/>
      <c r="Z223" s="33" t="n"/>
      <c r="AA223" s="4">
        <f>R223-G223</f>
        <v/>
      </c>
      <c r="AB223" s="4">
        <f>G223-R223</f>
        <v/>
      </c>
      <c r="AC223" s="33" t="n"/>
    </row>
    <row r="224" ht="18.75" customHeight="1">
      <c r="A224" s="35">
        <f>SUBTOTAL(103,$B$24:B224)</f>
        <v/>
      </c>
      <c r="B224" s="36" t="inlineStr">
        <is>
          <t>Каструлі н/сталі 13 л. з кришкою</t>
        </is>
      </c>
      <c r="C224" s="37" t="inlineStr">
        <is>
          <t>шт.</t>
        </is>
      </c>
      <c r="D224" s="33" t="n"/>
      <c r="E224" s="33" t="n"/>
      <c r="F224" s="33">
        <f>E224*0.05</f>
        <v/>
      </c>
      <c r="G224" s="33">
        <f>E224+F224</f>
        <v/>
      </c>
      <c r="H224" s="33" t="n"/>
      <c r="I224" s="33" t="n"/>
      <c r="J224" s="33" t="n"/>
      <c r="K224" s="33">
        <f>L224+M224+N224</f>
        <v/>
      </c>
      <c r="L224" s="33" t="n"/>
      <c r="M224" s="33" t="n"/>
      <c r="N224" s="33" t="n"/>
      <c r="O224" s="33">
        <f>P224+Q224</f>
        <v/>
      </c>
      <c r="P224" s="33" t="n"/>
      <c r="Q224" s="33" t="n"/>
      <c r="R224" s="33">
        <f>H224+K224-O224</f>
        <v/>
      </c>
      <c r="S224" s="33" t="n"/>
      <c r="T224" s="33" t="n"/>
      <c r="U224" s="33" t="n"/>
      <c r="V224" s="33" t="n"/>
      <c r="W224" s="33" t="n"/>
      <c r="X224" s="33" t="n"/>
      <c r="Y224" s="33" t="n"/>
      <c r="Z224" s="33" t="n"/>
      <c r="AA224" s="4">
        <f>R224-G224</f>
        <v/>
      </c>
      <c r="AB224" s="4">
        <f>G224-R224</f>
        <v/>
      </c>
      <c r="AC224" s="33" t="n"/>
    </row>
    <row r="225" ht="18.75" customHeight="1">
      <c r="A225" s="35">
        <f>SUBTOTAL(103,$B$24:B225)</f>
        <v/>
      </c>
      <c r="B225" s="36" t="inlineStr">
        <is>
          <t>Кастрюлі н/сталі 20 л.</t>
        </is>
      </c>
      <c r="C225" s="37" t="inlineStr">
        <is>
          <t>шт.</t>
        </is>
      </c>
      <c r="D225" s="33" t="n"/>
      <c r="E225" s="33" t="n"/>
      <c r="F225" s="33">
        <f>E225*0.05</f>
        <v/>
      </c>
      <c r="G225" s="33">
        <f>E225+F225</f>
        <v/>
      </c>
      <c r="H225" s="33" t="n"/>
      <c r="I225" s="33" t="n"/>
      <c r="J225" s="33" t="n"/>
      <c r="K225" s="33">
        <f>L225+M225+N225</f>
        <v/>
      </c>
      <c r="L225" s="33" t="n"/>
      <c r="M225" s="33" t="n"/>
      <c r="N225" s="33" t="n"/>
      <c r="O225" s="33">
        <f>P225+Q225</f>
        <v/>
      </c>
      <c r="P225" s="33" t="n"/>
      <c r="Q225" s="33" t="n"/>
      <c r="R225" s="33">
        <f>H225+K225-O225</f>
        <v/>
      </c>
      <c r="S225" s="33" t="n"/>
      <c r="T225" s="33" t="n"/>
      <c r="U225" s="33" t="n"/>
      <c r="V225" s="33" t="n"/>
      <c r="W225" s="33" t="n"/>
      <c r="X225" s="33" t="n"/>
      <c r="Y225" s="33" t="n"/>
      <c r="Z225" s="33" t="n"/>
      <c r="AA225" s="4">
        <f>R225-G225</f>
        <v/>
      </c>
      <c r="AB225" s="4">
        <f>G225-R225</f>
        <v/>
      </c>
      <c r="AC225" s="33" t="n"/>
    </row>
    <row r="226" ht="18.75" customHeight="1">
      <c r="A226" s="35">
        <f>SUBTOTAL(103,$B$24:B226)</f>
        <v/>
      </c>
      <c r="B226" s="36" t="inlineStr">
        <is>
          <t>Кастрюлі н/сталі 25 л.</t>
        </is>
      </c>
      <c r="C226" s="37" t="inlineStr">
        <is>
          <t>шт.</t>
        </is>
      </c>
      <c r="D226" s="33" t="n"/>
      <c r="E226" s="33" t="n"/>
      <c r="F226" s="33">
        <f>E226*0.05</f>
        <v/>
      </c>
      <c r="G226" s="33">
        <f>E226+F226</f>
        <v/>
      </c>
      <c r="H226" s="33" t="n"/>
      <c r="I226" s="33" t="n"/>
      <c r="J226" s="33" t="n"/>
      <c r="K226" s="33">
        <f>L226+M226+N226</f>
        <v/>
      </c>
      <c r="L226" s="33" t="n"/>
      <c r="M226" s="33" t="n"/>
      <c r="N226" s="33" t="n"/>
      <c r="O226" s="33">
        <f>P226+Q226</f>
        <v/>
      </c>
      <c r="P226" s="33" t="n"/>
      <c r="Q226" s="33" t="n"/>
      <c r="R226" s="33">
        <f>H226+K226-O226</f>
        <v/>
      </c>
      <c r="S226" s="33" t="n"/>
      <c r="T226" s="33" t="n"/>
      <c r="U226" s="33" t="n"/>
      <c r="V226" s="33" t="n"/>
      <c r="W226" s="33" t="n"/>
      <c r="X226" s="33" t="n"/>
      <c r="Y226" s="33" t="n"/>
      <c r="Z226" s="33" t="n"/>
      <c r="AA226" s="4">
        <f>R226-G226</f>
        <v/>
      </c>
      <c r="AB226" s="4">
        <f>G226-R226</f>
        <v/>
      </c>
      <c r="AC226" s="33" t="n"/>
    </row>
    <row r="227" ht="18.75" customHeight="1">
      <c r="A227" s="35">
        <f>SUBTOTAL(103,$B$24:B227)</f>
        <v/>
      </c>
      <c r="B227" s="36" t="inlineStr">
        <is>
          <t>Кастрюлі н/сталі 30 л.</t>
        </is>
      </c>
      <c r="C227" s="37" t="inlineStr">
        <is>
          <t>шт.</t>
        </is>
      </c>
      <c r="D227" s="33" t="n"/>
      <c r="E227" s="33" t="n"/>
      <c r="F227" s="33">
        <f>E227*0.05</f>
        <v/>
      </c>
      <c r="G227" s="33">
        <f>E227+F227</f>
        <v/>
      </c>
      <c r="H227" s="33" t="n"/>
      <c r="I227" s="33" t="n"/>
      <c r="J227" s="33" t="n"/>
      <c r="K227" s="33">
        <f>L227+M227+N227</f>
        <v/>
      </c>
      <c r="L227" s="33" t="n"/>
      <c r="M227" s="33" t="n"/>
      <c r="N227" s="33" t="n"/>
      <c r="O227" s="33">
        <f>P227+Q227</f>
        <v/>
      </c>
      <c r="P227" s="33" t="n"/>
      <c r="Q227" s="33" t="n"/>
      <c r="R227" s="33">
        <f>H227+K227-O227</f>
        <v/>
      </c>
      <c r="S227" s="33" t="n"/>
      <c r="T227" s="33" t="n"/>
      <c r="U227" s="33" t="n"/>
      <c r="V227" s="33" t="n"/>
      <c r="W227" s="33" t="n"/>
      <c r="X227" s="33" t="n"/>
      <c r="Y227" s="33" t="n"/>
      <c r="Z227" s="33" t="n"/>
      <c r="AA227" s="4">
        <f>R227-G227</f>
        <v/>
      </c>
      <c r="AB227" s="4">
        <f>G227-R227</f>
        <v/>
      </c>
      <c r="AC227" s="33" t="n"/>
    </row>
    <row r="228" ht="18.75" customHeight="1">
      <c r="A228" s="35">
        <f>SUBTOTAL(103,$B$24:B228)</f>
        <v/>
      </c>
      <c r="B228" s="36" t="inlineStr">
        <is>
          <t>Кастрюлі н/сталі 35-40 л.</t>
        </is>
      </c>
      <c r="C228" s="37" t="inlineStr">
        <is>
          <t>шт.</t>
        </is>
      </c>
      <c r="D228" s="33" t="n"/>
      <c r="E228" s="33" t="n"/>
      <c r="F228" s="33">
        <f>E228*0.05</f>
        <v/>
      </c>
      <c r="G228" s="33">
        <f>E228+F228</f>
        <v/>
      </c>
      <c r="H228" s="33" t="n"/>
      <c r="I228" s="33" t="n"/>
      <c r="J228" s="33" t="n"/>
      <c r="K228" s="33">
        <f>L228+M228+N228</f>
        <v/>
      </c>
      <c r="L228" s="33" t="n"/>
      <c r="M228" s="33" t="n"/>
      <c r="N228" s="33" t="n"/>
      <c r="O228" s="33">
        <f>P228+Q228</f>
        <v/>
      </c>
      <c r="P228" s="33" t="n"/>
      <c r="Q228" s="33" t="n"/>
      <c r="R228" s="33">
        <f>H228+K228-O228</f>
        <v/>
      </c>
      <c r="S228" s="33" t="n"/>
      <c r="T228" s="33" t="n"/>
      <c r="U228" s="33" t="n"/>
      <c r="V228" s="33" t="n"/>
      <c r="W228" s="33" t="n"/>
      <c r="X228" s="33" t="n"/>
      <c r="Y228" s="33" t="n"/>
      <c r="Z228" s="33" t="n"/>
      <c r="AA228" s="4">
        <f>R228-G228</f>
        <v/>
      </c>
      <c r="AB228" s="4">
        <f>G228-R228</f>
        <v/>
      </c>
      <c r="AC228" s="33" t="n"/>
    </row>
    <row r="229" ht="18.75" customHeight="1">
      <c r="A229" s="35">
        <f>SUBTOTAL(103,$B$24:B229)</f>
        <v/>
      </c>
      <c r="B229" s="36" t="inlineStr">
        <is>
          <t>Каструлі н/сталі 50 л.</t>
        </is>
      </c>
      <c r="C229" s="37" t="inlineStr">
        <is>
          <t>шт.</t>
        </is>
      </c>
      <c r="D229" s="33" t="n"/>
      <c r="E229" s="33" t="n"/>
      <c r="F229" s="33">
        <f>E229*0.05</f>
        <v/>
      </c>
      <c r="G229" s="33">
        <f>E229+F229</f>
        <v/>
      </c>
      <c r="H229" s="33" t="n"/>
      <c r="I229" s="33" t="n"/>
      <c r="J229" s="33" t="n"/>
      <c r="K229" s="33">
        <f>L229+M229+N229</f>
        <v/>
      </c>
      <c r="L229" s="33" t="n"/>
      <c r="M229" s="33" t="n"/>
      <c r="N229" s="33" t="n"/>
      <c r="O229" s="33">
        <f>P229+Q229</f>
        <v/>
      </c>
      <c r="P229" s="33" t="n"/>
      <c r="Q229" s="33" t="n"/>
      <c r="R229" s="33">
        <f>H229+K229-O229</f>
        <v/>
      </c>
      <c r="S229" s="33" t="n"/>
      <c r="T229" s="33" t="n"/>
      <c r="U229" s="33" t="n"/>
      <c r="V229" s="33" t="n"/>
      <c r="W229" s="33" t="n"/>
      <c r="X229" s="33" t="n"/>
      <c r="Y229" s="33" t="n"/>
      <c r="Z229" s="33" t="n"/>
      <c r="AA229" s="4">
        <f>R229-G229</f>
        <v/>
      </c>
      <c r="AB229" s="4">
        <f>G229-R229</f>
        <v/>
      </c>
      <c r="AC229" s="33" t="n"/>
    </row>
    <row r="230" ht="18.75" customHeight="1">
      <c r="A230" s="35">
        <f>SUBTOTAL(103,$B$24:B230)</f>
        <v/>
      </c>
      <c r="B230" s="36" t="inlineStr">
        <is>
          <t>Каструля полірована 3 л.</t>
        </is>
      </c>
      <c r="C230" s="37" t="inlineStr">
        <is>
          <t>шт.</t>
        </is>
      </c>
      <c r="D230" s="33" t="n"/>
      <c r="E230" s="33" t="n"/>
      <c r="F230" s="33">
        <f>E230*0.05</f>
        <v/>
      </c>
      <c r="G230" s="33">
        <f>E230+F230</f>
        <v/>
      </c>
      <c r="H230" s="33" t="n"/>
      <c r="I230" s="33" t="n"/>
      <c r="J230" s="33" t="n"/>
      <c r="K230" s="33">
        <f>L230+M230+N230</f>
        <v/>
      </c>
      <c r="L230" s="33" t="n"/>
      <c r="M230" s="33" t="n"/>
      <c r="N230" s="33" t="n"/>
      <c r="O230" s="33">
        <f>P230+Q230</f>
        <v/>
      </c>
      <c r="P230" s="33" t="n"/>
      <c r="Q230" s="33" t="n"/>
      <c r="R230" s="33">
        <f>H230+K230-O230</f>
        <v/>
      </c>
      <c r="S230" s="33" t="n"/>
      <c r="T230" s="33" t="n"/>
      <c r="U230" s="33" t="n"/>
      <c r="V230" s="33" t="n"/>
      <c r="W230" s="33" t="n"/>
      <c r="X230" s="33" t="n"/>
      <c r="Y230" s="33" t="n"/>
      <c r="Z230" s="33" t="n"/>
      <c r="AA230" s="4">
        <f>R230-G230</f>
        <v/>
      </c>
      <c r="AB230" s="4">
        <f>G230-R230</f>
        <v/>
      </c>
      <c r="AC230" s="33" t="n"/>
    </row>
    <row r="231" ht="37.5" customHeight="1">
      <c r="A231" s="35">
        <f>SUBTOTAL(103,$B$24:B231)</f>
        <v/>
      </c>
      <c r="B231" s="36" t="inlineStr">
        <is>
          <t xml:space="preserve">Кастрюля полірована 4,5 л з нержавіючої сталі </t>
        </is>
      </c>
      <c r="C231" s="37" t="inlineStr">
        <is>
          <t>шт.</t>
        </is>
      </c>
      <c r="D231" s="33" t="n"/>
      <c r="E231" s="33" t="n"/>
      <c r="F231" s="33">
        <f>E231*0.05</f>
        <v/>
      </c>
      <c r="G231" s="33">
        <f>E231+F231</f>
        <v/>
      </c>
      <c r="H231" s="33" t="n"/>
      <c r="I231" s="33" t="n"/>
      <c r="J231" s="33" t="n"/>
      <c r="K231" s="33">
        <f>L231+M231+N231</f>
        <v/>
      </c>
      <c r="L231" s="33" t="n"/>
      <c r="M231" s="33" t="n"/>
      <c r="N231" s="33" t="n"/>
      <c r="O231" s="33">
        <f>P231+Q231</f>
        <v/>
      </c>
      <c r="P231" s="33" t="n"/>
      <c r="Q231" s="33" t="n"/>
      <c r="R231" s="33">
        <f>H231+K231-O231</f>
        <v/>
      </c>
      <c r="S231" s="33" t="n"/>
      <c r="T231" s="33" t="n"/>
      <c r="U231" s="33" t="n"/>
      <c r="V231" s="33" t="n"/>
      <c r="W231" s="33" t="n"/>
      <c r="X231" s="33" t="n"/>
      <c r="Y231" s="33" t="n"/>
      <c r="Z231" s="33" t="n"/>
      <c r="AA231" s="4">
        <f>R231-G231</f>
        <v/>
      </c>
      <c r="AB231" s="4">
        <f>G231-R231</f>
        <v/>
      </c>
      <c r="AC231" s="33" t="n"/>
    </row>
    <row r="232" ht="18.75" customHeight="1">
      <c r="A232" s="35">
        <f>SUBTOTAL(103,$B$24:B232)</f>
        <v/>
      </c>
      <c r="B232" s="38" t="inlineStr">
        <is>
          <t>Каструля (бак) емальований 40 л</t>
        </is>
      </c>
      <c r="C232" s="37" t="inlineStr">
        <is>
          <t>шт.</t>
        </is>
      </c>
      <c r="D232" s="33" t="n"/>
      <c r="E232" s="33" t="n"/>
      <c r="F232" s="33">
        <f>E232*0.05</f>
        <v/>
      </c>
      <c r="G232" s="33">
        <f>E232+F232</f>
        <v/>
      </c>
      <c r="H232" s="33" t="n"/>
      <c r="I232" s="33" t="n"/>
      <c r="J232" s="33" t="n"/>
      <c r="K232" s="33">
        <f>L232+M232+N232</f>
        <v/>
      </c>
      <c r="L232" s="33" t="n"/>
      <c r="M232" s="33" t="n"/>
      <c r="N232" s="33" t="n"/>
      <c r="O232" s="33">
        <f>P232+Q232</f>
        <v/>
      </c>
      <c r="P232" s="33" t="n"/>
      <c r="Q232" s="33" t="n"/>
      <c r="R232" s="33">
        <f>H232+K232-O232</f>
        <v/>
      </c>
      <c r="S232" s="33" t="n"/>
      <c r="T232" s="33" t="n"/>
      <c r="U232" s="33" t="n"/>
      <c r="V232" s="33" t="n"/>
      <c r="W232" s="33" t="n"/>
      <c r="X232" s="33" t="n"/>
      <c r="Y232" s="33" t="n"/>
      <c r="Z232" s="33" t="n"/>
      <c r="AA232" s="4">
        <f>R232-G232</f>
        <v/>
      </c>
      <c r="AB232" s="4">
        <f>G232-R232</f>
        <v/>
      </c>
      <c r="AC232" s="33" t="n"/>
    </row>
    <row r="233" ht="18.75" customHeight="1">
      <c r="A233" s="35">
        <f>SUBTOTAL(103,$B$24:B233)</f>
        <v/>
      </c>
      <c r="B233" s="36" t="inlineStr">
        <is>
          <t>Каструля (бак) емальований 16 л</t>
        </is>
      </c>
      <c r="C233" s="37" t="inlineStr">
        <is>
          <t>шт.</t>
        </is>
      </c>
      <c r="D233" s="33" t="n"/>
      <c r="E233" s="33" t="n"/>
      <c r="F233" s="33">
        <f>E233*0.05</f>
        <v/>
      </c>
      <c r="G233" s="33">
        <f>E233+F233</f>
        <v/>
      </c>
      <c r="H233" s="33" t="n"/>
      <c r="I233" s="33" t="n"/>
      <c r="J233" s="33" t="n"/>
      <c r="K233" s="33">
        <f>L233+M233+N233</f>
        <v/>
      </c>
      <c r="L233" s="33" t="n"/>
      <c r="M233" s="33" t="n"/>
      <c r="N233" s="33" t="n"/>
      <c r="O233" s="33">
        <f>P233+Q233</f>
        <v/>
      </c>
      <c r="P233" s="33" t="n"/>
      <c r="Q233" s="33" t="n"/>
      <c r="R233" s="33">
        <f>H233+K233-O233</f>
        <v/>
      </c>
      <c r="S233" s="33" t="n"/>
      <c r="T233" s="33" t="n"/>
      <c r="U233" s="33" t="n"/>
      <c r="V233" s="33" t="n"/>
      <c r="W233" s="33" t="n"/>
      <c r="X233" s="33" t="n"/>
      <c r="Y233" s="33" t="n"/>
      <c r="Z233" s="33" t="n"/>
      <c r="AA233" s="4">
        <f>R233-G233</f>
        <v/>
      </c>
      <c r="AB233" s="4">
        <f>G233-R233</f>
        <v/>
      </c>
      <c r="AC233" s="33" t="n"/>
    </row>
    <row r="234" ht="18.75" customHeight="1">
      <c r="A234" s="35">
        <f>SUBTOTAL(103,$B$24:B234)</f>
        <v/>
      </c>
      <c r="B234" s="36" t="inlineStr">
        <is>
          <t>Кастрюля емальований 1,8-2 л</t>
        </is>
      </c>
      <c r="C234" s="37" t="inlineStr">
        <is>
          <t>шт.</t>
        </is>
      </c>
      <c r="D234" s="33" t="n"/>
      <c r="E234" s="33" t="n"/>
      <c r="F234" s="33">
        <f>E234*0.05</f>
        <v/>
      </c>
      <c r="G234" s="33">
        <f>E234+F234</f>
        <v/>
      </c>
      <c r="H234" s="33" t="n"/>
      <c r="I234" s="33" t="n"/>
      <c r="J234" s="33" t="n"/>
      <c r="K234" s="33">
        <f>L234+M234+N234</f>
        <v/>
      </c>
      <c r="L234" s="33" t="n"/>
      <c r="M234" s="33" t="n"/>
      <c r="N234" s="33" t="n"/>
      <c r="O234" s="33">
        <f>P234+Q234</f>
        <v/>
      </c>
      <c r="P234" s="33" t="n"/>
      <c r="Q234" s="33" t="n"/>
      <c r="R234" s="33">
        <f>H234+K234-O234</f>
        <v/>
      </c>
      <c r="S234" s="33" t="n"/>
      <c r="T234" s="33" t="n"/>
      <c r="U234" s="33" t="n"/>
      <c r="V234" s="33" t="n"/>
      <c r="W234" s="33" t="n"/>
      <c r="X234" s="33" t="n"/>
      <c r="Y234" s="33" t="n"/>
      <c r="Z234" s="33" t="n"/>
      <c r="AA234" s="4">
        <f>R234-G234</f>
        <v/>
      </c>
      <c r="AB234" s="4">
        <f>G234-R234</f>
        <v/>
      </c>
      <c r="AC234" s="33" t="n"/>
    </row>
    <row r="235" ht="18.75" customHeight="1">
      <c r="A235" s="35">
        <f>SUBTOTAL(103,$B$24:B235)</f>
        <v/>
      </c>
      <c r="B235" s="36" t="inlineStr">
        <is>
          <t>Кастрюля емальована 3 л</t>
        </is>
      </c>
      <c r="C235" s="37" t="inlineStr">
        <is>
          <t>шт.</t>
        </is>
      </c>
      <c r="D235" s="33" t="n"/>
      <c r="E235" s="33" t="n"/>
      <c r="F235" s="33">
        <f>E235*0.05</f>
        <v/>
      </c>
      <c r="G235" s="33">
        <f>E235+F235</f>
        <v/>
      </c>
      <c r="H235" s="33" t="n"/>
      <c r="I235" s="33" t="n"/>
      <c r="J235" s="33" t="n"/>
      <c r="K235" s="33">
        <f>L235+M235+N235</f>
        <v/>
      </c>
      <c r="L235" s="33" t="n"/>
      <c r="M235" s="33" t="n"/>
      <c r="N235" s="33" t="n"/>
      <c r="O235" s="33">
        <f>P235+Q235</f>
        <v/>
      </c>
      <c r="P235" s="33" t="n"/>
      <c r="Q235" s="33" t="n"/>
      <c r="R235" s="33">
        <f>H235+K235-O235</f>
        <v/>
      </c>
      <c r="S235" s="33" t="n"/>
      <c r="T235" s="33" t="n"/>
      <c r="U235" s="33" t="n"/>
      <c r="V235" s="33" t="n"/>
      <c r="W235" s="33" t="n"/>
      <c r="X235" s="33" t="n"/>
      <c r="Y235" s="33" t="n"/>
      <c r="Z235" s="33" t="n"/>
      <c r="AA235" s="4">
        <f>R235-G235</f>
        <v/>
      </c>
      <c r="AB235" s="4">
        <f>G235-R235</f>
        <v/>
      </c>
      <c r="AC235" s="33" t="n"/>
    </row>
    <row r="236" ht="18.75" customHeight="1">
      <c r="A236" s="35">
        <f>SUBTOTAL(103,$B$24:B236)</f>
        <v/>
      </c>
      <c r="B236" s="36" t="inlineStr">
        <is>
          <t>Кастрюля емальована 4,5 л</t>
        </is>
      </c>
      <c r="C236" s="37" t="inlineStr">
        <is>
          <t>шт.</t>
        </is>
      </c>
      <c r="D236" s="33" t="n"/>
      <c r="E236" s="33" t="n"/>
      <c r="F236" s="33">
        <f>E236*0.05</f>
        <v/>
      </c>
      <c r="G236" s="33">
        <f>E236+F236</f>
        <v/>
      </c>
      <c r="H236" s="33" t="n"/>
      <c r="I236" s="33" t="n"/>
      <c r="J236" s="33" t="n"/>
      <c r="K236" s="33">
        <f>L236+M236+N236</f>
        <v/>
      </c>
      <c r="L236" s="33" t="n"/>
      <c r="M236" s="33" t="n"/>
      <c r="N236" s="33" t="n"/>
      <c r="O236" s="33">
        <f>P236+Q236</f>
        <v/>
      </c>
      <c r="P236" s="33" t="n"/>
      <c r="Q236" s="33" t="n"/>
      <c r="R236" s="33">
        <f>H236+K236-O236</f>
        <v/>
      </c>
      <c r="S236" s="33" t="n"/>
      <c r="T236" s="33" t="n"/>
      <c r="U236" s="33" t="n"/>
      <c r="V236" s="33" t="n"/>
      <c r="W236" s="33" t="n"/>
      <c r="X236" s="33" t="n"/>
      <c r="Y236" s="33" t="n"/>
      <c r="Z236" s="33" t="n"/>
      <c r="AA236" s="4">
        <f>R236-G236</f>
        <v/>
      </c>
      <c r="AB236" s="4">
        <f>G236-R236</f>
        <v/>
      </c>
      <c r="AC236" s="33" t="n"/>
    </row>
    <row r="237" ht="18.75" customHeight="1">
      <c r="A237" s="35">
        <f>SUBTOTAL(103,$B$24:B237)</f>
        <v/>
      </c>
      <c r="B237" s="36" t="inlineStr">
        <is>
          <t>Кастрюля емальована 5,5 л</t>
        </is>
      </c>
      <c r="C237" s="37" t="inlineStr">
        <is>
          <t>шт.</t>
        </is>
      </c>
      <c r="D237" s="33" t="n"/>
      <c r="E237" s="33" t="n"/>
      <c r="F237" s="33">
        <f>E237*0.05</f>
        <v/>
      </c>
      <c r="G237" s="33">
        <f>E237+F237</f>
        <v/>
      </c>
      <c r="H237" s="33" t="n"/>
      <c r="I237" s="33" t="n"/>
      <c r="J237" s="33" t="n"/>
      <c r="K237" s="33">
        <f>L237+M237+N237</f>
        <v/>
      </c>
      <c r="L237" s="33" t="n"/>
      <c r="M237" s="33" t="n"/>
      <c r="N237" s="33" t="n"/>
      <c r="O237" s="33">
        <f>P237+Q237</f>
        <v/>
      </c>
      <c r="P237" s="33" t="n"/>
      <c r="Q237" s="33" t="n"/>
      <c r="R237" s="33">
        <f>H237+K237-O237</f>
        <v/>
      </c>
      <c r="S237" s="33" t="n"/>
      <c r="T237" s="33" t="n"/>
      <c r="U237" s="33" t="n"/>
      <c r="V237" s="33" t="n"/>
      <c r="W237" s="33" t="n"/>
      <c r="X237" s="33" t="n"/>
      <c r="Y237" s="33" t="n"/>
      <c r="Z237" s="33" t="n"/>
      <c r="AA237" s="4">
        <f>R237-G237</f>
        <v/>
      </c>
      <c r="AB237" s="4">
        <f>G237-R237</f>
        <v/>
      </c>
      <c r="AC237" s="33" t="n"/>
    </row>
    <row r="238" ht="18.75" customHeight="1">
      <c r="A238" s="35">
        <f>SUBTOTAL(103,$B$24:B238)</f>
        <v/>
      </c>
      <c r="B238" s="36" t="inlineStr">
        <is>
          <t>Кастрюлі емальовані 7-7,5 л</t>
        </is>
      </c>
      <c r="C238" s="37" t="inlineStr">
        <is>
          <t>шт.</t>
        </is>
      </c>
      <c r="D238" s="33" t="n"/>
      <c r="E238" s="33" t="n"/>
      <c r="F238" s="33">
        <f>E238*0.05</f>
        <v/>
      </c>
      <c r="G238" s="33">
        <f>E238+F238</f>
        <v/>
      </c>
      <c r="H238" s="33" t="n"/>
      <c r="I238" s="33" t="n"/>
      <c r="J238" s="33" t="n"/>
      <c r="K238" s="33">
        <f>L238+M238+N238</f>
        <v/>
      </c>
      <c r="L238" s="33" t="n"/>
      <c r="M238" s="33" t="n"/>
      <c r="N238" s="33" t="n"/>
      <c r="O238" s="33">
        <f>P238+Q238</f>
        <v/>
      </c>
      <c r="P238" s="33" t="n"/>
      <c r="Q238" s="33" t="n"/>
      <c r="R238" s="33">
        <f>H238+K238-O238</f>
        <v/>
      </c>
      <c r="S238" s="33" t="n"/>
      <c r="T238" s="33" t="n"/>
      <c r="U238" s="33" t="n"/>
      <c r="V238" s="33" t="n"/>
      <c r="W238" s="33" t="n"/>
      <c r="X238" s="33" t="n"/>
      <c r="Y238" s="33" t="n"/>
      <c r="Z238" s="33" t="n"/>
      <c r="AA238" s="4">
        <f>R238-G238</f>
        <v/>
      </c>
      <c r="AB238" s="4">
        <f>G238-R238</f>
        <v/>
      </c>
      <c r="AC238" s="33" t="n"/>
    </row>
    <row r="239" ht="18.75" customHeight="1">
      <c r="A239" s="35">
        <f>SUBTOTAL(103,$B$24:B239)</f>
        <v/>
      </c>
      <c r="B239" s="38" t="inlineStr">
        <is>
          <t>Кастрюлі емальовані 12 л</t>
        </is>
      </c>
      <c r="C239" s="37" t="inlineStr">
        <is>
          <t>шт.</t>
        </is>
      </c>
      <c r="D239" s="33" t="n"/>
      <c r="E239" s="33" t="n"/>
      <c r="F239" s="33">
        <f>E239*0.05</f>
        <v/>
      </c>
      <c r="G239" s="33">
        <f>E239+F239</f>
        <v/>
      </c>
      <c r="H239" s="33" t="n"/>
      <c r="I239" s="33" t="n"/>
      <c r="J239" s="33" t="n"/>
      <c r="K239" s="33">
        <f>L239+M239+N239</f>
        <v/>
      </c>
      <c r="L239" s="33" t="n"/>
      <c r="M239" s="33" t="n"/>
      <c r="N239" s="33" t="n"/>
      <c r="O239" s="33">
        <f>P239+Q239</f>
        <v/>
      </c>
      <c r="P239" s="33" t="n"/>
      <c r="Q239" s="33" t="n"/>
      <c r="R239" s="33">
        <f>H239+K239-O239</f>
        <v/>
      </c>
      <c r="S239" s="33" t="n"/>
      <c r="T239" s="33" t="n"/>
      <c r="U239" s="33" t="n"/>
      <c r="V239" s="33" t="n"/>
      <c r="W239" s="33" t="n"/>
      <c r="X239" s="33" t="n"/>
      <c r="Y239" s="33" t="n"/>
      <c r="Z239" s="33" t="n"/>
      <c r="AA239" s="4">
        <f>R239-G239</f>
        <v/>
      </c>
      <c r="AB239" s="4">
        <f>G239-R239</f>
        <v/>
      </c>
      <c r="AC239" s="33" t="n"/>
    </row>
    <row r="240" ht="18.75" customHeight="1">
      <c r="A240" s="35">
        <f>SUBTOTAL(103,$B$24:B240)</f>
        <v/>
      </c>
      <c r="B240" s="36" t="inlineStr">
        <is>
          <t>Каструля оцинкована 40 л.</t>
        </is>
      </c>
      <c r="C240" s="37" t="inlineStr">
        <is>
          <t>шт.</t>
        </is>
      </c>
      <c r="D240" s="33" t="n"/>
      <c r="E240" s="33" t="n"/>
      <c r="F240" s="33">
        <f>E240*0.05</f>
        <v/>
      </c>
      <c r="G240" s="33">
        <f>E240+F240</f>
        <v/>
      </c>
      <c r="H240" s="33" t="n"/>
      <c r="I240" s="33" t="n"/>
      <c r="J240" s="33" t="n"/>
      <c r="K240" s="33">
        <f>L240+M240+N240</f>
        <v/>
      </c>
      <c r="L240" s="33" t="n"/>
      <c r="M240" s="33" t="n"/>
      <c r="N240" s="33" t="n"/>
      <c r="O240" s="33">
        <f>P240+Q240</f>
        <v/>
      </c>
      <c r="P240" s="33" t="n"/>
      <c r="Q240" s="33" t="n"/>
      <c r="R240" s="33">
        <f>H240+K240-O240</f>
        <v/>
      </c>
      <c r="S240" s="33" t="n"/>
      <c r="T240" s="33" t="n"/>
      <c r="U240" s="33" t="n"/>
      <c r="V240" s="33" t="n"/>
      <c r="W240" s="33" t="n"/>
      <c r="X240" s="33" t="n"/>
      <c r="Y240" s="33" t="n"/>
      <c r="Z240" s="33" t="n"/>
      <c r="AA240" s="4">
        <f>R240-G240</f>
        <v/>
      </c>
      <c r="AB240" s="4">
        <f>G240-R240</f>
        <v/>
      </c>
      <c r="AC240" s="33" t="n"/>
    </row>
    <row r="241" ht="37.5" customHeight="1">
      <c r="A241" s="35">
        <f>SUBTOTAL(103,$B$24:B241)</f>
        <v/>
      </c>
      <c r="B241" s="36" t="inlineStr">
        <is>
          <t xml:space="preserve">Чайник для заварювання чаю фарфоровий </t>
        </is>
      </c>
      <c r="C241" s="37" t="inlineStr">
        <is>
          <t>шт.</t>
        </is>
      </c>
      <c r="D241" s="33" t="n"/>
      <c r="E241" s="33" t="n"/>
      <c r="F241" s="33">
        <f>E241*0.05</f>
        <v/>
      </c>
      <c r="G241" s="33">
        <f>E241+F241</f>
        <v/>
      </c>
      <c r="H241" s="33" t="n"/>
      <c r="I241" s="33" t="n"/>
      <c r="J241" s="33" t="n"/>
      <c r="K241" s="33">
        <f>L241+M241+N241</f>
        <v/>
      </c>
      <c r="L241" s="33" t="n"/>
      <c r="M241" s="33" t="n"/>
      <c r="N241" s="33" t="n"/>
      <c r="O241" s="33">
        <f>P241+Q241</f>
        <v/>
      </c>
      <c r="P241" s="33" t="n"/>
      <c r="Q241" s="33" t="n"/>
      <c r="R241" s="33">
        <f>H241+K241-O241</f>
        <v/>
      </c>
      <c r="S241" s="33" t="n"/>
      <c r="T241" s="33" t="n"/>
      <c r="U241" s="33" t="n"/>
      <c r="V241" s="33" t="n"/>
      <c r="W241" s="33" t="n"/>
      <c r="X241" s="33" t="n"/>
      <c r="Y241" s="33" t="n"/>
      <c r="Z241" s="33" t="n"/>
      <c r="AA241" s="4">
        <f>R241-G241</f>
        <v/>
      </c>
      <c r="AB241" s="4">
        <f>G241-R241</f>
        <v/>
      </c>
      <c r="AC241" s="33" t="n"/>
    </row>
    <row r="242" ht="18.75" customHeight="1">
      <c r="A242" s="35">
        <f>SUBTOTAL(103,$B$24:B242)</f>
        <v/>
      </c>
      <c r="B242" s="36" t="inlineStr">
        <is>
          <t>Чайник алюмінієвий  4-5 л</t>
        </is>
      </c>
      <c r="C242" s="37" t="inlineStr">
        <is>
          <t>шт.</t>
        </is>
      </c>
      <c r="D242" s="33" t="n"/>
      <c r="E242" s="33" t="n"/>
      <c r="F242" s="33">
        <f>E242*0.05</f>
        <v/>
      </c>
      <c r="G242" s="33">
        <f>E242+F242</f>
        <v/>
      </c>
      <c r="H242" s="33" t="n"/>
      <c r="I242" s="33" t="n"/>
      <c r="J242" s="33" t="n"/>
      <c r="K242" s="33">
        <f>L242+M242+N242</f>
        <v/>
      </c>
      <c r="L242" s="33" t="n"/>
      <c r="M242" s="33" t="n"/>
      <c r="N242" s="33" t="n"/>
      <c r="O242" s="33">
        <f>P242+Q242</f>
        <v/>
      </c>
      <c r="P242" s="33" t="n"/>
      <c r="Q242" s="33" t="n"/>
      <c r="R242" s="33">
        <f>H242+K242-O242</f>
        <v/>
      </c>
      <c r="S242" s="33" t="n"/>
      <c r="T242" s="33" t="n"/>
      <c r="U242" s="33" t="n"/>
      <c r="V242" s="33" t="n"/>
      <c r="W242" s="33" t="n"/>
      <c r="X242" s="33" t="n"/>
      <c r="Y242" s="33" t="n"/>
      <c r="Z242" s="33" t="n"/>
      <c r="AA242" s="4">
        <f>R242-G242</f>
        <v/>
      </c>
      <c r="AB242" s="4">
        <f>G242-R242</f>
        <v/>
      </c>
      <c r="AC242" s="33" t="n"/>
    </row>
    <row r="243" ht="18.75" customHeight="1">
      <c r="A243" s="35">
        <f>SUBTOTAL(103,$B$24:B243)</f>
        <v/>
      </c>
      <c r="B243" s="36" t="inlineStr">
        <is>
          <t>Чайник алюнінієвий 2,5-3 л</t>
        </is>
      </c>
      <c r="C243" s="37" t="inlineStr">
        <is>
          <t>шт.</t>
        </is>
      </c>
      <c r="D243" s="33" t="n"/>
      <c r="E243" s="33" t="n"/>
      <c r="F243" s="33">
        <f>E243*0.05</f>
        <v/>
      </c>
      <c r="G243" s="33">
        <f>E243+F243</f>
        <v/>
      </c>
      <c r="H243" s="33" t="n"/>
      <c r="I243" s="33" t="n"/>
      <c r="J243" s="33" t="n"/>
      <c r="K243" s="33">
        <f>L243+M243+N243</f>
        <v/>
      </c>
      <c r="L243" s="33" t="n"/>
      <c r="M243" s="33" t="n"/>
      <c r="N243" s="33" t="n"/>
      <c r="O243" s="33">
        <f>P243+Q243</f>
        <v/>
      </c>
      <c r="P243" s="33" t="n"/>
      <c r="Q243" s="33" t="n"/>
      <c r="R243" s="33">
        <f>H243+K243-O243</f>
        <v/>
      </c>
      <c r="S243" s="33" t="n"/>
      <c r="T243" s="33" t="n"/>
      <c r="U243" s="33" t="n"/>
      <c r="V243" s="33" t="n"/>
      <c r="W243" s="33" t="n"/>
      <c r="X243" s="33" t="n"/>
      <c r="Y243" s="33" t="n"/>
      <c r="Z243" s="33" t="n"/>
      <c r="AA243" s="4">
        <f>R243-G243</f>
        <v/>
      </c>
      <c r="AB243" s="4">
        <f>G243-R243</f>
        <v/>
      </c>
      <c r="AC243" s="33" t="n"/>
    </row>
    <row r="244" ht="18.75" customHeight="1">
      <c r="A244" s="35">
        <f>SUBTOTAL(103,$B$24:B244)</f>
        <v/>
      </c>
      <c r="B244" s="36" t="inlineStr">
        <is>
          <t>Чайник емальований 2 л</t>
        </is>
      </c>
      <c r="C244" s="37" t="inlineStr">
        <is>
          <t>шт.</t>
        </is>
      </c>
      <c r="D244" s="33" t="n"/>
      <c r="E244" s="33" t="n"/>
      <c r="F244" s="33">
        <f>E244*0.05</f>
        <v/>
      </c>
      <c r="G244" s="33">
        <f>E244+F244</f>
        <v/>
      </c>
      <c r="H244" s="33" t="n"/>
      <c r="I244" s="33" t="n"/>
      <c r="J244" s="33" t="n"/>
      <c r="K244" s="33">
        <f>L244+M244+N244</f>
        <v/>
      </c>
      <c r="L244" s="33" t="n"/>
      <c r="M244" s="33" t="n"/>
      <c r="N244" s="33" t="n"/>
      <c r="O244" s="33">
        <f>P244+Q244</f>
        <v/>
      </c>
      <c r="P244" s="33" t="n"/>
      <c r="Q244" s="33" t="n"/>
      <c r="R244" s="33">
        <f>H244+K244-O244</f>
        <v/>
      </c>
      <c r="S244" s="33" t="n"/>
      <c r="T244" s="33" t="n"/>
      <c r="U244" s="33" t="n"/>
      <c r="V244" s="33" t="n"/>
      <c r="W244" s="33" t="n"/>
      <c r="X244" s="33" t="n"/>
      <c r="Y244" s="33" t="n"/>
      <c r="Z244" s="33" t="n"/>
      <c r="AA244" s="4">
        <f>R244-G244</f>
        <v/>
      </c>
      <c r="AB244" s="4">
        <f>G244-R244</f>
        <v/>
      </c>
      <c r="AC244" s="33" t="n"/>
    </row>
    <row r="245" ht="18.75" customHeight="1">
      <c r="A245" s="35">
        <f>SUBTOTAL(103,$B$24:B245)</f>
        <v/>
      </c>
      <c r="B245" s="36" t="inlineStr">
        <is>
          <t>Чайник емальований 3,5 л</t>
        </is>
      </c>
      <c r="C245" s="37" t="inlineStr">
        <is>
          <t>шт.</t>
        </is>
      </c>
      <c r="D245" s="33" t="n"/>
      <c r="E245" s="33" t="n"/>
      <c r="F245" s="33">
        <f>E245*0.05</f>
        <v/>
      </c>
      <c r="G245" s="33">
        <f>E245+F245</f>
        <v/>
      </c>
      <c r="H245" s="33" t="n"/>
      <c r="I245" s="33" t="n"/>
      <c r="J245" s="33" t="n"/>
      <c r="K245" s="33">
        <f>L245+M245+N245</f>
        <v/>
      </c>
      <c r="L245" s="33" t="n"/>
      <c r="M245" s="33" t="n"/>
      <c r="N245" s="33" t="n"/>
      <c r="O245" s="33">
        <f>P245+Q245</f>
        <v/>
      </c>
      <c r="P245" s="33" t="n"/>
      <c r="Q245" s="33" t="n"/>
      <c r="R245" s="33">
        <f>H245+K245-O245</f>
        <v/>
      </c>
      <c r="S245" s="33" t="n"/>
      <c r="T245" s="33" t="n"/>
      <c r="U245" s="33" t="n"/>
      <c r="V245" s="33" t="n"/>
      <c r="W245" s="33" t="n"/>
      <c r="X245" s="33" t="n"/>
      <c r="Y245" s="33" t="n"/>
      <c r="Z245" s="33" t="n"/>
      <c r="AA245" s="4">
        <f>R245-G245</f>
        <v/>
      </c>
      <c r="AB245" s="4">
        <f>G245-R245</f>
        <v/>
      </c>
      <c r="AC245" s="33" t="n"/>
    </row>
    <row r="246" ht="18.75" customHeight="1">
      <c r="A246" s="35">
        <f>SUBTOTAL(103,$B$24:B246)</f>
        <v/>
      </c>
      <c r="B246" s="36" t="inlineStr">
        <is>
          <t>Чайник з нержавіючої сталі 2-3 л</t>
        </is>
      </c>
      <c r="C246" s="37" t="inlineStr">
        <is>
          <t>шт.</t>
        </is>
      </c>
      <c r="D246" s="33" t="n"/>
      <c r="E246" s="33" t="n"/>
      <c r="F246" s="33">
        <f>E246*0.05</f>
        <v/>
      </c>
      <c r="G246" s="33">
        <f>E246+F246</f>
        <v/>
      </c>
      <c r="H246" s="33" t="n"/>
      <c r="I246" s="33" t="n"/>
      <c r="J246" s="33" t="n"/>
      <c r="K246" s="33">
        <f>L246+M246+N246</f>
        <v/>
      </c>
      <c r="L246" s="33" t="n"/>
      <c r="M246" s="33" t="n"/>
      <c r="N246" s="33" t="n"/>
      <c r="O246" s="33">
        <f>P246+Q246</f>
        <v/>
      </c>
      <c r="P246" s="33" t="n"/>
      <c r="Q246" s="33" t="n"/>
      <c r="R246" s="33">
        <f>H246+K246-O246</f>
        <v/>
      </c>
      <c r="S246" s="33" t="n"/>
      <c r="T246" s="33" t="n"/>
      <c r="U246" s="33" t="n"/>
      <c r="V246" s="33" t="n"/>
      <c r="W246" s="33" t="n"/>
      <c r="X246" s="33" t="n"/>
      <c r="Y246" s="33" t="n"/>
      <c r="Z246" s="33" t="n"/>
      <c r="AA246" s="4">
        <f>R246-G246</f>
        <v/>
      </c>
      <c r="AB246" s="4">
        <f>G246-R246</f>
        <v/>
      </c>
      <c r="AC246" s="33" t="n"/>
    </row>
    <row r="247" ht="18.75" customHeight="1">
      <c r="A247" s="35">
        <f>SUBTOTAL(103,$B$24:B247)</f>
        <v/>
      </c>
      <c r="B247" s="36" t="inlineStr">
        <is>
          <t>Чайник латунно-нікілірований 3 л</t>
        </is>
      </c>
      <c r="C247" s="37" t="inlineStr">
        <is>
          <t>шт.</t>
        </is>
      </c>
      <c r="D247" s="33" t="n"/>
      <c r="E247" s="33" t="n"/>
      <c r="F247" s="33">
        <f>E247*0.05</f>
        <v/>
      </c>
      <c r="G247" s="33">
        <f>E247+F247</f>
        <v/>
      </c>
      <c r="H247" s="33" t="n"/>
      <c r="I247" s="33" t="n"/>
      <c r="J247" s="33" t="n"/>
      <c r="K247" s="33">
        <f>L247+M247+N247</f>
        <v/>
      </c>
      <c r="L247" s="33" t="n"/>
      <c r="M247" s="33" t="n"/>
      <c r="N247" s="33" t="n"/>
      <c r="O247" s="33">
        <f>P247+Q247</f>
        <v/>
      </c>
      <c r="P247" s="33" t="n"/>
      <c r="Q247" s="33" t="n"/>
      <c r="R247" s="33">
        <f>H247+K247-O247</f>
        <v/>
      </c>
      <c r="S247" s="33" t="n"/>
      <c r="T247" s="33" t="n"/>
      <c r="U247" s="33" t="n"/>
      <c r="V247" s="33" t="n"/>
      <c r="W247" s="33" t="n"/>
      <c r="X247" s="33" t="n"/>
      <c r="Y247" s="33" t="n"/>
      <c r="Z247" s="33" t="n"/>
      <c r="AA247" s="4">
        <f>R247-G247</f>
        <v/>
      </c>
      <c r="AB247" s="4">
        <f>G247-R247</f>
        <v/>
      </c>
      <c r="AC247" s="33" t="n"/>
    </row>
    <row r="248" ht="18.75" customHeight="1">
      <c r="A248" s="35">
        <f>SUBTOTAL(103,$B$24:B248)</f>
        <v/>
      </c>
      <c r="B248" s="36" t="inlineStr">
        <is>
          <t>Чайник латунно-нікілірований 4-5 л</t>
        </is>
      </c>
      <c r="C248" s="37" t="inlineStr">
        <is>
          <t>шт.</t>
        </is>
      </c>
      <c r="D248" s="33" t="n"/>
      <c r="E248" s="33" t="n"/>
      <c r="F248" s="33">
        <f>E248*0.05</f>
        <v/>
      </c>
      <c r="G248" s="33">
        <f>E248+F248</f>
        <v/>
      </c>
      <c r="H248" s="33" t="n"/>
      <c r="I248" s="33" t="n"/>
      <c r="J248" s="33" t="n"/>
      <c r="K248" s="33">
        <f>L248+M248+N248</f>
        <v/>
      </c>
      <c r="L248" s="33" t="n"/>
      <c r="M248" s="33" t="n"/>
      <c r="N248" s="33" t="n"/>
      <c r="O248" s="33">
        <f>P248+Q248</f>
        <v/>
      </c>
      <c r="P248" s="33" t="n"/>
      <c r="Q248" s="33" t="n"/>
      <c r="R248" s="33">
        <f>H248+K248-O248</f>
        <v/>
      </c>
      <c r="S248" s="33" t="n"/>
      <c r="T248" s="33" t="n"/>
      <c r="U248" s="33" t="n"/>
      <c r="V248" s="33" t="n"/>
      <c r="W248" s="33" t="n"/>
      <c r="X248" s="33" t="n"/>
      <c r="Y248" s="33" t="n"/>
      <c r="Z248" s="33" t="n"/>
      <c r="AA248" s="4">
        <f>R248-G248</f>
        <v/>
      </c>
      <c r="AB248" s="4">
        <f>G248-R248</f>
        <v/>
      </c>
      <c r="AC248" s="33" t="n"/>
    </row>
    <row r="249" ht="18.75" customHeight="1">
      <c r="A249" s="35">
        <f>SUBTOTAL(103,$B$24:B249)</f>
        <v/>
      </c>
      <c r="B249" s="36" t="inlineStr">
        <is>
          <t>Чайники з нержавіючої сталі 3 л</t>
        </is>
      </c>
      <c r="C249" s="37" t="inlineStr">
        <is>
          <t>шт.</t>
        </is>
      </c>
      <c r="D249" s="33" t="n"/>
      <c r="E249" s="33" t="n"/>
      <c r="F249" s="33">
        <f>E249*0.05</f>
        <v/>
      </c>
      <c r="G249" s="33">
        <f>E249+F249</f>
        <v/>
      </c>
      <c r="H249" s="33" t="n"/>
      <c r="I249" s="33" t="n"/>
      <c r="J249" s="33" t="n"/>
      <c r="K249" s="33">
        <f>L249+M249+N249</f>
        <v/>
      </c>
      <c r="L249" s="33" t="n"/>
      <c r="M249" s="33" t="n"/>
      <c r="N249" s="33" t="n"/>
      <c r="O249" s="33">
        <f>P249+Q249</f>
        <v/>
      </c>
      <c r="P249" s="33" t="n"/>
      <c r="Q249" s="33" t="n"/>
      <c r="R249" s="33">
        <f>H249+K249-O249</f>
        <v/>
      </c>
      <c r="S249" s="33" t="n"/>
      <c r="T249" s="33" t="n"/>
      <c r="U249" s="33" t="n"/>
      <c r="V249" s="33" t="n"/>
      <c r="W249" s="33" t="n"/>
      <c r="X249" s="33" t="n"/>
      <c r="Y249" s="33" t="n"/>
      <c r="Z249" s="33" t="n"/>
      <c r="AA249" s="4">
        <f>R249-G249</f>
        <v/>
      </c>
      <c r="AB249" s="4">
        <f>G249-R249</f>
        <v/>
      </c>
      <c r="AC249" s="33" t="n"/>
    </row>
    <row r="250" ht="18.75" customHeight="1">
      <c r="A250" s="35">
        <f>SUBTOTAL(103,$B$24:B250)</f>
        <v/>
      </c>
      <c r="B250" s="36" t="inlineStr">
        <is>
          <t>Чайник металевий</t>
        </is>
      </c>
      <c r="C250" s="37" t="inlineStr">
        <is>
          <t>шт.</t>
        </is>
      </c>
      <c r="D250" s="33" t="n"/>
      <c r="E250" s="33" t="n"/>
      <c r="F250" s="33">
        <f>E250*0.05</f>
        <v/>
      </c>
      <c r="G250" s="33">
        <f>E250+F250</f>
        <v/>
      </c>
      <c r="H250" s="33" t="n"/>
      <c r="I250" s="33" t="n"/>
      <c r="J250" s="33" t="n"/>
      <c r="K250" s="33">
        <f>L250+M250+N250</f>
        <v/>
      </c>
      <c r="L250" s="33" t="n"/>
      <c r="M250" s="33" t="n"/>
      <c r="N250" s="33" t="n"/>
      <c r="O250" s="33">
        <f>P250+Q250</f>
        <v/>
      </c>
      <c r="P250" s="33" t="n"/>
      <c r="Q250" s="33" t="n"/>
      <c r="R250" s="33">
        <f>H250+K250-O250</f>
        <v/>
      </c>
      <c r="S250" s="33" t="n"/>
      <c r="T250" s="33" t="n"/>
      <c r="U250" s="33" t="n"/>
      <c r="V250" s="33" t="n"/>
      <c r="W250" s="33" t="n"/>
      <c r="X250" s="33" t="n"/>
      <c r="Y250" s="33" t="n"/>
      <c r="Z250" s="33" t="n"/>
      <c r="AA250" s="4">
        <f>R250-G250</f>
        <v/>
      </c>
      <c r="AB250" s="4">
        <f>G250-R250</f>
        <v/>
      </c>
      <c r="AC250" s="33" t="n"/>
    </row>
    <row r="251" ht="18.75" customHeight="1">
      <c r="A251" s="35">
        <f>SUBTOTAL(103,$B$24:B251)</f>
        <v/>
      </c>
      <c r="B251" s="36" t="inlineStr">
        <is>
          <t xml:space="preserve">Чайник мельхіоровий </t>
        </is>
      </c>
      <c r="C251" s="37" t="inlineStr">
        <is>
          <t>шт.</t>
        </is>
      </c>
      <c r="D251" s="33" t="n"/>
      <c r="E251" s="33" t="n"/>
      <c r="F251" s="33">
        <f>E251*0.05</f>
        <v/>
      </c>
      <c r="G251" s="33">
        <f>E251+F251</f>
        <v/>
      </c>
      <c r="H251" s="33" t="n"/>
      <c r="I251" s="33" t="n"/>
      <c r="J251" s="33" t="n"/>
      <c r="K251" s="33">
        <f>L251+M251+N251</f>
        <v/>
      </c>
      <c r="L251" s="33" t="n"/>
      <c r="M251" s="33" t="n"/>
      <c r="N251" s="33" t="n"/>
      <c r="O251" s="33">
        <f>P251+Q251</f>
        <v/>
      </c>
      <c r="P251" s="33" t="n"/>
      <c r="Q251" s="33" t="n"/>
      <c r="R251" s="33">
        <f>H251+K251-O251</f>
        <v/>
      </c>
      <c r="S251" s="33" t="n"/>
      <c r="T251" s="33" t="n"/>
      <c r="U251" s="33" t="n"/>
      <c r="V251" s="33" t="n"/>
      <c r="W251" s="33" t="n"/>
      <c r="X251" s="33" t="n"/>
      <c r="Y251" s="33" t="n"/>
      <c r="Z251" s="33" t="n"/>
      <c r="AA251" s="4">
        <f>R251-G251</f>
        <v/>
      </c>
      <c r="AB251" s="4">
        <f>G251-R251</f>
        <v/>
      </c>
      <c r="AC251" s="33" t="n"/>
    </row>
    <row r="252" ht="18.75" customHeight="1">
      <c r="A252" s="35">
        <f>SUBTOTAL(103,$B$24:B252)</f>
        <v/>
      </c>
      <c r="B252" s="36" t="inlineStr">
        <is>
          <t xml:space="preserve">Чайник доливний фарфоровий </t>
        </is>
      </c>
      <c r="C252" s="37" t="inlineStr">
        <is>
          <t>шт.</t>
        </is>
      </c>
      <c r="D252" s="33" t="n"/>
      <c r="E252" s="33" t="n"/>
      <c r="F252" s="33">
        <f>E252*0.05</f>
        <v/>
      </c>
      <c r="G252" s="33">
        <f>E252+F252</f>
        <v/>
      </c>
      <c r="H252" s="33" t="n"/>
      <c r="I252" s="33" t="n"/>
      <c r="J252" s="33" t="n"/>
      <c r="K252" s="33">
        <f>L252+M252+N252</f>
        <v/>
      </c>
      <c r="L252" s="33" t="n"/>
      <c r="M252" s="33" t="n"/>
      <c r="N252" s="33" t="n"/>
      <c r="O252" s="33">
        <f>P252+Q252</f>
        <v/>
      </c>
      <c r="P252" s="33" t="n"/>
      <c r="Q252" s="33" t="n"/>
      <c r="R252" s="33">
        <f>H252+K252-O252</f>
        <v/>
      </c>
      <c r="S252" s="33" t="n"/>
      <c r="T252" s="33" t="n"/>
      <c r="U252" s="33" t="n"/>
      <c r="V252" s="33" t="n"/>
      <c r="W252" s="33" t="n"/>
      <c r="X252" s="33" t="n"/>
      <c r="Y252" s="33" t="n"/>
      <c r="Z252" s="33" t="n"/>
      <c r="AA252" s="4">
        <f>R252-G252</f>
        <v/>
      </c>
      <c r="AB252" s="4">
        <f>G252-R252</f>
        <v/>
      </c>
      <c r="AC252" s="33" t="n"/>
    </row>
    <row r="253" ht="18.75" customHeight="1">
      <c r="A253" s="35">
        <f>SUBTOTAL(103,$B$24:B253)</f>
        <v/>
      </c>
      <c r="B253" s="36" t="inlineStr">
        <is>
          <t>Кришка для чайника</t>
        </is>
      </c>
      <c r="C253" s="37" t="inlineStr">
        <is>
          <t>шт.</t>
        </is>
      </c>
      <c r="D253" s="33" t="n"/>
      <c r="E253" s="33" t="n"/>
      <c r="F253" s="33">
        <f>E253*0.05</f>
        <v/>
      </c>
      <c r="G253" s="33">
        <f>E253+F253</f>
        <v/>
      </c>
      <c r="H253" s="33" t="n"/>
      <c r="I253" s="33" t="n"/>
      <c r="J253" s="33" t="n"/>
      <c r="K253" s="33">
        <f>L253+M253+N253</f>
        <v/>
      </c>
      <c r="L253" s="33" t="n"/>
      <c r="M253" s="33" t="n"/>
      <c r="N253" s="33" t="n"/>
      <c r="O253" s="33">
        <f>P253+Q253</f>
        <v/>
      </c>
      <c r="P253" s="33" t="n"/>
      <c r="Q253" s="33" t="n"/>
      <c r="R253" s="33">
        <f>H253+K253-O253</f>
        <v/>
      </c>
      <c r="S253" s="33" t="n"/>
      <c r="T253" s="33" t="n"/>
      <c r="U253" s="33" t="n"/>
      <c r="V253" s="33" t="n"/>
      <c r="W253" s="33" t="n"/>
      <c r="X253" s="33" t="n"/>
      <c r="Y253" s="33" t="n"/>
      <c r="Z253" s="33" t="n"/>
      <c r="AA253" s="4">
        <f>R253-G253</f>
        <v/>
      </c>
      <c r="AB253" s="4">
        <f>G253-R253</f>
        <v/>
      </c>
      <c r="AC253" s="33" t="n"/>
    </row>
    <row r="254" ht="18.75" customHeight="1">
      <c r="A254" s="35">
        <f>SUBTOTAL(103,$B$24:B254)</f>
        <v/>
      </c>
      <c r="B254" s="36" t="inlineStr">
        <is>
          <t xml:space="preserve">Кавники фарфорові </t>
        </is>
      </c>
      <c r="C254" s="37" t="inlineStr">
        <is>
          <t>шт.</t>
        </is>
      </c>
      <c r="D254" s="33" t="n"/>
      <c r="E254" s="33" t="n"/>
      <c r="F254" s="33">
        <f>E254*0.05</f>
        <v/>
      </c>
      <c r="G254" s="33">
        <f>E254+F254</f>
        <v/>
      </c>
      <c r="H254" s="33" t="n"/>
      <c r="I254" s="33" t="n"/>
      <c r="J254" s="33" t="n"/>
      <c r="K254" s="33">
        <f>L254+M254+N254</f>
        <v/>
      </c>
      <c r="L254" s="33" t="n"/>
      <c r="M254" s="33" t="n"/>
      <c r="N254" s="33" t="n"/>
      <c r="O254" s="33">
        <f>P254+Q254</f>
        <v/>
      </c>
      <c r="P254" s="33" t="n"/>
      <c r="Q254" s="33" t="n"/>
      <c r="R254" s="33">
        <f>H254+K254-O254</f>
        <v/>
      </c>
      <c r="S254" s="33" t="n"/>
      <c r="T254" s="33" t="n"/>
      <c r="U254" s="33" t="n"/>
      <c r="V254" s="33" t="n"/>
      <c r="W254" s="33" t="n"/>
      <c r="X254" s="33" t="n"/>
      <c r="Y254" s="33" t="n"/>
      <c r="Z254" s="33" t="n"/>
      <c r="AA254" s="4">
        <f>R254-G254</f>
        <v/>
      </c>
      <c r="AB254" s="4">
        <f>G254-R254</f>
        <v/>
      </c>
      <c r="AC254" s="33" t="n"/>
    </row>
    <row r="255" ht="18.75" customHeight="1">
      <c r="A255" s="35">
        <f>SUBTOTAL(103,$B$24:B255)</f>
        <v/>
      </c>
      <c r="B255" s="36" t="inlineStr">
        <is>
          <t>Кавники алюм.</t>
        </is>
      </c>
      <c r="C255" s="37" t="inlineStr">
        <is>
          <t>шт.</t>
        </is>
      </c>
      <c r="D255" s="33" t="n"/>
      <c r="E255" s="33" t="n"/>
      <c r="F255" s="33">
        <f>E255*0.05</f>
        <v/>
      </c>
      <c r="G255" s="33">
        <f>E255+F255</f>
        <v/>
      </c>
      <c r="H255" s="33" t="n"/>
      <c r="I255" s="33" t="n"/>
      <c r="J255" s="33" t="n"/>
      <c r="K255" s="33">
        <f>L255+M255+N255</f>
        <v/>
      </c>
      <c r="L255" s="33" t="n"/>
      <c r="M255" s="33" t="n"/>
      <c r="N255" s="33" t="n"/>
      <c r="O255" s="33">
        <f>P255+Q255</f>
        <v/>
      </c>
      <c r="P255" s="33" t="n"/>
      <c r="Q255" s="33" t="n"/>
      <c r="R255" s="33">
        <f>H255+K255-O255</f>
        <v/>
      </c>
      <c r="S255" s="33" t="n"/>
      <c r="T255" s="33" t="n"/>
      <c r="U255" s="33" t="n"/>
      <c r="V255" s="33" t="n"/>
      <c r="W255" s="33" t="n"/>
      <c r="X255" s="33" t="n"/>
      <c r="Y255" s="33" t="n"/>
      <c r="Z255" s="33" t="n"/>
      <c r="AA255" s="4">
        <f>R255-G255</f>
        <v/>
      </c>
      <c r="AB255" s="4">
        <f>G255-R255</f>
        <v/>
      </c>
      <c r="AC255" s="33" t="n"/>
    </row>
    <row r="256" ht="18.75" customHeight="1">
      <c r="A256" s="35">
        <f>SUBTOTAL(103,$B$24:B256)</f>
        <v/>
      </c>
      <c r="B256" s="36" t="inlineStr">
        <is>
          <t xml:space="preserve">Кавники металеві </t>
        </is>
      </c>
      <c r="C256" s="37" t="inlineStr">
        <is>
          <t>шт.</t>
        </is>
      </c>
      <c r="D256" s="33" t="n"/>
      <c r="E256" s="33" t="n"/>
      <c r="F256" s="33">
        <f>E256*0.05</f>
        <v/>
      </c>
      <c r="G256" s="33">
        <f>E256+F256</f>
        <v/>
      </c>
      <c r="H256" s="33" t="n"/>
      <c r="I256" s="33" t="n"/>
      <c r="J256" s="33" t="n"/>
      <c r="K256" s="33">
        <f>L256+M256+N256</f>
        <v/>
      </c>
      <c r="L256" s="33" t="n"/>
      <c r="M256" s="33" t="n"/>
      <c r="N256" s="33" t="n"/>
      <c r="O256" s="33">
        <f>P256+Q256</f>
        <v/>
      </c>
      <c r="P256" s="33" t="n"/>
      <c r="Q256" s="33" t="n"/>
      <c r="R256" s="33">
        <f>H256+K256-O256</f>
        <v/>
      </c>
      <c r="S256" s="33" t="n"/>
      <c r="T256" s="33" t="n"/>
      <c r="U256" s="33" t="n"/>
      <c r="V256" s="33" t="n"/>
      <c r="W256" s="33" t="n"/>
      <c r="X256" s="33" t="n"/>
      <c r="Y256" s="33" t="n"/>
      <c r="Z256" s="33" t="n"/>
      <c r="AA256" s="4">
        <f>R256-G256</f>
        <v/>
      </c>
      <c r="AB256" s="4">
        <f>G256-R256</f>
        <v/>
      </c>
      <c r="AC256" s="33" t="n"/>
    </row>
    <row r="257" ht="18.75" customHeight="1">
      <c r="A257" s="35">
        <f>SUBTOTAL(103,$B$24:B257)</f>
        <v/>
      </c>
      <c r="B257" s="36" t="inlineStr">
        <is>
          <t>Кокотниця з н/ст</t>
        </is>
      </c>
      <c r="C257" s="37" t="inlineStr">
        <is>
          <t>шт.</t>
        </is>
      </c>
      <c r="D257" s="33" t="n"/>
      <c r="E257" s="33" t="n"/>
      <c r="F257" s="33">
        <f>E257*0.05</f>
        <v/>
      </c>
      <c r="G257" s="33">
        <f>E257+F257</f>
        <v/>
      </c>
      <c r="H257" s="33" t="n"/>
      <c r="I257" s="33" t="n"/>
      <c r="J257" s="33" t="n"/>
      <c r="K257" s="33">
        <f>L257+M257+N257</f>
        <v/>
      </c>
      <c r="L257" s="33" t="n"/>
      <c r="M257" s="33" t="n"/>
      <c r="N257" s="33" t="n"/>
      <c r="O257" s="33">
        <f>P257+Q257</f>
        <v/>
      </c>
      <c r="P257" s="33" t="n"/>
      <c r="Q257" s="33" t="n"/>
      <c r="R257" s="33">
        <f>H257+K257-O257</f>
        <v/>
      </c>
      <c r="S257" s="33" t="n"/>
      <c r="T257" s="33" t="n"/>
      <c r="U257" s="33" t="n"/>
      <c r="V257" s="33" t="n"/>
      <c r="W257" s="33" t="n"/>
      <c r="X257" s="33" t="n"/>
      <c r="Y257" s="33" t="n"/>
      <c r="Z257" s="33" t="n"/>
      <c r="AA257" s="4">
        <f>R257-G257</f>
        <v/>
      </c>
      <c r="AB257" s="4">
        <f>G257-R257</f>
        <v/>
      </c>
      <c r="AC257" s="33" t="n"/>
    </row>
    <row r="258" ht="18.75" customHeight="1">
      <c r="A258" s="35">
        <f>SUBTOTAL(103,$B$24:B258)</f>
        <v/>
      </c>
      <c r="B258" s="36" t="inlineStr">
        <is>
          <t>Кокотниця з мельхіорова</t>
        </is>
      </c>
      <c r="C258" s="37" t="inlineStr">
        <is>
          <t>шт.</t>
        </is>
      </c>
      <c r="D258" s="33" t="n"/>
      <c r="E258" s="33" t="n"/>
      <c r="F258" s="33">
        <f>E258*0.05</f>
        <v/>
      </c>
      <c r="G258" s="33">
        <f>E258+F258</f>
        <v/>
      </c>
      <c r="H258" s="33" t="n"/>
      <c r="I258" s="33" t="n"/>
      <c r="J258" s="33" t="n"/>
      <c r="K258" s="33">
        <f>L258+M258+N258</f>
        <v/>
      </c>
      <c r="L258" s="33" t="n"/>
      <c r="M258" s="33" t="n"/>
      <c r="N258" s="33" t="n"/>
      <c r="O258" s="33">
        <f>P258+Q258</f>
        <v/>
      </c>
      <c r="P258" s="33" t="n"/>
      <c r="Q258" s="33" t="n"/>
      <c r="R258" s="33">
        <f>H258+K258-O258</f>
        <v/>
      </c>
      <c r="S258" s="33" t="n"/>
      <c r="T258" s="33" t="n"/>
      <c r="U258" s="33" t="n"/>
      <c r="V258" s="33" t="n"/>
      <c r="W258" s="33" t="n"/>
      <c r="X258" s="33" t="n"/>
      <c r="Y258" s="33" t="n"/>
      <c r="Z258" s="33" t="n"/>
      <c r="AA258" s="4">
        <f>R258-G258</f>
        <v/>
      </c>
      <c r="AB258" s="4">
        <f>G258-R258</f>
        <v/>
      </c>
      <c r="AC258" s="33" t="n"/>
    </row>
    <row r="259" ht="18.75" customHeight="1">
      <c r="A259" s="35">
        <f>SUBTOTAL(103,$B$24:B259)</f>
        <v/>
      </c>
      <c r="B259" s="36" t="inlineStr">
        <is>
          <t>Судки з н/ст</t>
        </is>
      </c>
      <c r="C259" s="37" t="inlineStr">
        <is>
          <t>шт.</t>
        </is>
      </c>
      <c r="D259" s="33" t="n"/>
      <c r="E259" s="33" t="n"/>
      <c r="F259" s="33">
        <f>E259*0.05</f>
        <v/>
      </c>
      <c r="G259" s="33">
        <f>E259+F259</f>
        <v/>
      </c>
      <c r="H259" s="33" t="n"/>
      <c r="I259" s="33" t="n"/>
      <c r="J259" s="33" t="n"/>
      <c r="K259" s="33">
        <f>L259+M259+N259</f>
        <v/>
      </c>
      <c r="L259" s="33" t="n"/>
      <c r="M259" s="33" t="n"/>
      <c r="N259" s="33" t="n"/>
      <c r="O259" s="33">
        <f>P259+Q259</f>
        <v/>
      </c>
      <c r="P259" s="33" t="n"/>
      <c r="Q259" s="33" t="n"/>
      <c r="R259" s="33">
        <f>H259+K259-O259</f>
        <v/>
      </c>
      <c r="S259" s="33" t="n"/>
      <c r="T259" s="33" t="n"/>
      <c r="U259" s="33" t="n"/>
      <c r="V259" s="33" t="n"/>
      <c r="W259" s="33" t="n"/>
      <c r="X259" s="33" t="n"/>
      <c r="Y259" s="33" t="n"/>
      <c r="Z259" s="33" t="n"/>
      <c r="AA259" s="4">
        <f>R259-G259</f>
        <v/>
      </c>
      <c r="AB259" s="4">
        <f>G259-R259</f>
        <v/>
      </c>
      <c r="AC259" s="33" t="n"/>
    </row>
    <row r="260" ht="18.75" customHeight="1">
      <c r="A260" s="35">
        <f>SUBTOTAL(103,$B$24:B260)</f>
        <v/>
      </c>
      <c r="B260" s="36" t="inlineStr">
        <is>
          <t xml:space="preserve">Судок з 2-х каструль алюмінієвий </t>
        </is>
      </c>
      <c r="C260" s="37" t="inlineStr">
        <is>
          <t>шт.</t>
        </is>
      </c>
      <c r="D260" s="33" t="n"/>
      <c r="E260" s="33" t="n"/>
      <c r="F260" s="33">
        <f>E260*0.05</f>
        <v/>
      </c>
      <c r="G260" s="33">
        <f>E260+F260</f>
        <v/>
      </c>
      <c r="H260" s="33" t="n"/>
      <c r="I260" s="33" t="n"/>
      <c r="J260" s="33" t="n"/>
      <c r="K260" s="33">
        <f>L260+M260+N260</f>
        <v/>
      </c>
      <c r="L260" s="33" t="n"/>
      <c r="M260" s="33" t="n"/>
      <c r="N260" s="33" t="n"/>
      <c r="O260" s="33">
        <f>P260+Q260</f>
        <v/>
      </c>
      <c r="P260" s="33" t="n"/>
      <c r="Q260" s="33" t="n"/>
      <c r="R260" s="33">
        <f>H260+K260-O260</f>
        <v/>
      </c>
      <c r="S260" s="33" t="n"/>
      <c r="T260" s="33" t="n"/>
      <c r="U260" s="33" t="n"/>
      <c r="V260" s="33" t="n"/>
      <c r="W260" s="33" t="n"/>
      <c r="X260" s="33" t="n"/>
      <c r="Y260" s="33" t="n"/>
      <c r="Z260" s="33" t="n"/>
      <c r="AA260" s="4">
        <f>R260-G260</f>
        <v/>
      </c>
      <c r="AB260" s="4">
        <f>G260-R260</f>
        <v/>
      </c>
      <c r="AC260" s="33" t="n"/>
    </row>
    <row r="261" ht="18.75" customHeight="1">
      <c r="A261" s="35">
        <f>SUBTOTAL(103,$B$24:B261)</f>
        <v/>
      </c>
      <c r="B261" s="36" t="inlineStr">
        <is>
          <t xml:space="preserve">Судок з 3-х каструль алюмінієвий </t>
        </is>
      </c>
      <c r="C261" s="37" t="inlineStr">
        <is>
          <t>шт.</t>
        </is>
      </c>
      <c r="D261" s="33" t="n"/>
      <c r="E261" s="33" t="n"/>
      <c r="F261" s="33">
        <f>E261*0.05</f>
        <v/>
      </c>
      <c r="G261" s="33">
        <f>E261+F261</f>
        <v/>
      </c>
      <c r="H261" s="33" t="n"/>
      <c r="I261" s="33" t="n"/>
      <c r="J261" s="33" t="n"/>
      <c r="K261" s="33">
        <f>L261+M261+N261</f>
        <v/>
      </c>
      <c r="L261" s="33" t="n"/>
      <c r="M261" s="33" t="n"/>
      <c r="N261" s="33" t="n"/>
      <c r="O261" s="33">
        <f>P261+Q261</f>
        <v/>
      </c>
      <c r="P261" s="33" t="n"/>
      <c r="Q261" s="33" t="n"/>
      <c r="R261" s="33">
        <f>H261+K261-O261</f>
        <v/>
      </c>
      <c r="S261" s="33" t="n"/>
      <c r="T261" s="33" t="n"/>
      <c r="U261" s="33" t="n"/>
      <c r="V261" s="33" t="n"/>
      <c r="W261" s="33" t="n"/>
      <c r="X261" s="33" t="n"/>
      <c r="Y261" s="33" t="n"/>
      <c r="Z261" s="33" t="n"/>
      <c r="AA261" s="4">
        <f>R261-G261</f>
        <v/>
      </c>
      <c r="AB261" s="4">
        <f>G261-R261</f>
        <v/>
      </c>
      <c r="AC261" s="33" t="n"/>
    </row>
    <row r="262" ht="18.75" customHeight="1">
      <c r="A262" s="35">
        <f>SUBTOTAL(103,$B$24:B262)</f>
        <v/>
      </c>
      <c r="B262" s="36" t="inlineStr">
        <is>
          <t>Мірна кружка пластикова</t>
        </is>
      </c>
      <c r="C262" s="37" t="inlineStr">
        <is>
          <t>шт.</t>
        </is>
      </c>
      <c r="D262" s="33" t="n"/>
      <c r="E262" s="33" t="n"/>
      <c r="F262" s="33">
        <f>E262*0.05</f>
        <v/>
      </c>
      <c r="G262" s="33">
        <f>E262+F262</f>
        <v/>
      </c>
      <c r="H262" s="33" t="n"/>
      <c r="I262" s="33" t="n"/>
      <c r="J262" s="33" t="n"/>
      <c r="K262" s="33">
        <f>L262+M262+N262</f>
        <v/>
      </c>
      <c r="L262" s="33" t="n"/>
      <c r="M262" s="33" t="n"/>
      <c r="N262" s="33" t="n"/>
      <c r="O262" s="33">
        <f>P262+Q262</f>
        <v/>
      </c>
      <c r="P262" s="33" t="n"/>
      <c r="Q262" s="33" t="n"/>
      <c r="R262" s="33">
        <f>H262+K262-O262</f>
        <v/>
      </c>
      <c r="S262" s="33" t="n"/>
      <c r="T262" s="33" t="n"/>
      <c r="U262" s="33" t="n"/>
      <c r="V262" s="33" t="n"/>
      <c r="W262" s="33" t="n"/>
      <c r="X262" s="33" t="n"/>
      <c r="Y262" s="33" t="n"/>
      <c r="Z262" s="33" t="n"/>
      <c r="AA262" s="4">
        <f>R262-G262</f>
        <v/>
      </c>
      <c r="AB262" s="4">
        <f>G262-R262</f>
        <v/>
      </c>
      <c r="AC262" s="33" t="n"/>
    </row>
    <row r="263" ht="18.75" customHeight="1">
      <c r="A263" s="35">
        <f>SUBTOTAL(103,$B$24:B263)</f>
        <v/>
      </c>
      <c r="B263" s="36" t="inlineStr">
        <is>
          <t>Мірна кружка з н/ст</t>
        </is>
      </c>
      <c r="C263" s="37" t="inlineStr">
        <is>
          <t>шт.</t>
        </is>
      </c>
      <c r="D263" s="33" t="n"/>
      <c r="E263" s="33" t="n"/>
      <c r="F263" s="33">
        <f>E263*0.05</f>
        <v/>
      </c>
      <c r="G263" s="33">
        <f>E263+F263</f>
        <v/>
      </c>
      <c r="H263" s="33" t="n"/>
      <c r="I263" s="33" t="n"/>
      <c r="J263" s="33" t="n"/>
      <c r="K263" s="33">
        <f>L263+M263+N263</f>
        <v/>
      </c>
      <c r="L263" s="33" t="n"/>
      <c r="M263" s="33" t="n"/>
      <c r="N263" s="33" t="n"/>
      <c r="O263" s="33">
        <f>P263+Q263</f>
        <v/>
      </c>
      <c r="P263" s="33" t="n"/>
      <c r="Q263" s="33" t="n"/>
      <c r="R263" s="33">
        <f>H263+K263-O263</f>
        <v/>
      </c>
      <c r="S263" s="33" t="n"/>
      <c r="T263" s="33" t="n"/>
      <c r="U263" s="33" t="n"/>
      <c r="V263" s="33" t="n"/>
      <c r="W263" s="33" t="n"/>
      <c r="X263" s="33" t="n"/>
      <c r="Y263" s="33" t="n"/>
      <c r="Z263" s="33" t="n"/>
      <c r="AA263" s="4">
        <f>R263-G263</f>
        <v/>
      </c>
      <c r="AB263" s="4">
        <f>G263-R263</f>
        <v/>
      </c>
      <c r="AC263" s="33" t="n"/>
    </row>
    <row r="264" ht="18.75" customHeight="1">
      <c r="A264" s="35">
        <f>SUBTOTAL(103,$B$24:B264)</f>
        <v/>
      </c>
      <c r="B264" s="36" t="inlineStr">
        <is>
          <t>Мірна кружка скляна</t>
        </is>
      </c>
      <c r="C264" s="37" t="inlineStr">
        <is>
          <t>шт.</t>
        </is>
      </c>
      <c r="D264" s="33" t="n"/>
      <c r="E264" s="33" t="n"/>
      <c r="F264" s="33">
        <f>E264*0.05</f>
        <v/>
      </c>
      <c r="G264" s="33">
        <f>E264+F264</f>
        <v/>
      </c>
      <c r="H264" s="33" t="n"/>
      <c r="I264" s="33" t="n"/>
      <c r="J264" s="33" t="n"/>
      <c r="K264" s="33">
        <f>L264+M264+N264</f>
        <v/>
      </c>
      <c r="L264" s="33" t="n"/>
      <c r="M264" s="33" t="n"/>
      <c r="N264" s="33" t="n"/>
      <c r="O264" s="33">
        <f>P264+Q264</f>
        <v/>
      </c>
      <c r="P264" s="33" t="n"/>
      <c r="Q264" s="33" t="n"/>
      <c r="R264" s="33">
        <f>H264+K264-O264</f>
        <v/>
      </c>
      <c r="S264" s="33" t="n"/>
      <c r="T264" s="33" t="n"/>
      <c r="U264" s="33" t="n"/>
      <c r="V264" s="33" t="n"/>
      <c r="W264" s="33" t="n"/>
      <c r="X264" s="33" t="n"/>
      <c r="Y264" s="33" t="n"/>
      <c r="Z264" s="33" t="n"/>
      <c r="AA264" s="4">
        <f>R264-G264</f>
        <v/>
      </c>
      <c r="AB264" s="4">
        <f>G264-R264</f>
        <v/>
      </c>
      <c r="AC264" s="33" t="n"/>
    </row>
    <row r="265" ht="18.75" customHeight="1">
      <c r="A265" s="35">
        <f>SUBTOTAL(103,$B$24:B265)</f>
        <v/>
      </c>
      <c r="B265" s="36" t="inlineStr">
        <is>
          <t>Графин та глечик для води</t>
        </is>
      </c>
      <c r="C265" s="37" t="inlineStr">
        <is>
          <t>шт.</t>
        </is>
      </c>
      <c r="D265" s="33" t="n"/>
      <c r="E265" s="33" t="n"/>
      <c r="F265" s="33">
        <f>E265*0.05</f>
        <v/>
      </c>
      <c r="G265" s="33">
        <f>E265+F265</f>
        <v/>
      </c>
      <c r="H265" s="33" t="n"/>
      <c r="I265" s="33" t="n"/>
      <c r="J265" s="33" t="n"/>
      <c r="K265" s="33">
        <f>L265+M265+N265</f>
        <v/>
      </c>
      <c r="L265" s="33" t="n"/>
      <c r="M265" s="33" t="n"/>
      <c r="N265" s="33" t="n"/>
      <c r="O265" s="33">
        <f>P265+Q265</f>
        <v/>
      </c>
      <c r="P265" s="33" t="n"/>
      <c r="Q265" s="33" t="n"/>
      <c r="R265" s="33">
        <f>H265+K265-O265</f>
        <v/>
      </c>
      <c r="S265" s="33" t="n"/>
      <c r="T265" s="33" t="n"/>
      <c r="U265" s="33" t="n"/>
      <c r="V265" s="33" t="n"/>
      <c r="W265" s="33" t="n"/>
      <c r="X265" s="33" t="n"/>
      <c r="Y265" s="33" t="n"/>
      <c r="Z265" s="33" t="n"/>
      <c r="AA265" s="4">
        <f>R265-G265</f>
        <v/>
      </c>
      <c r="AB265" s="4">
        <f>G265-R265</f>
        <v/>
      </c>
      <c r="AC265" s="33" t="n"/>
    </row>
    <row r="266" ht="18.75" customHeight="1">
      <c r="A266" s="35">
        <f>SUBTOTAL(103,$B$24:B266)</f>
        <v/>
      </c>
      <c r="B266" s="36" t="inlineStr">
        <is>
          <t>Графин для води скляний</t>
        </is>
      </c>
      <c r="C266" s="37" t="inlineStr">
        <is>
          <t>шт.</t>
        </is>
      </c>
      <c r="D266" s="33" t="n"/>
      <c r="E266" s="33" t="n"/>
      <c r="F266" s="33">
        <f>E266*0.05</f>
        <v/>
      </c>
      <c r="G266" s="33">
        <f>E266+F266</f>
        <v/>
      </c>
      <c r="H266" s="33" t="n"/>
      <c r="I266" s="33" t="n"/>
      <c r="J266" s="33" t="n"/>
      <c r="K266" s="33">
        <f>L266+M266+N266</f>
        <v/>
      </c>
      <c r="L266" s="33" t="n"/>
      <c r="M266" s="33" t="n"/>
      <c r="N266" s="33" t="n"/>
      <c r="O266" s="33">
        <f>P266+Q266</f>
        <v/>
      </c>
      <c r="P266" s="33" t="n"/>
      <c r="Q266" s="33" t="n"/>
      <c r="R266" s="33">
        <f>H266+K266-O266</f>
        <v/>
      </c>
      <c r="S266" s="33" t="n"/>
      <c r="T266" s="33" t="n"/>
      <c r="U266" s="33" t="n"/>
      <c r="V266" s="33" t="n"/>
      <c r="W266" s="33" t="n"/>
      <c r="X266" s="33" t="n"/>
      <c r="Y266" s="33" t="n"/>
      <c r="Z266" s="33" t="n"/>
      <c r="AA266" s="4">
        <f>R266-G266</f>
        <v/>
      </c>
      <c r="AB266" s="4">
        <f>G266-R266</f>
        <v/>
      </c>
      <c r="AC266" s="33" t="n"/>
    </row>
    <row r="267" ht="18.75" customHeight="1">
      <c r="A267" s="35">
        <f>SUBTOTAL(103,$B$24:B267)</f>
        <v/>
      </c>
      <c r="B267" s="36" t="inlineStr">
        <is>
          <t>Графин для води кришталевий</t>
        </is>
      </c>
      <c r="C267" s="37" t="inlineStr">
        <is>
          <t>шт.</t>
        </is>
      </c>
      <c r="D267" s="33" t="n"/>
      <c r="E267" s="33" t="n"/>
      <c r="F267" s="33">
        <f>E267*0.05</f>
        <v/>
      </c>
      <c r="G267" s="33">
        <f>E267+F267</f>
        <v/>
      </c>
      <c r="H267" s="33" t="n"/>
      <c r="I267" s="33" t="n"/>
      <c r="J267" s="33" t="n"/>
      <c r="K267" s="33">
        <f>L267+M267+N267</f>
        <v/>
      </c>
      <c r="L267" s="33" t="n"/>
      <c r="M267" s="33" t="n"/>
      <c r="N267" s="33" t="n"/>
      <c r="O267" s="33">
        <f>P267+Q267</f>
        <v/>
      </c>
      <c r="P267" s="33" t="n"/>
      <c r="Q267" s="33" t="n"/>
      <c r="R267" s="33">
        <f>H267+K267-O267</f>
        <v/>
      </c>
      <c r="S267" s="33" t="n"/>
      <c r="T267" s="33" t="n"/>
      <c r="U267" s="33" t="n"/>
      <c r="V267" s="33" t="n"/>
      <c r="W267" s="33" t="n"/>
      <c r="X267" s="33" t="n"/>
      <c r="Y267" s="33" t="n"/>
      <c r="Z267" s="33" t="n"/>
      <c r="AA267" s="4">
        <f>R267-G267</f>
        <v/>
      </c>
      <c r="AB267" s="4">
        <f>G267-R267</f>
        <v/>
      </c>
      <c r="AC267" s="33" t="n"/>
    </row>
    <row r="268" ht="18.75" customHeight="1">
      <c r="A268" s="35">
        <f>SUBTOTAL(103,$B$24:B268)</f>
        <v/>
      </c>
      <c r="B268" s="36" t="inlineStr">
        <is>
          <t>Глечик для води скляний</t>
        </is>
      </c>
      <c r="C268" s="37" t="inlineStr">
        <is>
          <t>шт.</t>
        </is>
      </c>
      <c r="D268" s="33" t="n"/>
      <c r="E268" s="33" t="n"/>
      <c r="F268" s="33">
        <f>E268*0.05</f>
        <v/>
      </c>
      <c r="G268" s="33">
        <f>E268+F268</f>
        <v/>
      </c>
      <c r="H268" s="33" t="n"/>
      <c r="I268" s="33" t="n"/>
      <c r="J268" s="33" t="n"/>
      <c r="K268" s="33">
        <f>L268+M268+N268</f>
        <v/>
      </c>
      <c r="L268" s="33" t="n"/>
      <c r="M268" s="33" t="n"/>
      <c r="N268" s="33" t="n"/>
      <c r="O268" s="33">
        <f>P268+Q268</f>
        <v/>
      </c>
      <c r="P268" s="33" t="n"/>
      <c r="Q268" s="33" t="n"/>
      <c r="R268" s="33">
        <f>H268+K268-O268</f>
        <v/>
      </c>
      <c r="S268" s="33" t="n"/>
      <c r="T268" s="33" t="n"/>
      <c r="U268" s="33" t="n"/>
      <c r="V268" s="33" t="n"/>
      <c r="W268" s="33" t="n"/>
      <c r="X268" s="33" t="n"/>
      <c r="Y268" s="33" t="n"/>
      <c r="Z268" s="33" t="n"/>
      <c r="AA268" s="4">
        <f>R268-G268</f>
        <v/>
      </c>
      <c r="AB268" s="4">
        <f>G268-R268</f>
        <v/>
      </c>
      <c r="AC268" s="33" t="n"/>
    </row>
    <row r="269" ht="18.75" customHeight="1">
      <c r="A269" s="35">
        <f>SUBTOTAL(103,$B$24:B269)</f>
        <v/>
      </c>
      <c r="B269" s="36" t="inlineStr">
        <is>
          <t>Глечик для води кришталевий</t>
        </is>
      </c>
      <c r="C269" s="37" t="inlineStr">
        <is>
          <t>шт.</t>
        </is>
      </c>
      <c r="D269" s="33" t="n"/>
      <c r="E269" s="33" t="n"/>
      <c r="F269" s="33">
        <f>E269*0.05</f>
        <v/>
      </c>
      <c r="G269" s="33">
        <f>E269+F269</f>
        <v/>
      </c>
      <c r="H269" s="33" t="n"/>
      <c r="I269" s="33" t="n"/>
      <c r="J269" s="33" t="n"/>
      <c r="K269" s="33">
        <f>L269+M269+N269</f>
        <v/>
      </c>
      <c r="L269" s="33" t="n"/>
      <c r="M269" s="33" t="n"/>
      <c r="N269" s="33" t="n"/>
      <c r="O269" s="33">
        <f>P269+Q269</f>
        <v/>
      </c>
      <c r="P269" s="33" t="n"/>
      <c r="Q269" s="33" t="n"/>
      <c r="R269" s="33">
        <f>H269+K269-O269</f>
        <v/>
      </c>
      <c r="S269" s="33" t="n"/>
      <c r="T269" s="33" t="n"/>
      <c r="U269" s="33" t="n"/>
      <c r="V269" s="33" t="n"/>
      <c r="W269" s="33" t="n"/>
      <c r="X269" s="33" t="n"/>
      <c r="Y269" s="33" t="n"/>
      <c r="Z269" s="33" t="n"/>
      <c r="AA269" s="4">
        <f>R269-G269</f>
        <v/>
      </c>
      <c r="AB269" s="4">
        <f>G269-R269</f>
        <v/>
      </c>
      <c r="AC269" s="33" t="n"/>
    </row>
    <row r="270" ht="18.75" customHeight="1">
      <c r="A270" s="35">
        <f>SUBTOTAL(103,$B$24:B270)</f>
        <v/>
      </c>
      <c r="B270" s="36" t="inlineStr">
        <is>
          <t>Ківш з н/ст</t>
        </is>
      </c>
      <c r="C270" s="37" t="inlineStr">
        <is>
          <t>шт.</t>
        </is>
      </c>
      <c r="D270" s="33" t="n"/>
      <c r="E270" s="33" t="n"/>
      <c r="F270" s="33">
        <f>E270*0.05</f>
        <v/>
      </c>
      <c r="G270" s="33">
        <f>E270+F270</f>
        <v/>
      </c>
      <c r="H270" s="33" t="n"/>
      <c r="I270" s="33" t="n"/>
      <c r="J270" s="33" t="n"/>
      <c r="K270" s="33">
        <f>L270+M270+N270</f>
        <v/>
      </c>
      <c r="L270" s="33" t="n"/>
      <c r="M270" s="33" t="n"/>
      <c r="N270" s="33" t="n"/>
      <c r="O270" s="33">
        <f>P270+Q270</f>
        <v/>
      </c>
      <c r="P270" s="33" t="n"/>
      <c r="Q270" s="33" t="n"/>
      <c r="R270" s="33">
        <f>H270+K270-O270</f>
        <v/>
      </c>
      <c r="S270" s="33" t="n"/>
      <c r="T270" s="33" t="n"/>
      <c r="U270" s="33" t="n"/>
      <c r="V270" s="33" t="n"/>
      <c r="W270" s="33" t="n"/>
      <c r="X270" s="33" t="n"/>
      <c r="Y270" s="33" t="n"/>
      <c r="Z270" s="33" t="n"/>
      <c r="AA270" s="4">
        <f>R270-G270</f>
        <v/>
      </c>
      <c r="AB270" s="4">
        <f>G270-R270</f>
        <v/>
      </c>
      <c r="AC270" s="33" t="n"/>
    </row>
    <row r="271" ht="18.75" customHeight="1">
      <c r="A271" s="35">
        <f>SUBTOTAL(103,$B$24:B271)</f>
        <v/>
      </c>
      <c r="B271" s="36" t="inlineStr">
        <is>
          <t>Ківшик емальований</t>
        </is>
      </c>
      <c r="C271" s="37" t="inlineStr">
        <is>
          <t>шт.</t>
        </is>
      </c>
      <c r="D271" s="33" t="n"/>
      <c r="E271" s="33" t="n"/>
      <c r="F271" s="33">
        <f>E271*0.05</f>
        <v/>
      </c>
      <c r="G271" s="33">
        <f>E271+F271</f>
        <v/>
      </c>
      <c r="H271" s="33" t="n"/>
      <c r="I271" s="33" t="n"/>
      <c r="J271" s="33" t="n"/>
      <c r="K271" s="33">
        <f>L271+M271+N271</f>
        <v/>
      </c>
      <c r="L271" s="33" t="n"/>
      <c r="M271" s="33" t="n"/>
      <c r="N271" s="33" t="n"/>
      <c r="O271" s="33">
        <f>P271+Q271</f>
        <v/>
      </c>
      <c r="P271" s="33" t="n"/>
      <c r="Q271" s="33" t="n"/>
      <c r="R271" s="33">
        <f>H271+K271-O271</f>
        <v/>
      </c>
      <c r="S271" s="33" t="n"/>
      <c r="T271" s="33" t="n"/>
      <c r="U271" s="33" t="n"/>
      <c r="V271" s="33" t="n"/>
      <c r="W271" s="33" t="n"/>
      <c r="X271" s="33" t="n"/>
      <c r="Y271" s="33" t="n"/>
      <c r="Z271" s="33" t="n"/>
      <c r="AA271" s="4">
        <f>R271-G271</f>
        <v/>
      </c>
      <c r="AB271" s="4">
        <f>G271-R271</f>
        <v/>
      </c>
      <c r="AC271" s="33" t="n"/>
    </row>
    <row r="272" ht="18.75" customHeight="1">
      <c r="A272" s="35">
        <f>SUBTOTAL(103,$B$24:B272)</f>
        <v/>
      </c>
      <c r="B272" s="36" t="inlineStr">
        <is>
          <t>Підставка під бачки та чайник</t>
        </is>
      </c>
      <c r="C272" s="37" t="inlineStr">
        <is>
          <t>шт.</t>
        </is>
      </c>
      <c r="D272" s="33" t="n"/>
      <c r="E272" s="33" t="n"/>
      <c r="F272" s="33">
        <f>E272*0.05</f>
        <v/>
      </c>
      <c r="G272" s="33">
        <f>E272+F272</f>
        <v/>
      </c>
      <c r="H272" s="33" t="n"/>
      <c r="I272" s="33" t="n"/>
      <c r="J272" s="33" t="n"/>
      <c r="K272" s="33">
        <f>L272+M272+N272</f>
        <v/>
      </c>
      <c r="L272" s="33" t="n"/>
      <c r="M272" s="33" t="n"/>
      <c r="N272" s="33" t="n"/>
      <c r="O272" s="33">
        <f>P272+Q272</f>
        <v/>
      </c>
      <c r="P272" s="33" t="n"/>
      <c r="Q272" s="33" t="n"/>
      <c r="R272" s="33">
        <f>H272+K272-O272</f>
        <v/>
      </c>
      <c r="S272" s="33" t="n"/>
      <c r="T272" s="33" t="n"/>
      <c r="U272" s="33" t="n"/>
      <c r="V272" s="33" t="n"/>
      <c r="W272" s="33" t="n"/>
      <c r="X272" s="33" t="n"/>
      <c r="Y272" s="33" t="n"/>
      <c r="Z272" s="33" t="n"/>
      <c r="AA272" s="4">
        <f>R272-G272</f>
        <v/>
      </c>
      <c r="AB272" s="4">
        <f>G272-R272</f>
        <v/>
      </c>
      <c r="AC272" s="33" t="n"/>
    </row>
    <row r="273" ht="37.5" customHeight="1">
      <c r="A273" s="35">
        <f>SUBTOTAL(103,$B$24:B273)</f>
        <v/>
      </c>
      <c r="B273" s="36" t="inlineStr">
        <is>
          <t>Підставка під бачки та чайник алюмінієва</t>
        </is>
      </c>
      <c r="C273" s="37" t="inlineStr">
        <is>
          <t>шт.</t>
        </is>
      </c>
      <c r="D273" s="33" t="n"/>
      <c r="E273" s="33" t="n"/>
      <c r="F273" s="33">
        <f>E273*0.05</f>
        <v/>
      </c>
      <c r="G273" s="33">
        <f>E273+F273</f>
        <v/>
      </c>
      <c r="H273" s="33" t="n"/>
      <c r="I273" s="33" t="n"/>
      <c r="J273" s="33" t="n"/>
      <c r="K273" s="33">
        <f>L273+M273+N273</f>
        <v/>
      </c>
      <c r="L273" s="33" t="n"/>
      <c r="M273" s="33" t="n"/>
      <c r="N273" s="33" t="n"/>
      <c r="O273" s="33">
        <f>P273+Q273</f>
        <v/>
      </c>
      <c r="P273" s="33" t="n"/>
      <c r="Q273" s="33" t="n"/>
      <c r="R273" s="33">
        <f>H273+K273-O273</f>
        <v/>
      </c>
      <c r="S273" s="33" t="n"/>
      <c r="T273" s="33" t="n"/>
      <c r="U273" s="33" t="n"/>
      <c r="V273" s="33" t="n"/>
      <c r="W273" s="33" t="n"/>
      <c r="X273" s="33" t="n"/>
      <c r="Y273" s="33" t="n"/>
      <c r="Z273" s="33" t="n"/>
      <c r="AA273" s="4">
        <f>R273-G273</f>
        <v/>
      </c>
      <c r="AB273" s="4">
        <f>G273-R273</f>
        <v/>
      </c>
      <c r="AC273" s="33" t="n"/>
    </row>
    <row r="274" ht="37.5" customHeight="1">
      <c r="A274" s="35">
        <f>SUBTOTAL(103,$B$24:B274)</f>
        <v/>
      </c>
      <c r="B274" s="36" t="inlineStr">
        <is>
          <t>Підставка під бачки та чайник пластмасова</t>
        </is>
      </c>
      <c r="C274" s="37" t="inlineStr">
        <is>
          <t>шт.</t>
        </is>
      </c>
      <c r="D274" s="33" t="n"/>
      <c r="E274" s="33" t="n"/>
      <c r="F274" s="33">
        <f>E274*0.05</f>
        <v/>
      </c>
      <c r="G274" s="33">
        <f>E274+F274</f>
        <v/>
      </c>
      <c r="H274" s="33" t="n"/>
      <c r="I274" s="33" t="n"/>
      <c r="J274" s="33" t="n"/>
      <c r="K274" s="33">
        <f>L274+M274+N274</f>
        <v/>
      </c>
      <c r="L274" s="33" t="n"/>
      <c r="M274" s="33" t="n"/>
      <c r="N274" s="33" t="n"/>
      <c r="O274" s="33">
        <f>P274+Q274</f>
        <v/>
      </c>
      <c r="P274" s="33" t="n"/>
      <c r="Q274" s="33" t="n"/>
      <c r="R274" s="33">
        <f>H274+K274-O274</f>
        <v/>
      </c>
      <c r="S274" s="33" t="n"/>
      <c r="T274" s="33" t="n"/>
      <c r="U274" s="33" t="n"/>
      <c r="V274" s="33" t="n"/>
      <c r="W274" s="33" t="n"/>
      <c r="X274" s="33" t="n"/>
      <c r="Y274" s="33" t="n"/>
      <c r="Z274" s="33" t="n"/>
      <c r="AA274" s="4">
        <f>R274-G274</f>
        <v/>
      </c>
      <c r="AB274" s="4">
        <f>G274-R274</f>
        <v/>
      </c>
      <c r="AC274" s="33" t="n"/>
    </row>
    <row r="275" ht="18.75" customHeight="1">
      <c r="A275" s="35">
        <f>SUBTOTAL(103,$B$24:B275)</f>
        <v/>
      </c>
      <c r="B275" s="36" t="inlineStr">
        <is>
          <t xml:space="preserve">Підставка під бачки та чайник металева </t>
        </is>
      </c>
      <c r="C275" s="37" t="inlineStr">
        <is>
          <t>шт.</t>
        </is>
      </c>
      <c r="D275" s="33" t="n"/>
      <c r="E275" s="33" t="n"/>
      <c r="F275" s="33">
        <f>E275*0.05</f>
        <v/>
      </c>
      <c r="G275" s="33">
        <f>E275+F275</f>
        <v/>
      </c>
      <c r="H275" s="33" t="n"/>
      <c r="I275" s="33" t="n"/>
      <c r="J275" s="33" t="n"/>
      <c r="K275" s="33">
        <f>L275+M275+N275</f>
        <v/>
      </c>
      <c r="L275" s="33" t="n"/>
      <c r="M275" s="33" t="n"/>
      <c r="N275" s="33" t="n"/>
      <c r="O275" s="33">
        <f>P275+Q275</f>
        <v/>
      </c>
      <c r="P275" s="33" t="n"/>
      <c r="Q275" s="33" t="n"/>
      <c r="R275" s="33">
        <f>H275+K275-O275</f>
        <v/>
      </c>
      <c r="S275" s="33" t="n"/>
      <c r="T275" s="33" t="n"/>
      <c r="U275" s="33" t="n"/>
      <c r="V275" s="33" t="n"/>
      <c r="W275" s="33" t="n"/>
      <c r="X275" s="33" t="n"/>
      <c r="Y275" s="33" t="n"/>
      <c r="Z275" s="33" t="n"/>
      <c r="AA275" s="4">
        <f>R275-G275</f>
        <v/>
      </c>
      <c r="AB275" s="4">
        <f>G275-R275</f>
        <v/>
      </c>
      <c r="AC275" s="33" t="n"/>
    </row>
    <row r="276" ht="37.5" customHeight="1">
      <c r="A276" s="35">
        <f>SUBTOTAL(103,$B$24:B276)</f>
        <v/>
      </c>
      <c r="B276" s="36" t="inlineStr">
        <is>
          <t>Підставка під бачки та чайник мельхіоровий</t>
        </is>
      </c>
      <c r="C276" s="37" t="inlineStr">
        <is>
          <t>шт.</t>
        </is>
      </c>
      <c r="D276" s="33" t="n"/>
      <c r="E276" s="33" t="n"/>
      <c r="F276" s="33">
        <f>E276*0.05</f>
        <v/>
      </c>
      <c r="G276" s="33">
        <f>E276+F276</f>
        <v/>
      </c>
      <c r="H276" s="33" t="n"/>
      <c r="I276" s="33" t="n"/>
      <c r="J276" s="33" t="n"/>
      <c r="K276" s="33">
        <f>L276+M276+N276</f>
        <v/>
      </c>
      <c r="L276" s="33" t="n"/>
      <c r="M276" s="33" t="n"/>
      <c r="N276" s="33" t="n"/>
      <c r="O276" s="33">
        <f>P276+Q276</f>
        <v/>
      </c>
      <c r="P276" s="33" t="n"/>
      <c r="Q276" s="33" t="n"/>
      <c r="R276" s="33">
        <f>H276+K276-O276</f>
        <v/>
      </c>
      <c r="S276" s="33" t="n"/>
      <c r="T276" s="33" t="n"/>
      <c r="U276" s="33" t="n"/>
      <c r="V276" s="33" t="n"/>
      <c r="W276" s="33" t="n"/>
      <c r="X276" s="33" t="n"/>
      <c r="Y276" s="33" t="n"/>
      <c r="Z276" s="33" t="n"/>
      <c r="AA276" s="4">
        <f>R276-G276</f>
        <v/>
      </c>
      <c r="AB276" s="4">
        <f>G276-R276</f>
        <v/>
      </c>
      <c r="AC276" s="33" t="n"/>
    </row>
    <row r="277" ht="18.75" customHeight="1">
      <c r="A277" s="35">
        <f>SUBTOTAL(103,$B$24:B277)</f>
        <v/>
      </c>
      <c r="B277" s="36" t="inlineStr">
        <is>
          <t xml:space="preserve">Піднос алюмінієвий </t>
        </is>
      </c>
      <c r="C277" s="37" t="inlineStr">
        <is>
          <t>шт.</t>
        </is>
      </c>
      <c r="D277" s="33" t="n"/>
      <c r="E277" s="33" t="n"/>
      <c r="F277" s="33">
        <f>E277*0.05</f>
        <v/>
      </c>
      <c r="G277" s="33">
        <f>E277+F277</f>
        <v/>
      </c>
      <c r="H277" s="33" t="n"/>
      <c r="I277" s="33" t="n"/>
      <c r="J277" s="33" t="n"/>
      <c r="K277" s="33">
        <f>L277+M277+N277</f>
        <v/>
      </c>
      <c r="L277" s="33" t="n"/>
      <c r="M277" s="33" t="n"/>
      <c r="N277" s="33" t="n"/>
      <c r="O277" s="33">
        <f>P277+Q277</f>
        <v/>
      </c>
      <c r="P277" s="33" t="n"/>
      <c r="Q277" s="33" t="n"/>
      <c r="R277" s="33">
        <f>H277+K277-O277</f>
        <v/>
      </c>
      <c r="S277" s="33" t="n"/>
      <c r="T277" s="33" t="n"/>
      <c r="U277" s="33" t="n"/>
      <c r="V277" s="33" t="n"/>
      <c r="W277" s="33" t="n"/>
      <c r="X277" s="33" t="n"/>
      <c r="Y277" s="33" t="n"/>
      <c r="Z277" s="33" t="n"/>
      <c r="AA277" s="4">
        <f>R277-G277</f>
        <v/>
      </c>
      <c r="AB277" s="4">
        <f>G277-R277</f>
        <v/>
      </c>
      <c r="AC277" s="33" t="n"/>
    </row>
    <row r="278" ht="18.75" customHeight="1">
      <c r="A278" s="35">
        <f>SUBTOTAL(103,$B$24:B278)</f>
        <v/>
      </c>
      <c r="B278" s="36" t="inlineStr">
        <is>
          <t xml:space="preserve">Піднос пластмасовий </t>
        </is>
      </c>
      <c r="C278" s="37" t="inlineStr">
        <is>
          <t>шт.</t>
        </is>
      </c>
      <c r="D278" s="33" t="n"/>
      <c r="E278" s="33" t="n"/>
      <c r="F278" s="33">
        <f>E278*0.05</f>
        <v/>
      </c>
      <c r="G278" s="33">
        <f>E278+F278</f>
        <v/>
      </c>
      <c r="H278" s="33" t="n"/>
      <c r="I278" s="33" t="n"/>
      <c r="J278" s="33" t="n"/>
      <c r="K278" s="33">
        <f>L278+M278+N278</f>
        <v/>
      </c>
      <c r="L278" s="33" t="n"/>
      <c r="M278" s="33" t="n"/>
      <c r="N278" s="33" t="n"/>
      <c r="O278" s="33">
        <f>P278+Q278</f>
        <v/>
      </c>
      <c r="P278" s="33" t="n"/>
      <c r="Q278" s="33" t="n"/>
      <c r="R278" s="33">
        <f>H278+K278-O278</f>
        <v/>
      </c>
      <c r="S278" s="33" t="n"/>
      <c r="T278" s="33" t="n"/>
      <c r="U278" s="33" t="n"/>
      <c r="V278" s="33" t="n"/>
      <c r="W278" s="33" t="n"/>
      <c r="X278" s="33" t="n"/>
      <c r="Y278" s="33" t="n"/>
      <c r="Z278" s="33" t="n"/>
      <c r="AA278" s="4">
        <f>R278-G278</f>
        <v/>
      </c>
      <c r="AB278" s="4">
        <f>G278-R278</f>
        <v/>
      </c>
      <c r="AC278" s="33" t="n"/>
    </row>
    <row r="279" ht="18.75" customHeight="1">
      <c r="A279" s="35">
        <f>SUBTOTAL(103,$B$24:B279)</f>
        <v/>
      </c>
      <c r="B279" s="36" t="inlineStr">
        <is>
          <t>Піднос хромовий</t>
        </is>
      </c>
      <c r="C279" s="37" t="inlineStr">
        <is>
          <t>шт.</t>
        </is>
      </c>
      <c r="D279" s="33" t="n"/>
      <c r="E279" s="33" t="n"/>
      <c r="F279" s="33">
        <f>E279*0.05</f>
        <v/>
      </c>
      <c r="G279" s="33">
        <f>E279+F279</f>
        <v/>
      </c>
      <c r="H279" s="33" t="n"/>
      <c r="I279" s="33" t="n"/>
      <c r="J279" s="33" t="n"/>
      <c r="K279" s="33">
        <f>L279+M279+N279</f>
        <v/>
      </c>
      <c r="L279" s="33" t="n"/>
      <c r="M279" s="33" t="n"/>
      <c r="N279" s="33" t="n"/>
      <c r="O279" s="33">
        <f>P279+Q279</f>
        <v/>
      </c>
      <c r="P279" s="33" t="n"/>
      <c r="Q279" s="33" t="n"/>
      <c r="R279" s="33">
        <f>H279+K279-O279</f>
        <v/>
      </c>
      <c r="S279" s="33" t="n"/>
      <c r="T279" s="33" t="n"/>
      <c r="U279" s="33" t="n"/>
      <c r="V279" s="33" t="n"/>
      <c r="W279" s="33" t="n"/>
      <c r="X279" s="33" t="n"/>
      <c r="Y279" s="33" t="n"/>
      <c r="Z279" s="33" t="n"/>
      <c r="AA279" s="4">
        <f>R279-G279</f>
        <v/>
      </c>
      <c r="AB279" s="4">
        <f>G279-R279</f>
        <v/>
      </c>
      <c r="AC279" s="33" t="n"/>
    </row>
    <row r="280" ht="18.75" customHeight="1">
      <c r="A280" s="35">
        <f>SUBTOTAL(103,$B$24:B280)</f>
        <v/>
      </c>
      <c r="B280" s="36" t="inlineStr">
        <is>
          <t>Підноси скляні</t>
        </is>
      </c>
      <c r="C280" s="37" t="inlineStr">
        <is>
          <t>шт.</t>
        </is>
      </c>
      <c r="D280" s="33" t="n"/>
      <c r="E280" s="33" t="n"/>
      <c r="F280" s="33">
        <f>E280*0.05</f>
        <v/>
      </c>
      <c r="G280" s="33">
        <f>E280+F280</f>
        <v/>
      </c>
      <c r="H280" s="33" t="n"/>
      <c r="I280" s="33" t="n"/>
      <c r="J280" s="33" t="n"/>
      <c r="K280" s="33">
        <f>L280+M280+N280</f>
        <v/>
      </c>
      <c r="L280" s="33" t="n"/>
      <c r="M280" s="33" t="n"/>
      <c r="N280" s="33" t="n"/>
      <c r="O280" s="33">
        <f>P280+Q280</f>
        <v/>
      </c>
      <c r="P280" s="33" t="n"/>
      <c r="Q280" s="33" t="n"/>
      <c r="R280" s="33">
        <f>H280+K280-O280</f>
        <v/>
      </c>
      <c r="S280" s="33" t="n"/>
      <c r="T280" s="33" t="n"/>
      <c r="U280" s="33" t="n"/>
      <c r="V280" s="33" t="n"/>
      <c r="W280" s="33" t="n"/>
      <c r="X280" s="33" t="n"/>
      <c r="Y280" s="33" t="n"/>
      <c r="Z280" s="33" t="n"/>
      <c r="AA280" s="4">
        <f>R280-G280</f>
        <v/>
      </c>
      <c r="AB280" s="4">
        <f>G280-R280</f>
        <v/>
      </c>
      <c r="AC280" s="33" t="n"/>
    </row>
    <row r="281" ht="18.75" customHeight="1">
      <c r="A281" s="35">
        <f>SUBTOTAL(103,$B$24:B281)</f>
        <v/>
      </c>
      <c r="B281" s="36" t="inlineStr">
        <is>
          <t xml:space="preserve">Ваза скляна для фруктів </t>
        </is>
      </c>
      <c r="C281" s="37" t="inlineStr">
        <is>
          <t>шт.</t>
        </is>
      </c>
      <c r="D281" s="33" t="n"/>
      <c r="E281" s="33" t="n"/>
      <c r="F281" s="33">
        <f>E281*0.05</f>
        <v/>
      </c>
      <c r="G281" s="33">
        <f>E281+F281</f>
        <v/>
      </c>
      <c r="H281" s="33" t="n"/>
      <c r="I281" s="33" t="n"/>
      <c r="J281" s="33" t="n"/>
      <c r="K281" s="33">
        <f>L281+M281+N281</f>
        <v/>
      </c>
      <c r="L281" s="33" t="n"/>
      <c r="M281" s="33" t="n"/>
      <c r="N281" s="33" t="n"/>
      <c r="O281" s="33">
        <f>P281+Q281</f>
        <v/>
      </c>
      <c r="P281" s="33" t="n"/>
      <c r="Q281" s="33" t="n"/>
      <c r="R281" s="33">
        <f>H281+K281-O281</f>
        <v/>
      </c>
      <c r="S281" s="33" t="n"/>
      <c r="T281" s="33" t="n"/>
      <c r="U281" s="33" t="n"/>
      <c r="V281" s="33" t="n"/>
      <c r="W281" s="33" t="n"/>
      <c r="X281" s="33" t="n"/>
      <c r="Y281" s="33" t="n"/>
      <c r="Z281" s="33" t="n"/>
      <c r="AA281" s="4">
        <f>R281-G281</f>
        <v/>
      </c>
      <c r="AB281" s="4">
        <f>G281-R281</f>
        <v/>
      </c>
      <c r="AC281" s="33" t="n"/>
    </row>
    <row r="282" ht="18.75" customHeight="1">
      <c r="A282" s="35">
        <f>SUBTOTAL(103,$B$24:B282)</f>
        <v/>
      </c>
      <c r="B282" s="36" t="inlineStr">
        <is>
          <t xml:space="preserve">Ваза скляна для квітів </t>
        </is>
      </c>
      <c r="C282" s="37" t="inlineStr">
        <is>
          <t>шт.</t>
        </is>
      </c>
      <c r="D282" s="33" t="n"/>
      <c r="E282" s="33" t="n"/>
      <c r="F282" s="33">
        <f>E282*0.05</f>
        <v/>
      </c>
      <c r="G282" s="33">
        <f>E282+F282</f>
        <v/>
      </c>
      <c r="H282" s="33" t="n"/>
      <c r="I282" s="33" t="n"/>
      <c r="J282" s="33" t="n"/>
      <c r="K282" s="33">
        <f>L282+M282+N282</f>
        <v/>
      </c>
      <c r="L282" s="33" t="n"/>
      <c r="M282" s="33" t="n"/>
      <c r="N282" s="33" t="n"/>
      <c r="O282" s="33">
        <f>P282+Q282</f>
        <v/>
      </c>
      <c r="P282" s="33" t="n"/>
      <c r="Q282" s="33" t="n"/>
      <c r="R282" s="33">
        <f>H282+K282-O282</f>
        <v/>
      </c>
      <c r="S282" s="33" t="n"/>
      <c r="T282" s="33" t="n"/>
      <c r="U282" s="33" t="n"/>
      <c r="V282" s="33" t="n"/>
      <c r="W282" s="33" t="n"/>
      <c r="X282" s="33" t="n"/>
      <c r="Y282" s="33" t="n"/>
      <c r="Z282" s="33" t="n"/>
      <c r="AA282" s="4">
        <f>R282-G282</f>
        <v/>
      </c>
      <c r="AB282" s="4">
        <f>G282-R282</f>
        <v/>
      </c>
      <c r="AC282" s="33" t="n"/>
    </row>
    <row r="283" ht="18.75" customHeight="1">
      <c r="A283" s="35">
        <f>SUBTOTAL(103,$B$24:B283)</f>
        <v/>
      </c>
      <c r="B283" s="36" t="inlineStr">
        <is>
          <t xml:space="preserve">Ваза скляна для серветок </t>
        </is>
      </c>
      <c r="C283" s="37" t="inlineStr">
        <is>
          <t>шт.</t>
        </is>
      </c>
      <c r="D283" s="33" t="n"/>
      <c r="E283" s="33" t="n"/>
      <c r="F283" s="33">
        <f>E283*0.05</f>
        <v/>
      </c>
      <c r="G283" s="33">
        <f>E283+F283</f>
        <v/>
      </c>
      <c r="H283" s="33" t="n"/>
      <c r="I283" s="33" t="n"/>
      <c r="J283" s="33" t="n"/>
      <c r="K283" s="33">
        <f>L283+M283+N283</f>
        <v/>
      </c>
      <c r="L283" s="33" t="n"/>
      <c r="M283" s="33" t="n"/>
      <c r="N283" s="33" t="n"/>
      <c r="O283" s="33">
        <f>P283+Q283</f>
        <v/>
      </c>
      <c r="P283" s="33" t="n"/>
      <c r="Q283" s="33" t="n"/>
      <c r="R283" s="33">
        <f>H283+K283-O283</f>
        <v/>
      </c>
      <c r="S283" s="33" t="n"/>
      <c r="T283" s="33" t="n"/>
      <c r="U283" s="33" t="n"/>
      <c r="V283" s="33" t="n"/>
      <c r="W283" s="33" t="n"/>
      <c r="X283" s="33" t="n"/>
      <c r="Y283" s="33" t="n"/>
      <c r="Z283" s="33" t="n"/>
      <c r="AA283" s="4">
        <f>R283-G283</f>
        <v/>
      </c>
      <c r="AB283" s="4">
        <f>G283-R283</f>
        <v/>
      </c>
      <c r="AC283" s="33" t="n"/>
    </row>
    <row r="284" ht="18.75" customHeight="1">
      <c r="A284" s="35">
        <f>SUBTOTAL(103,$B$24:B284)</f>
        <v/>
      </c>
      <c r="B284" s="36" t="inlineStr">
        <is>
          <t xml:space="preserve">Ваза скляна для печива </t>
        </is>
      </c>
      <c r="C284" s="37" t="inlineStr">
        <is>
          <t>шт.</t>
        </is>
      </c>
      <c r="D284" s="33" t="n"/>
      <c r="E284" s="33" t="n"/>
      <c r="F284" s="33">
        <f>E284*0.05</f>
        <v/>
      </c>
      <c r="G284" s="33">
        <f>E284+F284</f>
        <v/>
      </c>
      <c r="H284" s="33" t="n"/>
      <c r="I284" s="33" t="n"/>
      <c r="J284" s="33" t="n"/>
      <c r="K284" s="33">
        <f>L284+M284+N284</f>
        <v/>
      </c>
      <c r="L284" s="33" t="n"/>
      <c r="M284" s="33" t="n"/>
      <c r="N284" s="33" t="n"/>
      <c r="O284" s="33">
        <f>P284+Q284</f>
        <v/>
      </c>
      <c r="P284" s="33" t="n"/>
      <c r="Q284" s="33" t="n"/>
      <c r="R284" s="33">
        <f>H284+K284-O284</f>
        <v/>
      </c>
      <c r="S284" s="33" t="n"/>
      <c r="T284" s="33" t="n"/>
      <c r="U284" s="33" t="n"/>
      <c r="V284" s="33" t="n"/>
      <c r="W284" s="33" t="n"/>
      <c r="X284" s="33" t="n"/>
      <c r="Y284" s="33" t="n"/>
      <c r="Z284" s="33" t="n"/>
      <c r="AA284" s="4">
        <f>R284-G284</f>
        <v/>
      </c>
      <c r="AB284" s="4">
        <f>G284-R284</f>
        <v/>
      </c>
      <c r="AC284" s="33" t="n"/>
    </row>
    <row r="285" ht="18.75" customHeight="1">
      <c r="A285" s="35">
        <f>SUBTOTAL(103,$B$24:B285)</f>
        <v/>
      </c>
      <c r="B285" s="36" t="inlineStr">
        <is>
          <t>Серветниця</t>
        </is>
      </c>
      <c r="C285" s="37" t="inlineStr">
        <is>
          <t>шт.</t>
        </is>
      </c>
      <c r="D285" s="33" t="n"/>
      <c r="E285" s="33" t="n"/>
      <c r="F285" s="33">
        <f>E285*0.05</f>
        <v/>
      </c>
      <c r="G285" s="33">
        <f>E285+F285</f>
        <v/>
      </c>
      <c r="H285" s="33" t="n"/>
      <c r="I285" s="33" t="n"/>
      <c r="J285" s="33" t="n"/>
      <c r="K285" s="33">
        <f>L285+M285+N285</f>
        <v/>
      </c>
      <c r="L285" s="33" t="n"/>
      <c r="M285" s="33" t="n"/>
      <c r="N285" s="33" t="n"/>
      <c r="O285" s="33">
        <f>P285+Q285</f>
        <v/>
      </c>
      <c r="P285" s="33" t="n"/>
      <c r="Q285" s="33" t="n"/>
      <c r="R285" s="33">
        <f>H285+K285-O285</f>
        <v/>
      </c>
      <c r="S285" s="33" t="n"/>
      <c r="T285" s="33" t="n"/>
      <c r="U285" s="33" t="n"/>
      <c r="V285" s="33" t="n"/>
      <c r="W285" s="33" t="n"/>
      <c r="X285" s="33" t="n"/>
      <c r="Y285" s="33" t="n"/>
      <c r="Z285" s="33" t="n"/>
      <c r="AA285" s="4">
        <f>R285-G285</f>
        <v/>
      </c>
      <c r="AB285" s="4">
        <f>G285-R285</f>
        <v/>
      </c>
      <c r="AC285" s="33" t="n"/>
    </row>
    <row r="286" ht="18.75" customHeight="1">
      <c r="A286" s="35">
        <f>SUBTOTAL(103,$B$24:B286)</f>
        <v/>
      </c>
      <c r="B286" s="36" t="inlineStr">
        <is>
          <t>Рибниця</t>
        </is>
      </c>
      <c r="C286" s="37" t="inlineStr">
        <is>
          <t>шт.</t>
        </is>
      </c>
      <c r="D286" s="33" t="n"/>
      <c r="E286" s="33" t="n"/>
      <c r="F286" s="33">
        <f>E286*0.05</f>
        <v/>
      </c>
      <c r="G286" s="33">
        <f>E286+F286</f>
        <v/>
      </c>
      <c r="H286" s="33" t="n"/>
      <c r="I286" s="33" t="n"/>
      <c r="J286" s="33" t="n"/>
      <c r="K286" s="33">
        <f>L286+M286+N286</f>
        <v/>
      </c>
      <c r="L286" s="33" t="n"/>
      <c r="M286" s="33" t="n"/>
      <c r="N286" s="33" t="n"/>
      <c r="O286" s="33">
        <f>P286+Q286</f>
        <v/>
      </c>
      <c r="P286" s="33" t="n"/>
      <c r="Q286" s="33" t="n"/>
      <c r="R286" s="33">
        <f>H286+K286-O286</f>
        <v/>
      </c>
      <c r="S286" s="33" t="n"/>
      <c r="T286" s="33" t="n"/>
      <c r="U286" s="33" t="n"/>
      <c r="V286" s="33" t="n"/>
      <c r="W286" s="33" t="n"/>
      <c r="X286" s="33" t="n"/>
      <c r="Y286" s="33" t="n"/>
      <c r="Z286" s="33" t="n"/>
      <c r="AA286" s="4">
        <f>R286-G286</f>
        <v/>
      </c>
      <c r="AB286" s="4">
        <f>G286-R286</f>
        <v/>
      </c>
      <c r="AC286" s="33" t="n"/>
    </row>
    <row r="287" ht="18.75" customHeight="1">
      <c r="A287" s="35">
        <f>SUBTOTAL(103,$B$24:B287)</f>
        <v/>
      </c>
      <c r="B287" s="36" t="inlineStr">
        <is>
          <t xml:space="preserve">Кільце для серветок </t>
        </is>
      </c>
      <c r="C287" s="37" t="inlineStr">
        <is>
          <t>шт.</t>
        </is>
      </c>
      <c r="D287" s="33" t="n"/>
      <c r="E287" s="33" t="n"/>
      <c r="F287" s="33">
        <f>E287*0.05</f>
        <v/>
      </c>
      <c r="G287" s="33">
        <f>E287+F287</f>
        <v/>
      </c>
      <c r="H287" s="33" t="n"/>
      <c r="I287" s="33" t="n"/>
      <c r="J287" s="33" t="n"/>
      <c r="K287" s="33">
        <f>L287+M287+N287</f>
        <v/>
      </c>
      <c r="L287" s="33" t="n"/>
      <c r="M287" s="33" t="n"/>
      <c r="N287" s="33" t="n"/>
      <c r="O287" s="33">
        <f>P287+Q287</f>
        <v/>
      </c>
      <c r="P287" s="33" t="n"/>
      <c r="Q287" s="33" t="n"/>
      <c r="R287" s="33">
        <f>H287+K287-O287</f>
        <v/>
      </c>
      <c r="S287" s="33" t="n"/>
      <c r="T287" s="33" t="n"/>
      <c r="U287" s="33" t="n"/>
      <c r="V287" s="33" t="n"/>
      <c r="W287" s="33" t="n"/>
      <c r="X287" s="33" t="n"/>
      <c r="Y287" s="33" t="n"/>
      <c r="Z287" s="33" t="n"/>
      <c r="AA287" s="4">
        <f>R287-G287</f>
        <v/>
      </c>
      <c r="AB287" s="4">
        <f>G287-R287</f>
        <v/>
      </c>
      <c r="AC287" s="33" t="n"/>
    </row>
    <row r="288" ht="18.75" customHeight="1">
      <c r="A288" s="35">
        <f>SUBTOTAL(103,$B$24:B288)</f>
        <v/>
      </c>
      <c r="B288" s="36" t="inlineStr">
        <is>
          <t xml:space="preserve">Серветка лляна </t>
        </is>
      </c>
      <c r="C288" s="37" t="inlineStr">
        <is>
          <t>шт.</t>
        </is>
      </c>
      <c r="D288" s="33" t="n"/>
      <c r="E288" s="33" t="n"/>
      <c r="F288" s="33">
        <f>E288*0.05</f>
        <v/>
      </c>
      <c r="G288" s="33">
        <f>E288+F288</f>
        <v/>
      </c>
      <c r="H288" s="33" t="n"/>
      <c r="I288" s="33" t="n"/>
      <c r="J288" s="33" t="n"/>
      <c r="K288" s="33">
        <f>L288+M288+N288</f>
        <v/>
      </c>
      <c r="L288" s="33" t="n"/>
      <c r="M288" s="33" t="n"/>
      <c r="N288" s="33" t="n"/>
      <c r="O288" s="33">
        <f>P288+Q288</f>
        <v/>
      </c>
      <c r="P288" s="33" t="n"/>
      <c r="Q288" s="33" t="n"/>
      <c r="R288" s="33">
        <f>H288+K288-O288</f>
        <v/>
      </c>
      <c r="S288" s="33" t="n"/>
      <c r="T288" s="33" t="n"/>
      <c r="U288" s="33" t="n"/>
      <c r="V288" s="33" t="n"/>
      <c r="W288" s="33" t="n"/>
      <c r="X288" s="33" t="n"/>
      <c r="Y288" s="33" t="n"/>
      <c r="Z288" s="33" t="n"/>
      <c r="AA288" s="4">
        <f>R288-G288</f>
        <v/>
      </c>
      <c r="AB288" s="4">
        <f>G288-R288</f>
        <v/>
      </c>
      <c r="AC288" s="33" t="n"/>
    </row>
    <row r="289" ht="18.75" customHeight="1">
      <c r="A289" s="35">
        <f>SUBTOTAL(103,$B$24:B289)</f>
        <v/>
      </c>
      <c r="B289" s="36" t="inlineStr">
        <is>
          <t>Серветки вологі</t>
        </is>
      </c>
      <c r="C289" s="37" t="inlineStr">
        <is>
          <t>шт.</t>
        </is>
      </c>
      <c r="D289" s="33" t="n"/>
      <c r="E289" s="33" t="n"/>
      <c r="F289" s="33">
        <f>E289*0.05</f>
        <v/>
      </c>
      <c r="G289" s="33">
        <f>E289+F289</f>
        <v/>
      </c>
      <c r="H289" s="33" t="n"/>
      <c r="I289" s="33" t="n"/>
      <c r="J289" s="33" t="n"/>
      <c r="K289" s="33">
        <f>L289+M289+N289</f>
        <v/>
      </c>
      <c r="L289" s="33" t="n"/>
      <c r="M289" s="33" t="n"/>
      <c r="N289" s="33" t="n"/>
      <c r="O289" s="33">
        <f>P289+Q289</f>
        <v/>
      </c>
      <c r="P289" s="33" t="n"/>
      <c r="Q289" s="33" t="n"/>
      <c r="R289" s="33">
        <f>H289+K289-O289</f>
        <v/>
      </c>
      <c r="S289" s="33" t="n"/>
      <c r="T289" s="33" t="n"/>
      <c r="U289" s="33" t="n"/>
      <c r="V289" s="33" t="n"/>
      <c r="W289" s="33" t="n"/>
      <c r="X289" s="33" t="n"/>
      <c r="Y289" s="33" t="n"/>
      <c r="Z289" s="33" t="n"/>
      <c r="AA289" s="4">
        <f>R289-G289</f>
        <v/>
      </c>
      <c r="AB289" s="4">
        <f>G289-R289</f>
        <v/>
      </c>
      <c r="AC289" s="33" t="n"/>
    </row>
    <row r="290" ht="18.75" customHeight="1">
      <c r="A290" s="35">
        <f>SUBTOTAL(103,$B$24:B290)</f>
        <v/>
      </c>
      <c r="B290" s="36" t="inlineStr">
        <is>
          <t>Серветка паперова одноразова</t>
        </is>
      </c>
      <c r="C290" s="37" t="inlineStr">
        <is>
          <t>шт.</t>
        </is>
      </c>
      <c r="D290" s="33" t="n"/>
      <c r="E290" s="33" t="n"/>
      <c r="F290" s="33">
        <f>E290*0.05</f>
        <v/>
      </c>
      <c r="G290" s="33">
        <f>E290+F290</f>
        <v/>
      </c>
      <c r="H290" s="33" t="n"/>
      <c r="I290" s="33" t="n"/>
      <c r="J290" s="33" t="n"/>
      <c r="K290" s="33">
        <f>L290+M290+N290</f>
        <v/>
      </c>
      <c r="L290" s="33" t="n"/>
      <c r="M290" s="33" t="n"/>
      <c r="N290" s="33" t="n"/>
      <c r="O290" s="33">
        <f>P290+Q290</f>
        <v/>
      </c>
      <c r="P290" s="33" t="n"/>
      <c r="Q290" s="33" t="n"/>
      <c r="R290" s="33">
        <f>H290+K290-O290</f>
        <v/>
      </c>
      <c r="S290" s="33" t="n"/>
      <c r="T290" s="33" t="n"/>
      <c r="U290" s="33" t="n"/>
      <c r="V290" s="33" t="n"/>
      <c r="W290" s="33" t="n"/>
      <c r="X290" s="33" t="n"/>
      <c r="Y290" s="33" t="n"/>
      <c r="Z290" s="33" t="n"/>
      <c r="AA290" s="4">
        <f>R290-G290</f>
        <v/>
      </c>
      <c r="AB290" s="4">
        <f>G290-R290</f>
        <v/>
      </c>
      <c r="AC290" s="33" t="n"/>
    </row>
    <row r="291" ht="18.75" customHeight="1">
      <c r="A291" s="35">
        <f>SUBTOTAL(103,$B$24:B291)</f>
        <v/>
      </c>
      <c r="B291" s="36" t="inlineStr">
        <is>
          <t>Полотно скатеркове біле</t>
        </is>
      </c>
      <c r="C291" s="37" t="inlineStr">
        <is>
          <t>м</t>
        </is>
      </c>
      <c r="D291" s="33" t="n"/>
      <c r="E291" s="33" t="n"/>
      <c r="F291" s="33">
        <f>E291*0.05</f>
        <v/>
      </c>
      <c r="G291" s="33">
        <f>E291+F291</f>
        <v/>
      </c>
      <c r="H291" s="33" t="n"/>
      <c r="I291" s="33" t="n"/>
      <c r="J291" s="33" t="n"/>
      <c r="K291" s="33">
        <f>L291+M291+N291</f>
        <v/>
      </c>
      <c r="L291" s="33" t="n"/>
      <c r="M291" s="33" t="n"/>
      <c r="N291" s="33" t="n"/>
      <c r="O291" s="33">
        <f>P291+Q291</f>
        <v/>
      </c>
      <c r="P291" s="33" t="n"/>
      <c r="Q291" s="33" t="n"/>
      <c r="R291" s="33">
        <f>H291+K291-O291</f>
        <v/>
      </c>
      <c r="S291" s="33" t="n"/>
      <c r="T291" s="33" t="n"/>
      <c r="U291" s="33" t="n"/>
      <c r="V291" s="33" t="n"/>
      <c r="W291" s="33" t="n"/>
      <c r="X291" s="33" t="n"/>
      <c r="Y291" s="33" t="n"/>
      <c r="Z291" s="33" t="n"/>
      <c r="AA291" s="4">
        <f>R291-G291</f>
        <v/>
      </c>
      <c r="AB291" s="4">
        <f>G291-R291</f>
        <v/>
      </c>
      <c r="AC291" s="33" t="n"/>
    </row>
    <row r="292" ht="18.75" customHeight="1">
      <c r="A292" s="35">
        <f>SUBTOTAL(103,$B$24:B292)</f>
        <v/>
      </c>
      <c r="B292" s="36" t="inlineStr">
        <is>
          <t>Полотно скатеркове кольоролве</t>
        </is>
      </c>
      <c r="C292" s="37" t="inlineStr">
        <is>
          <t>м</t>
        </is>
      </c>
      <c r="D292" s="33" t="n"/>
      <c r="E292" s="33" t="n"/>
      <c r="F292" s="33">
        <f>E292*0.05</f>
        <v/>
      </c>
      <c r="G292" s="33">
        <f>E292+F292</f>
        <v/>
      </c>
      <c r="H292" s="33" t="n"/>
      <c r="I292" s="33" t="n"/>
      <c r="J292" s="33" t="n"/>
      <c r="K292" s="33">
        <f>L292+M292+N292</f>
        <v/>
      </c>
      <c r="L292" s="33" t="n"/>
      <c r="M292" s="33" t="n"/>
      <c r="N292" s="33" t="n"/>
      <c r="O292" s="33">
        <f>P292+Q292</f>
        <v/>
      </c>
      <c r="P292" s="33" t="n"/>
      <c r="Q292" s="33" t="n"/>
      <c r="R292" s="33">
        <f>H292+K292-O292</f>
        <v/>
      </c>
      <c r="S292" s="33" t="n"/>
      <c r="T292" s="33" t="n"/>
      <c r="U292" s="33" t="n"/>
      <c r="V292" s="33" t="n"/>
      <c r="W292" s="33" t="n"/>
      <c r="X292" s="33" t="n"/>
      <c r="Y292" s="33" t="n"/>
      <c r="Z292" s="33" t="n"/>
      <c r="AA292" s="4">
        <f>R292-G292</f>
        <v/>
      </c>
      <c r="AB292" s="4">
        <f>G292-R292</f>
        <v/>
      </c>
      <c r="AC292" s="33" t="n"/>
    </row>
    <row r="293" ht="18.75" customHeight="1">
      <c r="A293" s="35">
        <f>SUBTOTAL(103,$B$24:B293)</f>
        <v/>
      </c>
      <c r="B293" s="36" t="inlineStr">
        <is>
          <t xml:space="preserve">Скатерка льняна </t>
        </is>
      </c>
      <c r="C293" s="37" t="inlineStr">
        <is>
          <t>шт.</t>
        </is>
      </c>
      <c r="D293" s="33" t="n"/>
      <c r="E293" s="33" t="n"/>
      <c r="F293" s="33">
        <f>E293*0.05</f>
        <v/>
      </c>
      <c r="G293" s="33">
        <f>E293+F293</f>
        <v/>
      </c>
      <c r="H293" s="33" t="n"/>
      <c r="I293" s="33" t="n"/>
      <c r="J293" s="33" t="n"/>
      <c r="K293" s="33">
        <f>L293+M293+N293</f>
        <v/>
      </c>
      <c r="L293" s="33" t="n"/>
      <c r="M293" s="33" t="n"/>
      <c r="N293" s="33" t="n"/>
      <c r="O293" s="33">
        <f>P293+Q293</f>
        <v/>
      </c>
      <c r="P293" s="33" t="n"/>
      <c r="Q293" s="33" t="n"/>
      <c r="R293" s="33">
        <f>H293+K293-O293</f>
        <v/>
      </c>
      <c r="S293" s="33" t="n"/>
      <c r="T293" s="33" t="n"/>
      <c r="U293" s="33" t="n"/>
      <c r="V293" s="33" t="n"/>
      <c r="W293" s="33" t="n"/>
      <c r="X293" s="33" t="n"/>
      <c r="Y293" s="33" t="n"/>
      <c r="Z293" s="33" t="n"/>
      <c r="AA293" s="4">
        <f>R293-G293</f>
        <v/>
      </c>
      <c r="AB293" s="4">
        <f>G293-R293</f>
        <v/>
      </c>
      <c r="AC293" s="33" t="n"/>
    </row>
    <row r="294" ht="18.75" customHeight="1">
      <c r="A294" s="35">
        <f>SUBTOTAL(103,$B$24:B294)</f>
        <v/>
      </c>
      <c r="B294" s="36" t="inlineStr">
        <is>
          <t xml:space="preserve">Клейонка настільна </t>
        </is>
      </c>
      <c r="C294" s="37" t="inlineStr">
        <is>
          <t>м</t>
        </is>
      </c>
      <c r="D294" s="33" t="n"/>
      <c r="E294" s="33" t="n"/>
      <c r="F294" s="33">
        <f>E294*0.05</f>
        <v/>
      </c>
      <c r="G294" s="33">
        <f>E294+F294</f>
        <v/>
      </c>
      <c r="H294" s="33" t="n"/>
      <c r="I294" s="33" t="n"/>
      <c r="J294" s="33" t="n"/>
      <c r="K294" s="33">
        <f>L294+M294+N294</f>
        <v/>
      </c>
      <c r="L294" s="33" t="n"/>
      <c r="M294" s="33" t="n"/>
      <c r="N294" s="33" t="n"/>
      <c r="O294" s="33">
        <f>P294+Q294</f>
        <v/>
      </c>
      <c r="P294" s="33" t="n"/>
      <c r="Q294" s="33" t="n"/>
      <c r="R294" s="33">
        <f>H294+K294-O294</f>
        <v/>
      </c>
      <c r="S294" s="33" t="n"/>
      <c r="T294" s="33" t="n"/>
      <c r="U294" s="33" t="n"/>
      <c r="V294" s="33" t="n"/>
      <c r="W294" s="33" t="n"/>
      <c r="X294" s="33" t="n"/>
      <c r="Y294" s="33" t="n"/>
      <c r="Z294" s="33" t="n"/>
      <c r="AA294" s="4">
        <f>R294-G294</f>
        <v/>
      </c>
      <c r="AB294" s="4">
        <f>G294-R294</f>
        <v/>
      </c>
      <c r="AC294" s="33" t="n"/>
    </row>
    <row r="295" ht="18.75" customHeight="1">
      <c r="A295" s="35">
        <f>SUBTOTAL(103,$B$24:B295)</f>
        <v/>
      </c>
      <c r="B295" s="36" t="inlineStr">
        <is>
          <t xml:space="preserve">Клейонка настільна </t>
        </is>
      </c>
      <c r="C295" s="37" t="inlineStr">
        <is>
          <t>шт.</t>
        </is>
      </c>
      <c r="D295" s="33" t="n"/>
      <c r="E295" s="33" t="n"/>
      <c r="F295" s="33">
        <f>E295*0.05</f>
        <v/>
      </c>
      <c r="G295" s="33">
        <f>E295+F295</f>
        <v/>
      </c>
      <c r="H295" s="33" t="n"/>
      <c r="I295" s="33" t="n"/>
      <c r="J295" s="33" t="n"/>
      <c r="K295" s="33">
        <f>L295+M295+N295</f>
        <v/>
      </c>
      <c r="L295" s="33" t="n"/>
      <c r="M295" s="33" t="n"/>
      <c r="N295" s="33" t="n"/>
      <c r="O295" s="33">
        <f>P295+Q295</f>
        <v/>
      </c>
      <c r="P295" s="33" t="n"/>
      <c r="Q295" s="33" t="n"/>
      <c r="R295" s="33">
        <f>H295+K295-O295</f>
        <v/>
      </c>
      <c r="S295" s="33" t="n"/>
      <c r="T295" s="33" t="n"/>
      <c r="U295" s="33" t="n"/>
      <c r="V295" s="33" t="n"/>
      <c r="W295" s="33" t="n"/>
      <c r="X295" s="33" t="n"/>
      <c r="Y295" s="33" t="n"/>
      <c r="Z295" s="33" t="n"/>
      <c r="AA295" s="4">
        <f>R295-G295</f>
        <v/>
      </c>
      <c r="AB295" s="4">
        <f>G295-R295</f>
        <v/>
      </c>
      <c r="AC295" s="33" t="n"/>
    </row>
    <row r="296" ht="18.75" customHeight="1">
      <c r="A296" s="35">
        <f>SUBTOTAL(103,$B$24:B296)</f>
        <v/>
      </c>
      <c r="B296" s="36" t="inlineStr">
        <is>
          <t>Скатертина на нетканій основі</t>
        </is>
      </c>
      <c r="C296" s="37" t="inlineStr">
        <is>
          <t>м.пог.</t>
        </is>
      </c>
      <c r="D296" s="33" t="n"/>
      <c r="E296" s="33" t="n"/>
      <c r="F296" s="33">
        <f>E296*0.05</f>
        <v/>
      </c>
      <c r="G296" s="33">
        <f>E296+F296</f>
        <v/>
      </c>
      <c r="H296" s="33" t="n"/>
      <c r="I296" s="33" t="n"/>
      <c r="J296" s="33" t="n"/>
      <c r="K296" s="33">
        <f>L296+M296+N296</f>
        <v/>
      </c>
      <c r="L296" s="33" t="n"/>
      <c r="M296" s="33" t="n"/>
      <c r="N296" s="33" t="n"/>
      <c r="O296" s="33">
        <f>P296+Q296</f>
        <v/>
      </c>
      <c r="P296" s="33" t="n"/>
      <c r="Q296" s="33" t="n"/>
      <c r="R296" s="33">
        <f>H296+K296-O296</f>
        <v/>
      </c>
      <c r="S296" s="33" t="n"/>
      <c r="T296" s="33" t="n"/>
      <c r="U296" s="33" t="n"/>
      <c r="V296" s="33" t="n"/>
      <c r="W296" s="33" t="n"/>
      <c r="X296" s="33" t="n"/>
      <c r="Y296" s="33" t="n"/>
      <c r="Z296" s="33" t="n"/>
      <c r="AA296" s="4">
        <f>R296-G296</f>
        <v/>
      </c>
      <c r="AB296" s="4">
        <f>G296-R296</f>
        <v/>
      </c>
      <c r="AC296" s="33" t="n"/>
    </row>
    <row r="297" ht="37.5" customHeight="1">
      <c r="A297" s="35">
        <f>SUBTOTAL(103,$B$24:B297)</f>
        <v/>
      </c>
      <c r="B297" s="36" t="inlineStr">
        <is>
          <t>Скатертина на нетканій основі (клейонка)</t>
        </is>
      </c>
      <c r="C297" s="37" t="inlineStr">
        <is>
          <t>шт.</t>
        </is>
      </c>
      <c r="D297" s="33" t="n"/>
      <c r="E297" s="33" t="n"/>
      <c r="F297" s="33">
        <f>E297*0.05</f>
        <v/>
      </c>
      <c r="G297" s="33">
        <f>E297+F297</f>
        <v/>
      </c>
      <c r="H297" s="33" t="n"/>
      <c r="I297" s="33" t="n"/>
      <c r="J297" s="33" t="n"/>
      <c r="K297" s="33">
        <f>L297+M297+N297</f>
        <v/>
      </c>
      <c r="L297" s="33" t="n"/>
      <c r="M297" s="33" t="n"/>
      <c r="N297" s="33" t="n"/>
      <c r="O297" s="33">
        <f>P297+Q297</f>
        <v/>
      </c>
      <c r="P297" s="33" t="n"/>
      <c r="Q297" s="33" t="n"/>
      <c r="R297" s="33">
        <f>H297+K297-O297</f>
        <v/>
      </c>
      <c r="S297" s="33" t="n"/>
      <c r="T297" s="33" t="n"/>
      <c r="U297" s="33" t="n"/>
      <c r="V297" s="33" t="n"/>
      <c r="W297" s="33" t="n"/>
      <c r="X297" s="33" t="n"/>
      <c r="Y297" s="33" t="n"/>
      <c r="Z297" s="33" t="n"/>
      <c r="AA297" s="4">
        <f>R297-G297</f>
        <v/>
      </c>
      <c r="AB297" s="4">
        <f>G297-R297</f>
        <v/>
      </c>
      <c r="AC297" s="33" t="n"/>
    </row>
    <row r="298" ht="18.75" customHeight="1">
      <c r="A298" s="35">
        <f>SUBTOTAL(103,$B$24:B298)</f>
        <v/>
      </c>
      <c r="B298" s="36" t="inlineStr">
        <is>
          <t xml:space="preserve">Рюмка скляна </t>
        </is>
      </c>
      <c r="C298" s="37" t="inlineStr">
        <is>
          <t>шт.</t>
        </is>
      </c>
      <c r="D298" s="33" t="n"/>
      <c r="E298" s="33" t="n"/>
      <c r="F298" s="33">
        <f>E298*0.05</f>
        <v/>
      </c>
      <c r="G298" s="33">
        <f>E298+F298</f>
        <v/>
      </c>
      <c r="H298" s="33" t="n"/>
      <c r="I298" s="33" t="n"/>
      <c r="J298" s="33" t="n"/>
      <c r="K298" s="33">
        <f>L298+M298+N298</f>
        <v/>
      </c>
      <c r="L298" s="33" t="n"/>
      <c r="M298" s="33" t="n"/>
      <c r="N298" s="33" t="n"/>
      <c r="O298" s="33">
        <f>P298+Q298</f>
        <v/>
      </c>
      <c r="P298" s="33" t="n"/>
      <c r="Q298" s="33" t="n"/>
      <c r="R298" s="33">
        <f>H298+K298-O298</f>
        <v/>
      </c>
      <c r="S298" s="33" t="n"/>
      <c r="T298" s="33" t="n"/>
      <c r="U298" s="33" t="n"/>
      <c r="V298" s="33" t="n"/>
      <c r="W298" s="33" t="n"/>
      <c r="X298" s="33" t="n"/>
      <c r="Y298" s="33" t="n"/>
      <c r="Z298" s="33" t="n"/>
      <c r="AA298" s="4">
        <f>R298-G298</f>
        <v/>
      </c>
      <c r="AB298" s="4">
        <f>G298-R298</f>
        <v/>
      </c>
      <c r="AC298" s="33" t="n"/>
    </row>
    <row r="299" ht="18.75" customHeight="1">
      <c r="A299" s="35">
        <f>SUBTOTAL(103,$B$24:B299)</f>
        <v/>
      </c>
      <c r="B299" s="36" t="inlineStr">
        <is>
          <t xml:space="preserve">Фужер сляний </t>
        </is>
      </c>
      <c r="C299" s="37" t="inlineStr">
        <is>
          <t>шт.</t>
        </is>
      </c>
      <c r="D299" s="33" t="n"/>
      <c r="E299" s="33" t="n"/>
      <c r="F299" s="33">
        <f>E299*0.05</f>
        <v/>
      </c>
      <c r="G299" s="33">
        <f>E299+F299</f>
        <v/>
      </c>
      <c r="H299" s="33" t="n"/>
      <c r="I299" s="33" t="n"/>
      <c r="J299" s="33" t="n"/>
      <c r="K299" s="33">
        <f>L299+M299+N299</f>
        <v/>
      </c>
      <c r="L299" s="33" t="n"/>
      <c r="M299" s="33" t="n"/>
      <c r="N299" s="33" t="n"/>
      <c r="O299" s="33">
        <f>P299+Q299</f>
        <v/>
      </c>
      <c r="P299" s="33" t="n"/>
      <c r="Q299" s="33" t="n"/>
      <c r="R299" s="33">
        <f>H299+K299-O299</f>
        <v/>
      </c>
      <c r="S299" s="33" t="n"/>
      <c r="T299" s="33" t="n"/>
      <c r="U299" s="33" t="n"/>
      <c r="V299" s="33" t="n"/>
      <c r="W299" s="33" t="n"/>
      <c r="X299" s="33" t="n"/>
      <c r="Y299" s="33" t="n"/>
      <c r="Z299" s="33" t="n"/>
      <c r="AA299" s="4">
        <f>R299-G299</f>
        <v/>
      </c>
      <c r="AB299" s="4">
        <f>G299-R299</f>
        <v/>
      </c>
      <c r="AC299" s="33" t="n"/>
    </row>
    <row r="300" ht="37.5" customHeight="1">
      <c r="A300" s="35">
        <f>SUBTOTAL(103,$B$24:B300)</f>
        <v/>
      </c>
      <c r="B300" s="36" t="inlineStr">
        <is>
          <t>Сервіз столовий фарфоровий на 12 персон</t>
        </is>
      </c>
      <c r="C300" s="37" t="inlineStr">
        <is>
          <t>к-т</t>
        </is>
      </c>
      <c r="D300" s="33" t="n"/>
      <c r="E300" s="33" t="n"/>
      <c r="F300" s="33">
        <f>E300*0.05</f>
        <v/>
      </c>
      <c r="G300" s="33">
        <f>E300+F300</f>
        <v/>
      </c>
      <c r="H300" s="33" t="n"/>
      <c r="I300" s="33" t="n"/>
      <c r="J300" s="33" t="n"/>
      <c r="K300" s="33">
        <f>L300+M300+N300</f>
        <v/>
      </c>
      <c r="L300" s="33" t="n"/>
      <c r="M300" s="33" t="n"/>
      <c r="N300" s="33" t="n"/>
      <c r="O300" s="33">
        <f>P300+Q300</f>
        <v/>
      </c>
      <c r="P300" s="33" t="n"/>
      <c r="Q300" s="33" t="n"/>
      <c r="R300" s="33">
        <f>H300+K300-O300</f>
        <v/>
      </c>
      <c r="S300" s="33" t="n"/>
      <c r="T300" s="33" t="n"/>
      <c r="U300" s="33" t="n"/>
      <c r="V300" s="33" t="n"/>
      <c r="W300" s="33" t="n"/>
      <c r="X300" s="33" t="n"/>
      <c r="Y300" s="33" t="n"/>
      <c r="Z300" s="33" t="n"/>
      <c r="AA300" s="4">
        <f>R300-G300</f>
        <v/>
      </c>
      <c r="AB300" s="4">
        <f>G300-R300</f>
        <v/>
      </c>
      <c r="AC300" s="33" t="n"/>
    </row>
    <row r="301" ht="37.5" customHeight="1">
      <c r="A301" s="35">
        <f>SUBTOTAL(103,$B$24:B301)</f>
        <v/>
      </c>
      <c r="B301" s="36" t="inlineStr">
        <is>
          <t xml:space="preserve">Сервіз столовий фарфоровий на 6 персон </t>
        </is>
      </c>
      <c r="C301" s="37" t="inlineStr">
        <is>
          <t>к-т</t>
        </is>
      </c>
      <c r="D301" s="33" t="n"/>
      <c r="E301" s="33" t="n"/>
      <c r="F301" s="33">
        <f>E301*0.05</f>
        <v/>
      </c>
      <c r="G301" s="33">
        <f>E301+F301</f>
        <v/>
      </c>
      <c r="H301" s="33" t="n"/>
      <c r="I301" s="33" t="n"/>
      <c r="J301" s="33" t="n"/>
      <c r="K301" s="33">
        <f>L301+M301+N301</f>
        <v/>
      </c>
      <c r="L301" s="33" t="n"/>
      <c r="M301" s="33" t="n"/>
      <c r="N301" s="33" t="n"/>
      <c r="O301" s="33">
        <f>P301+Q301</f>
        <v/>
      </c>
      <c r="P301" s="33" t="n"/>
      <c r="Q301" s="33" t="n"/>
      <c r="R301" s="33">
        <f>H301+K301-O301</f>
        <v/>
      </c>
      <c r="S301" s="33" t="n"/>
      <c r="T301" s="33" t="n"/>
      <c r="U301" s="33" t="n"/>
      <c r="V301" s="33" t="n"/>
      <c r="W301" s="33" t="n"/>
      <c r="X301" s="33" t="n"/>
      <c r="Y301" s="33" t="n"/>
      <c r="Z301" s="33" t="n"/>
      <c r="AA301" s="4">
        <f>R301-G301</f>
        <v/>
      </c>
      <c r="AB301" s="4">
        <f>G301-R301</f>
        <v/>
      </c>
      <c r="AC301" s="33" t="n"/>
    </row>
    <row r="302" ht="37.5" customHeight="1">
      <c r="A302" s="35">
        <f>SUBTOTAL(103,$B$24:B302)</f>
        <v/>
      </c>
      <c r="B302" s="36" t="inlineStr">
        <is>
          <t>Сервіз столовий напівфарфоровий на 6 персон</t>
        </is>
      </c>
      <c r="C302" s="37" t="inlineStr">
        <is>
          <t>к-т</t>
        </is>
      </c>
      <c r="D302" s="33" t="n"/>
      <c r="E302" s="33" t="n"/>
      <c r="F302" s="33">
        <f>E302*0.05</f>
        <v/>
      </c>
      <c r="G302" s="33">
        <f>E302+F302</f>
        <v/>
      </c>
      <c r="H302" s="33" t="n"/>
      <c r="I302" s="33" t="n"/>
      <c r="J302" s="33" t="n"/>
      <c r="K302" s="33">
        <f>L302+M302+N302</f>
        <v/>
      </c>
      <c r="L302" s="33" t="n"/>
      <c r="M302" s="33" t="n"/>
      <c r="N302" s="33" t="n"/>
      <c r="O302" s="33">
        <f>P302+Q302</f>
        <v/>
      </c>
      <c r="P302" s="33" t="n"/>
      <c r="Q302" s="33" t="n"/>
      <c r="R302" s="33">
        <f>H302+K302-O302</f>
        <v/>
      </c>
      <c r="S302" s="33" t="n"/>
      <c r="T302" s="33" t="n"/>
      <c r="U302" s="33" t="n"/>
      <c r="V302" s="33" t="n"/>
      <c r="W302" s="33" t="n"/>
      <c r="X302" s="33" t="n"/>
      <c r="Y302" s="33" t="n"/>
      <c r="Z302" s="33" t="n"/>
      <c r="AA302" s="4">
        <f>R302-G302</f>
        <v/>
      </c>
      <c r="AB302" s="4">
        <f>G302-R302</f>
        <v/>
      </c>
      <c r="AC302" s="33" t="n"/>
    </row>
    <row r="303" ht="18.75" customHeight="1">
      <c r="A303" s="35">
        <f>SUBTOTAL(103,$B$24:B303)</f>
        <v/>
      </c>
      <c r="B303" s="36" t="inlineStr">
        <is>
          <t>Сервіз чайно-кавовий на 6 персон</t>
        </is>
      </c>
      <c r="C303" s="37" t="inlineStr">
        <is>
          <t>к-т</t>
        </is>
      </c>
      <c r="D303" s="33" t="n"/>
      <c r="E303" s="33" t="n"/>
      <c r="F303" s="33">
        <f>E303*0.05</f>
        <v/>
      </c>
      <c r="G303" s="33">
        <f>E303+F303</f>
        <v/>
      </c>
      <c r="H303" s="33" t="n"/>
      <c r="I303" s="33" t="n"/>
      <c r="J303" s="33" t="n"/>
      <c r="K303" s="33">
        <f>L303+M303+N303</f>
        <v/>
      </c>
      <c r="L303" s="33" t="n"/>
      <c r="M303" s="33" t="n"/>
      <c r="N303" s="33" t="n"/>
      <c r="O303" s="33">
        <f>P303+Q303</f>
        <v/>
      </c>
      <c r="P303" s="33" t="n"/>
      <c r="Q303" s="33" t="n"/>
      <c r="R303" s="33">
        <f>H303+K303-O303</f>
        <v/>
      </c>
      <c r="S303" s="33" t="n"/>
      <c r="T303" s="33" t="n"/>
      <c r="U303" s="33" t="n"/>
      <c r="V303" s="33" t="n"/>
      <c r="W303" s="33" t="n"/>
      <c r="X303" s="33" t="n"/>
      <c r="Y303" s="33" t="n"/>
      <c r="Z303" s="33" t="n"/>
      <c r="AA303" s="4">
        <f>R303-G303</f>
        <v/>
      </c>
      <c r="AB303" s="4">
        <f>G303-R303</f>
        <v/>
      </c>
      <c r="AC303" s="33" t="n"/>
    </row>
    <row r="304" ht="37.5" customHeight="1">
      <c r="A304" s="35">
        <f>SUBTOTAL(103,$B$24:B304)</f>
        <v/>
      </c>
      <c r="B304" s="36" t="inlineStr">
        <is>
          <t>Сервіз чайний фарфоровий на 12 персон</t>
        </is>
      </c>
      <c r="C304" s="37" t="inlineStr">
        <is>
          <t>к-т</t>
        </is>
      </c>
      <c r="D304" s="33" t="n"/>
      <c r="E304" s="33" t="n"/>
      <c r="F304" s="33">
        <f>E304*0.05</f>
        <v/>
      </c>
      <c r="G304" s="33">
        <f>E304+F304</f>
        <v/>
      </c>
      <c r="H304" s="33" t="n"/>
      <c r="I304" s="33" t="n"/>
      <c r="J304" s="33" t="n"/>
      <c r="K304" s="33">
        <f>L304+M304+N304</f>
        <v/>
      </c>
      <c r="L304" s="33" t="n"/>
      <c r="M304" s="33" t="n"/>
      <c r="N304" s="33" t="n"/>
      <c r="O304" s="33">
        <f>P304+Q304</f>
        <v/>
      </c>
      <c r="P304" s="33" t="n"/>
      <c r="Q304" s="33" t="n"/>
      <c r="R304" s="33">
        <f>H304+K304-O304</f>
        <v/>
      </c>
      <c r="S304" s="33" t="n"/>
      <c r="T304" s="33" t="n"/>
      <c r="U304" s="33" t="n"/>
      <c r="V304" s="33" t="n"/>
      <c r="W304" s="33" t="n"/>
      <c r="X304" s="33" t="n"/>
      <c r="Y304" s="33" t="n"/>
      <c r="Z304" s="33" t="n"/>
      <c r="AA304" s="4">
        <f>R304-G304</f>
        <v/>
      </c>
      <c r="AB304" s="4">
        <f>G304-R304</f>
        <v/>
      </c>
      <c r="AC304" s="33" t="n"/>
    </row>
    <row r="305" ht="18.75" customHeight="1">
      <c r="A305" s="35">
        <f>SUBTOTAL(103,$B$24:B305)</f>
        <v/>
      </c>
      <c r="B305" s="36" t="inlineStr">
        <is>
          <t>Сервіз чайний фарфоровий на 6 персон</t>
        </is>
      </c>
      <c r="C305" s="37" t="inlineStr">
        <is>
          <t>к-т</t>
        </is>
      </c>
      <c r="D305" s="33" t="n"/>
      <c r="E305" s="33" t="n"/>
      <c r="F305" s="33">
        <f>E305*0.05</f>
        <v/>
      </c>
      <c r="G305" s="33">
        <f>E305+F305</f>
        <v/>
      </c>
      <c r="H305" s="33" t="n"/>
      <c r="I305" s="33" t="n"/>
      <c r="J305" s="33" t="n"/>
      <c r="K305" s="33">
        <f>L305+M305+N305</f>
        <v/>
      </c>
      <c r="L305" s="33" t="n"/>
      <c r="M305" s="33" t="n"/>
      <c r="N305" s="33" t="n"/>
      <c r="O305" s="33">
        <f>P305+Q305</f>
        <v/>
      </c>
      <c r="P305" s="33" t="n"/>
      <c r="Q305" s="33" t="n"/>
      <c r="R305" s="33">
        <f>H305+K305-O305</f>
        <v/>
      </c>
      <c r="S305" s="33" t="n"/>
      <c r="T305" s="33" t="n"/>
      <c r="U305" s="33" t="n"/>
      <c r="V305" s="33" t="n"/>
      <c r="W305" s="33" t="n"/>
      <c r="X305" s="33" t="n"/>
      <c r="Y305" s="33" t="n"/>
      <c r="Z305" s="33" t="n"/>
      <c r="AA305" s="4">
        <f>R305-G305</f>
        <v/>
      </c>
      <c r="AB305" s="4">
        <f>G305-R305</f>
        <v/>
      </c>
      <c r="AC305" s="33" t="n"/>
    </row>
    <row r="306" ht="37.5" customHeight="1">
      <c r="A306" s="35">
        <f>SUBTOTAL(103,$B$24:B306)</f>
        <v/>
      </c>
      <c r="B306" s="36" t="inlineStr">
        <is>
          <t xml:space="preserve">Сервіз кавовий фарфоровий на 12 персон </t>
        </is>
      </c>
      <c r="C306" s="37" t="inlineStr">
        <is>
          <t>к-т</t>
        </is>
      </c>
      <c r="D306" s="33" t="n"/>
      <c r="E306" s="33" t="n"/>
      <c r="F306" s="33">
        <f>E306*0.05</f>
        <v/>
      </c>
      <c r="G306" s="33">
        <f>E306+F306</f>
        <v/>
      </c>
      <c r="H306" s="33" t="n"/>
      <c r="I306" s="33" t="n"/>
      <c r="J306" s="33" t="n"/>
      <c r="K306" s="33">
        <f>L306+M306+N306</f>
        <v/>
      </c>
      <c r="L306" s="33" t="n"/>
      <c r="M306" s="33" t="n"/>
      <c r="N306" s="33" t="n"/>
      <c r="O306" s="33">
        <f>P306+Q306</f>
        <v/>
      </c>
      <c r="P306" s="33" t="n"/>
      <c r="Q306" s="33" t="n"/>
      <c r="R306" s="33">
        <f>H306+K306-O306</f>
        <v/>
      </c>
      <c r="S306" s="33" t="n"/>
      <c r="T306" s="33" t="n"/>
      <c r="U306" s="33" t="n"/>
      <c r="V306" s="33" t="n"/>
      <c r="W306" s="33" t="n"/>
      <c r="X306" s="33" t="n"/>
      <c r="Y306" s="33" t="n"/>
      <c r="Z306" s="33" t="n"/>
      <c r="AA306" s="4">
        <f>R306-G306</f>
        <v/>
      </c>
      <c r="AB306" s="4">
        <f>G306-R306</f>
        <v/>
      </c>
      <c r="AC306" s="33" t="n"/>
    </row>
    <row r="307" ht="37.5" customHeight="1">
      <c r="A307" s="35">
        <f>SUBTOTAL(103,$B$24:B307)</f>
        <v/>
      </c>
      <c r="B307" s="36" t="inlineStr">
        <is>
          <t xml:space="preserve">Сервіз кавовий фарфоровий на 6 персон </t>
        </is>
      </c>
      <c r="C307" s="37" t="inlineStr">
        <is>
          <t>к-т</t>
        </is>
      </c>
      <c r="D307" s="33" t="n"/>
      <c r="E307" s="33" t="n"/>
      <c r="F307" s="33">
        <f>E307*0.05</f>
        <v/>
      </c>
      <c r="G307" s="33">
        <f>E307+F307</f>
        <v/>
      </c>
      <c r="H307" s="33" t="n"/>
      <c r="I307" s="33" t="n"/>
      <c r="J307" s="33" t="n"/>
      <c r="K307" s="33">
        <f>L307+M307+N307</f>
        <v/>
      </c>
      <c r="L307" s="33" t="n"/>
      <c r="M307" s="33" t="n"/>
      <c r="N307" s="33" t="n"/>
      <c r="O307" s="33">
        <f>P307+Q307</f>
        <v/>
      </c>
      <c r="P307" s="33" t="n"/>
      <c r="Q307" s="33" t="n"/>
      <c r="R307" s="33">
        <f>H307+K307-O307</f>
        <v/>
      </c>
      <c r="S307" s="33" t="n"/>
      <c r="T307" s="33" t="n"/>
      <c r="U307" s="33" t="n"/>
      <c r="V307" s="33" t="n"/>
      <c r="W307" s="33" t="n"/>
      <c r="X307" s="33" t="n"/>
      <c r="Y307" s="33" t="n"/>
      <c r="Z307" s="33" t="n"/>
      <c r="AA307" s="4">
        <f>R307-G307</f>
        <v/>
      </c>
      <c r="AB307" s="4">
        <f>G307-R307</f>
        <v/>
      </c>
      <c r="AC307" s="33" t="n"/>
    </row>
    <row r="308" ht="18.75" customHeight="1">
      <c r="A308" s="35">
        <f>SUBTOTAL(103,$B$24:B308)</f>
        <v/>
      </c>
      <c r="B308" s="36" t="inlineStr">
        <is>
          <t>Сервіз для води на 6 персон</t>
        </is>
      </c>
      <c r="C308" s="37" t="inlineStr">
        <is>
          <t>к-т</t>
        </is>
      </c>
      <c r="D308" s="33" t="n"/>
      <c r="E308" s="33" t="n"/>
      <c r="F308" s="33">
        <f>E308*0.05</f>
        <v/>
      </c>
      <c r="G308" s="33">
        <f>E308+F308</f>
        <v/>
      </c>
      <c r="H308" s="33" t="n"/>
      <c r="I308" s="33" t="n"/>
      <c r="J308" s="33" t="n"/>
      <c r="K308" s="33">
        <f>L308+M308+N308</f>
        <v/>
      </c>
      <c r="L308" s="33" t="n"/>
      <c r="M308" s="33" t="n"/>
      <c r="N308" s="33" t="n"/>
      <c r="O308" s="33">
        <f>P308+Q308</f>
        <v/>
      </c>
      <c r="P308" s="33" t="n"/>
      <c r="Q308" s="33" t="n"/>
      <c r="R308" s="33">
        <f>H308+K308-O308</f>
        <v/>
      </c>
      <c r="S308" s="33" t="n"/>
      <c r="T308" s="33" t="n"/>
      <c r="U308" s="33" t="n"/>
      <c r="V308" s="33" t="n"/>
      <c r="W308" s="33" t="n"/>
      <c r="X308" s="33" t="n"/>
      <c r="Y308" s="33" t="n"/>
      <c r="Z308" s="33" t="n"/>
      <c r="AA308" s="4">
        <f>R308-G308</f>
        <v/>
      </c>
      <c r="AB308" s="4">
        <f>G308-R308</f>
        <v/>
      </c>
      <c r="AC308" s="33" t="n"/>
    </row>
    <row r="309" ht="18.75" customHeight="1">
      <c r="A309" s="35">
        <f>SUBTOTAL(103,$B$24:B309)</f>
        <v/>
      </c>
      <c r="B309" s="36" t="inlineStr">
        <is>
          <t>Набір кавовий на металевій підставці</t>
        </is>
      </c>
      <c r="C309" s="37" t="inlineStr">
        <is>
          <t>к-т</t>
        </is>
      </c>
      <c r="D309" s="33" t="n"/>
      <c r="E309" s="33" t="n"/>
      <c r="F309" s="33">
        <f>E309*0.05</f>
        <v/>
      </c>
      <c r="G309" s="33">
        <f>E309+F309</f>
        <v/>
      </c>
      <c r="H309" s="33" t="n"/>
      <c r="I309" s="33" t="n"/>
      <c r="J309" s="33" t="n"/>
      <c r="K309" s="33">
        <f>L309+M309+N309</f>
        <v/>
      </c>
      <c r="L309" s="33" t="n"/>
      <c r="M309" s="33" t="n"/>
      <c r="N309" s="33" t="n"/>
      <c r="O309" s="33">
        <f>P309+Q309</f>
        <v/>
      </c>
      <c r="P309" s="33" t="n"/>
      <c r="Q309" s="33" t="n"/>
      <c r="R309" s="33">
        <f>H309+K309-O309</f>
        <v/>
      </c>
      <c r="S309" s="33" t="n"/>
      <c r="T309" s="33" t="n"/>
      <c r="U309" s="33" t="n"/>
      <c r="V309" s="33" t="n"/>
      <c r="W309" s="33" t="n"/>
      <c r="X309" s="33" t="n"/>
      <c r="Y309" s="33" t="n"/>
      <c r="Z309" s="33" t="n"/>
      <c r="AA309" s="4">
        <f>R309-G309</f>
        <v/>
      </c>
      <c r="AB309" s="4">
        <f>G309-R309</f>
        <v/>
      </c>
      <c r="AC309" s="33" t="n"/>
    </row>
    <row r="310" ht="18.75" customHeight="1">
      <c r="A310" s="35">
        <f>SUBTOTAL(103,$B$24:B310)</f>
        <v/>
      </c>
      <c r="B310" s="36" t="inlineStr">
        <is>
          <t>Набір чайний на металевій підставці</t>
        </is>
      </c>
      <c r="C310" s="37" t="inlineStr">
        <is>
          <t>к-т</t>
        </is>
      </c>
      <c r="D310" s="33" t="n"/>
      <c r="E310" s="33" t="n"/>
      <c r="F310" s="33">
        <f>E310*0.05</f>
        <v/>
      </c>
      <c r="G310" s="33">
        <f>E310+F310</f>
        <v/>
      </c>
      <c r="H310" s="33" t="n"/>
      <c r="I310" s="33" t="n"/>
      <c r="J310" s="33" t="n"/>
      <c r="K310" s="33">
        <f>L310+M310+N310</f>
        <v/>
      </c>
      <c r="L310" s="33" t="n"/>
      <c r="M310" s="33" t="n"/>
      <c r="N310" s="33" t="n"/>
      <c r="O310" s="33">
        <f>P310+Q310</f>
        <v/>
      </c>
      <c r="P310" s="33" t="n"/>
      <c r="Q310" s="33" t="n"/>
      <c r="R310" s="33">
        <f>H310+K310-O310</f>
        <v/>
      </c>
      <c r="S310" s="33" t="n"/>
      <c r="T310" s="33" t="n"/>
      <c r="U310" s="33" t="n"/>
      <c r="V310" s="33" t="n"/>
      <c r="W310" s="33" t="n"/>
      <c r="X310" s="33" t="n"/>
      <c r="Y310" s="33" t="n"/>
      <c r="Z310" s="33" t="n"/>
      <c r="AA310" s="4">
        <f>R310-G310</f>
        <v/>
      </c>
      <c r="AB310" s="4">
        <f>G310-R310</f>
        <v/>
      </c>
      <c r="AC310" s="33" t="n"/>
    </row>
    <row r="311" ht="18.75" customHeight="1">
      <c r="A311" s="35">
        <f>SUBTOTAL(103,$B$24:B311)</f>
        <v/>
      </c>
      <c r="B311" s="36" t="inlineStr">
        <is>
          <t>Набор низких стаканов Pasabahce 6 шт.</t>
        </is>
      </c>
      <c r="C311" s="37" t="inlineStr">
        <is>
          <t>к-т</t>
        </is>
      </c>
      <c r="D311" s="33" t="n"/>
      <c r="E311" s="33" t="n"/>
      <c r="F311" s="33">
        <f>E311*0.05</f>
        <v/>
      </c>
      <c r="G311" s="33">
        <f>E311+F311</f>
        <v/>
      </c>
      <c r="H311" s="33" t="n"/>
      <c r="I311" s="33" t="n"/>
      <c r="J311" s="33" t="n"/>
      <c r="K311" s="33">
        <f>L311+M311+N311</f>
        <v/>
      </c>
      <c r="L311" s="33" t="n"/>
      <c r="M311" s="33" t="n"/>
      <c r="N311" s="33" t="n"/>
      <c r="O311" s="33">
        <f>P311+Q311</f>
        <v/>
      </c>
      <c r="P311" s="33" t="n"/>
      <c r="Q311" s="33" t="n"/>
      <c r="R311" s="33">
        <f>H311+K311-O311</f>
        <v/>
      </c>
      <c r="S311" s="33" t="n"/>
      <c r="T311" s="33" t="n"/>
      <c r="U311" s="33" t="n"/>
      <c r="V311" s="33" t="n"/>
      <c r="W311" s="33" t="n"/>
      <c r="X311" s="33" t="n"/>
      <c r="Y311" s="33" t="n"/>
      <c r="Z311" s="33" t="n"/>
      <c r="AA311" s="4">
        <f>R311-G311</f>
        <v/>
      </c>
      <c r="AB311" s="4">
        <f>G311-R311</f>
        <v/>
      </c>
      <c r="AC311" s="33" t="n"/>
    </row>
    <row r="312" ht="18.75" customHeight="1">
      <c r="A312" s="35">
        <f>SUBTOTAL(103,$B$24:B312)</f>
        <v/>
      </c>
      <c r="B312" s="36" t="inlineStr">
        <is>
          <t>Набор стопок Pasabache 6 шт.</t>
        </is>
      </c>
      <c r="C312" s="37" t="inlineStr">
        <is>
          <t>к-т</t>
        </is>
      </c>
      <c r="D312" s="33" t="n"/>
      <c r="E312" s="33" t="n"/>
      <c r="F312" s="33">
        <f>E312*0.05</f>
        <v/>
      </c>
      <c r="G312" s="33">
        <f>E312+F312</f>
        <v/>
      </c>
      <c r="H312" s="33" t="n"/>
      <c r="I312" s="33" t="n"/>
      <c r="J312" s="33" t="n"/>
      <c r="K312" s="33">
        <f>L312+M312+N312</f>
        <v/>
      </c>
      <c r="L312" s="33" t="n"/>
      <c r="M312" s="33" t="n"/>
      <c r="N312" s="33" t="n"/>
      <c r="O312" s="33">
        <f>P312+Q312</f>
        <v/>
      </c>
      <c r="P312" s="33" t="n"/>
      <c r="Q312" s="33" t="n"/>
      <c r="R312" s="33">
        <f>H312+K312-O312</f>
        <v/>
      </c>
      <c r="S312" s="33" t="n"/>
      <c r="T312" s="33" t="n"/>
      <c r="U312" s="33" t="n"/>
      <c r="V312" s="33" t="n"/>
      <c r="W312" s="33" t="n"/>
      <c r="X312" s="33" t="n"/>
      <c r="Y312" s="33" t="n"/>
      <c r="Z312" s="33" t="n"/>
      <c r="AA312" s="4">
        <f>R312-G312</f>
        <v/>
      </c>
      <c r="AB312" s="4">
        <f>G312-R312</f>
        <v/>
      </c>
      <c r="AC312" s="33" t="n"/>
    </row>
    <row r="313" ht="18.75" customHeight="1">
      <c r="A313" s="35">
        <f>SUBTOTAL(103,$B$24:B313)</f>
        <v/>
      </c>
      <c r="B313" s="36" t="inlineStr">
        <is>
          <t>Набір стопок "Стиль"6 шт. 50мл.</t>
        </is>
      </c>
      <c r="C313" s="37" t="inlineStr">
        <is>
          <t>к-т</t>
        </is>
      </c>
      <c r="D313" s="33" t="n"/>
      <c r="E313" s="33" t="n"/>
      <c r="F313" s="33">
        <f>E313*0.05</f>
        <v/>
      </c>
      <c r="G313" s="33">
        <f>E313+F313</f>
        <v/>
      </c>
      <c r="H313" s="33" t="n"/>
      <c r="I313" s="33" t="n"/>
      <c r="J313" s="33" t="n"/>
      <c r="K313" s="33">
        <f>L313+M313+N313</f>
        <v/>
      </c>
      <c r="L313" s="33" t="n"/>
      <c r="M313" s="33" t="n"/>
      <c r="N313" s="33" t="n"/>
      <c r="O313" s="33">
        <f>P313+Q313</f>
        <v/>
      </c>
      <c r="P313" s="33" t="n"/>
      <c r="Q313" s="33" t="n"/>
      <c r="R313" s="33">
        <f>H313+K313-O313</f>
        <v/>
      </c>
      <c r="S313" s="33" t="n"/>
      <c r="T313" s="33" t="n"/>
      <c r="U313" s="33" t="n"/>
      <c r="V313" s="33" t="n"/>
      <c r="W313" s="33" t="n"/>
      <c r="X313" s="33" t="n"/>
      <c r="Y313" s="33" t="n"/>
      <c r="Z313" s="33" t="n"/>
      <c r="AA313" s="4">
        <f>R313-G313</f>
        <v/>
      </c>
      <c r="AB313" s="4">
        <f>G313-R313</f>
        <v/>
      </c>
      <c r="AC313" s="33" t="n"/>
    </row>
    <row r="314" ht="18.75" customHeight="1">
      <c r="A314" s="35">
        <f>SUBTOTAL(103,$B$24:B314)</f>
        <v/>
      </c>
      <c r="B314" s="36" t="inlineStr">
        <is>
          <t>Набір стаканов Quadro 6 шт.</t>
        </is>
      </c>
      <c r="C314" s="37" t="inlineStr">
        <is>
          <t>к-т</t>
        </is>
      </c>
      <c r="D314" s="33" t="n"/>
      <c r="E314" s="33" t="n"/>
      <c r="F314" s="33">
        <f>E314*0.05</f>
        <v/>
      </c>
      <c r="G314" s="33">
        <f>E314+F314</f>
        <v/>
      </c>
      <c r="H314" s="33" t="n"/>
      <c r="I314" s="33" t="n"/>
      <c r="J314" s="33" t="n"/>
      <c r="K314" s="33">
        <f>L314+M314+N314</f>
        <v/>
      </c>
      <c r="L314" s="33" t="n"/>
      <c r="M314" s="33" t="n"/>
      <c r="N314" s="33" t="n"/>
      <c r="O314" s="33">
        <f>P314+Q314</f>
        <v/>
      </c>
      <c r="P314" s="33" t="n"/>
      <c r="Q314" s="33" t="n"/>
      <c r="R314" s="33">
        <f>H314+K314-O314</f>
        <v/>
      </c>
      <c r="S314" s="33" t="n"/>
      <c r="T314" s="33" t="n"/>
      <c r="U314" s="33" t="n"/>
      <c r="V314" s="33" t="n"/>
      <c r="W314" s="33" t="n"/>
      <c r="X314" s="33" t="n"/>
      <c r="Y314" s="33" t="n"/>
      <c r="Z314" s="33" t="n"/>
      <c r="AA314" s="4">
        <f>R314-G314</f>
        <v/>
      </c>
      <c r="AB314" s="4">
        <f>G314-R314</f>
        <v/>
      </c>
      <c r="AC314" s="33" t="n"/>
    </row>
    <row r="315" ht="18.75" customHeight="1">
      <c r="A315" s="35">
        <f>SUBTOTAL(103,$B$24:B315)</f>
        <v/>
      </c>
      <c r="B315" s="36" t="inlineStr">
        <is>
          <t>Набір склянок кришталевих 200мл.</t>
        </is>
      </c>
      <c r="C315" s="37" t="inlineStr">
        <is>
          <t>к-т</t>
        </is>
      </c>
      <c r="D315" s="33" t="n"/>
      <c r="E315" s="33" t="n"/>
      <c r="F315" s="33">
        <f>E315*0.05</f>
        <v/>
      </c>
      <c r="G315" s="33">
        <f>E315+F315</f>
        <v/>
      </c>
      <c r="H315" s="33" t="n"/>
      <c r="I315" s="33" t="n"/>
      <c r="J315" s="33" t="n"/>
      <c r="K315" s="33">
        <f>L315+M315+N315</f>
        <v/>
      </c>
      <c r="L315" s="33" t="n"/>
      <c r="M315" s="33" t="n"/>
      <c r="N315" s="33" t="n"/>
      <c r="O315" s="33">
        <f>P315+Q315</f>
        <v/>
      </c>
      <c r="P315" s="33" t="n"/>
      <c r="Q315" s="33" t="n"/>
      <c r="R315" s="33">
        <f>H315+K315-O315</f>
        <v/>
      </c>
      <c r="S315" s="33" t="n"/>
      <c r="T315" s="33" t="n"/>
      <c r="U315" s="33" t="n"/>
      <c r="V315" s="33" t="n"/>
      <c r="W315" s="33" t="n"/>
      <c r="X315" s="33" t="n"/>
      <c r="Y315" s="33" t="n"/>
      <c r="Z315" s="33" t="n"/>
      <c r="AA315" s="4">
        <f>R315-G315</f>
        <v/>
      </c>
      <c r="AB315" s="4">
        <f>G315-R315</f>
        <v/>
      </c>
      <c r="AC315" s="33" t="n"/>
    </row>
    <row r="316" ht="18.75" customHeight="1">
      <c r="A316" s="35">
        <f>SUBTOTAL(103,$B$24:B316)</f>
        <v/>
      </c>
      <c r="B316" s="36" t="inlineStr">
        <is>
          <t>Набір посуду з н/ст</t>
        </is>
      </c>
      <c r="C316" s="37" t="inlineStr">
        <is>
          <t>к-т</t>
        </is>
      </c>
      <c r="D316" s="33" t="n"/>
      <c r="E316" s="33" t="n"/>
      <c r="F316" s="33">
        <f>E316*0.05</f>
        <v/>
      </c>
      <c r="G316" s="33">
        <f>E316+F316</f>
        <v/>
      </c>
      <c r="H316" s="33" t="n"/>
      <c r="I316" s="33" t="n"/>
      <c r="J316" s="33" t="n"/>
      <c r="K316" s="33">
        <f>L316+M316+N316</f>
        <v/>
      </c>
      <c r="L316" s="33" t="n"/>
      <c r="M316" s="33" t="n"/>
      <c r="N316" s="33" t="n"/>
      <c r="O316" s="33">
        <f>P316+Q316</f>
        <v/>
      </c>
      <c r="P316" s="33" t="n"/>
      <c r="Q316" s="33" t="n"/>
      <c r="R316" s="33">
        <f>H316+K316-O316</f>
        <v/>
      </c>
      <c r="S316" s="33" t="n"/>
      <c r="T316" s="33" t="n"/>
      <c r="U316" s="33" t="n"/>
      <c r="V316" s="33" t="n"/>
      <c r="W316" s="33" t="n"/>
      <c r="X316" s="33" t="n"/>
      <c r="Y316" s="33" t="n"/>
      <c r="Z316" s="33" t="n"/>
      <c r="AA316" s="4">
        <f>R316-G316</f>
        <v/>
      </c>
      <c r="AB316" s="4">
        <f>G316-R316</f>
        <v/>
      </c>
      <c r="AC316" s="33" t="n"/>
    </row>
    <row r="317" ht="18.75" customHeight="1">
      <c r="A317" s="35">
        <f>SUBTOTAL(103,$B$24:B317)</f>
        <v/>
      </c>
      <c r="B317" s="36" t="inlineStr">
        <is>
          <t>Набір посуд емальований "Астра"</t>
        </is>
      </c>
      <c r="C317" s="37" t="inlineStr">
        <is>
          <t>к-т</t>
        </is>
      </c>
      <c r="D317" s="33" t="n"/>
      <c r="E317" s="33" t="n"/>
      <c r="F317" s="33">
        <f>E317*0.05</f>
        <v/>
      </c>
      <c r="G317" s="33">
        <f>E317+F317</f>
        <v/>
      </c>
      <c r="H317" s="33" t="n"/>
      <c r="I317" s="33" t="n"/>
      <c r="J317" s="33" t="n"/>
      <c r="K317" s="33">
        <f>L317+M317+N317</f>
        <v/>
      </c>
      <c r="L317" s="33" t="n"/>
      <c r="M317" s="33" t="n"/>
      <c r="N317" s="33" t="n"/>
      <c r="O317" s="33">
        <f>P317+Q317</f>
        <v/>
      </c>
      <c r="P317" s="33" t="n"/>
      <c r="Q317" s="33" t="n"/>
      <c r="R317" s="33">
        <f>H317+K317-O317</f>
        <v/>
      </c>
      <c r="S317" s="33" t="n"/>
      <c r="T317" s="33" t="n"/>
      <c r="U317" s="33" t="n"/>
      <c r="V317" s="33" t="n"/>
      <c r="W317" s="33" t="n"/>
      <c r="X317" s="33" t="n"/>
      <c r="Y317" s="33" t="n"/>
      <c r="Z317" s="33" t="n"/>
      <c r="AA317" s="4">
        <f>R317-G317</f>
        <v/>
      </c>
      <c r="AB317" s="4">
        <f>G317-R317</f>
        <v/>
      </c>
      <c r="AC317" s="33" t="n"/>
    </row>
    <row r="318" ht="18.75" customHeight="1">
      <c r="A318" s="35">
        <f>SUBTOTAL(103,$B$24:B318)</f>
        <v/>
      </c>
      <c r="B318" s="36" t="inlineStr">
        <is>
          <t>Набір посуду емальований "Греційя"</t>
        </is>
      </c>
      <c r="C318" s="37" t="inlineStr">
        <is>
          <t>к-т</t>
        </is>
      </c>
      <c r="D318" s="33" t="n"/>
      <c r="E318" s="33" t="n"/>
      <c r="F318" s="33">
        <f>E318*0.05</f>
        <v/>
      </c>
      <c r="G318" s="33">
        <f>E318+F318</f>
        <v/>
      </c>
      <c r="H318" s="33" t="n"/>
      <c r="I318" s="33" t="n"/>
      <c r="J318" s="33" t="n"/>
      <c r="K318" s="33">
        <f>L318+M318+N318</f>
        <v/>
      </c>
      <c r="L318" s="33" t="n"/>
      <c r="M318" s="33" t="n"/>
      <c r="N318" s="33" t="n"/>
      <c r="O318" s="33">
        <f>P318+Q318</f>
        <v/>
      </c>
      <c r="P318" s="33" t="n"/>
      <c r="Q318" s="33" t="n"/>
      <c r="R318" s="33">
        <f>H318+K318-O318</f>
        <v/>
      </c>
      <c r="S318" s="33" t="n"/>
      <c r="T318" s="33" t="n"/>
      <c r="U318" s="33" t="n"/>
      <c r="V318" s="33" t="n"/>
      <c r="W318" s="33" t="n"/>
      <c r="X318" s="33" t="n"/>
      <c r="Y318" s="33" t="n"/>
      <c r="Z318" s="33" t="n"/>
      <c r="AA318" s="4">
        <f>R318-G318</f>
        <v/>
      </c>
      <c r="AB318" s="4">
        <f>G318-R318</f>
        <v/>
      </c>
      <c r="AC318" s="33" t="n"/>
    </row>
    <row r="319" ht="18.75" customHeight="1">
      <c r="A319" s="35">
        <f>SUBTOTAL(103,$B$24:B319)</f>
        <v/>
      </c>
      <c r="B319" s="36" t="inlineStr">
        <is>
          <t>Набір посуду "Петергоф"</t>
        </is>
      </c>
      <c r="C319" s="37" t="inlineStr">
        <is>
          <t>к-т</t>
        </is>
      </c>
      <c r="D319" s="33" t="n"/>
      <c r="E319" s="33" t="n"/>
      <c r="F319" s="33">
        <f>E319*0.05</f>
        <v/>
      </c>
      <c r="G319" s="33">
        <f>E319+F319</f>
        <v/>
      </c>
      <c r="H319" s="33" t="n"/>
      <c r="I319" s="33" t="n"/>
      <c r="J319" s="33" t="n"/>
      <c r="K319" s="33">
        <f>L319+M319+N319</f>
        <v/>
      </c>
      <c r="L319" s="33" t="n"/>
      <c r="M319" s="33" t="n"/>
      <c r="N319" s="33" t="n"/>
      <c r="O319" s="33">
        <f>P319+Q319</f>
        <v/>
      </c>
      <c r="P319" s="33" t="n"/>
      <c r="Q319" s="33" t="n"/>
      <c r="R319" s="33">
        <f>H319+K319-O319</f>
        <v/>
      </c>
      <c r="S319" s="33" t="n"/>
      <c r="T319" s="33" t="n"/>
      <c r="U319" s="33" t="n"/>
      <c r="V319" s="33" t="n"/>
      <c r="W319" s="33" t="n"/>
      <c r="X319" s="33" t="n"/>
      <c r="Y319" s="33" t="n"/>
      <c r="Z319" s="33" t="n"/>
      <c r="AA319" s="4">
        <f>R319-G319</f>
        <v/>
      </c>
      <c r="AB319" s="4">
        <f>G319-R319</f>
        <v/>
      </c>
      <c r="AC319" s="33" t="n"/>
    </row>
    <row r="320" ht="18.75" customHeight="1">
      <c r="A320" s="35">
        <f>SUBTOTAL(103,$B$24:B320)</f>
        <v/>
      </c>
      <c r="B320" s="36" t="inlineStr">
        <is>
          <t>Штопор</t>
        </is>
      </c>
      <c r="C320" s="37" t="inlineStr">
        <is>
          <t>шт.</t>
        </is>
      </c>
      <c r="D320" s="33" t="n"/>
      <c r="E320" s="33" t="n"/>
      <c r="F320" s="33">
        <f>E320*0.05</f>
        <v/>
      </c>
      <c r="G320" s="33">
        <f>E320+F320</f>
        <v/>
      </c>
      <c r="H320" s="33" t="n"/>
      <c r="I320" s="33" t="n"/>
      <c r="J320" s="33" t="n"/>
      <c r="K320" s="33">
        <f>L320+M320+N320</f>
        <v/>
      </c>
      <c r="L320" s="33" t="n"/>
      <c r="M320" s="33" t="n"/>
      <c r="N320" s="33" t="n"/>
      <c r="O320" s="33">
        <f>P320+Q320</f>
        <v/>
      </c>
      <c r="P320" s="33" t="n"/>
      <c r="Q320" s="33" t="n"/>
      <c r="R320" s="33">
        <f>H320+K320-O320</f>
        <v/>
      </c>
      <c r="S320" s="33" t="n"/>
      <c r="T320" s="33" t="n"/>
      <c r="U320" s="33" t="n"/>
      <c r="V320" s="33" t="n"/>
      <c r="W320" s="33" t="n"/>
      <c r="X320" s="33" t="n"/>
      <c r="Y320" s="33" t="n"/>
      <c r="Z320" s="33" t="n"/>
      <c r="AA320" s="4">
        <f>R320-G320</f>
        <v/>
      </c>
      <c r="AB320" s="4">
        <f>G320-R320</f>
        <v/>
      </c>
      <c r="AC320" s="33" t="n"/>
    </row>
    <row r="321" ht="18.75" customHeight="1">
      <c r="A321" s="35">
        <f>SUBTOTAL(103,$B$24:B321)</f>
        <v/>
      </c>
      <c r="B321" s="36" t="inlineStr">
        <is>
          <t>Терка</t>
        </is>
      </c>
      <c r="C321" s="37" t="inlineStr">
        <is>
          <t>шт.</t>
        </is>
      </c>
      <c r="D321" s="33" t="n"/>
      <c r="E321" s="33" t="n"/>
      <c r="F321" s="33">
        <f>E321*0.05</f>
        <v/>
      </c>
      <c r="G321" s="33">
        <f>E321+F321</f>
        <v/>
      </c>
      <c r="H321" s="33" t="n"/>
      <c r="I321" s="33" t="n"/>
      <c r="J321" s="33" t="n"/>
      <c r="K321" s="33">
        <f>L321+M321+N321</f>
        <v/>
      </c>
      <c r="L321" s="33" t="n"/>
      <c r="M321" s="33" t="n"/>
      <c r="N321" s="33" t="n"/>
      <c r="O321" s="33">
        <f>P321+Q321</f>
        <v/>
      </c>
      <c r="P321" s="33" t="n"/>
      <c r="Q321" s="33" t="n"/>
      <c r="R321" s="33">
        <f>H321+K321-O321</f>
        <v/>
      </c>
      <c r="S321" s="33" t="n"/>
      <c r="T321" s="33" t="n"/>
      <c r="U321" s="33" t="n"/>
      <c r="V321" s="33" t="n"/>
      <c r="W321" s="33" t="n"/>
      <c r="X321" s="33" t="n"/>
      <c r="Y321" s="33" t="n"/>
      <c r="Z321" s="33" t="n"/>
      <c r="AA321" s="4">
        <f>R321-G321</f>
        <v/>
      </c>
      <c r="AB321" s="4">
        <f>G321-R321</f>
        <v/>
      </c>
      <c r="AC321" s="33" t="n"/>
    </row>
    <row r="322" ht="18.75" customHeight="1">
      <c r="A322" s="35">
        <f>SUBTOTAL(103,$B$24:B322)</f>
        <v/>
      </c>
      <c r="B322" s="39" t="inlineStr">
        <is>
          <t xml:space="preserve">ОДНОРАЗОВИЙ ПОСУД </t>
        </is>
      </c>
      <c r="C322" s="37" t="n"/>
      <c r="D322" s="33" t="n"/>
      <c r="E322" s="33" t="n"/>
      <c r="F322" s="33">
        <f>E322*0.05</f>
        <v/>
      </c>
      <c r="G322" s="33">
        <f>E322+F322</f>
        <v/>
      </c>
      <c r="H322" s="33" t="n"/>
      <c r="I322" s="33" t="n"/>
      <c r="J322" s="33" t="n"/>
      <c r="K322" s="33">
        <f>L322+M322+N322</f>
        <v/>
      </c>
      <c r="L322" s="33" t="n"/>
      <c r="M322" s="33" t="n"/>
      <c r="N322" s="33" t="n"/>
      <c r="O322" s="33">
        <f>P322+Q322</f>
        <v/>
      </c>
      <c r="P322" s="33" t="n"/>
      <c r="Q322" s="33" t="n"/>
      <c r="R322" s="33">
        <f>H322+K322-O322</f>
        <v/>
      </c>
      <c r="S322" s="33" t="n"/>
      <c r="T322" s="33" t="n"/>
      <c r="U322" s="33" t="n"/>
      <c r="V322" s="33" t="n"/>
      <c r="W322" s="33" t="n"/>
      <c r="X322" s="33" t="n"/>
      <c r="Y322" s="33" t="n"/>
      <c r="Z322" s="33" t="n"/>
      <c r="AA322" s="4">
        <f>R322-G322</f>
        <v/>
      </c>
      <c r="AB322" s="4">
        <f>G322-R322</f>
        <v/>
      </c>
      <c r="AC322" s="33" t="n"/>
    </row>
    <row r="323" ht="18.75" customHeight="1">
      <c r="A323" s="35">
        <f>SUBTOTAL(103,$B$24:B323)</f>
        <v/>
      </c>
      <c r="B323" s="36" t="inlineStr">
        <is>
          <t xml:space="preserve">Тарілки глибокі одноразові пластмасові </t>
        </is>
      </c>
      <c r="C323" s="37" t="inlineStr">
        <is>
          <t>шт.</t>
        </is>
      </c>
      <c r="D323" s="33" t="n"/>
      <c r="E323" s="33" t="n"/>
      <c r="F323" s="33">
        <f>E323*0.05</f>
        <v/>
      </c>
      <c r="G323" s="33">
        <f>E323+F323</f>
        <v/>
      </c>
      <c r="H323" s="33" t="n"/>
      <c r="I323" s="33" t="n"/>
      <c r="J323" s="33" t="n"/>
      <c r="K323" s="33">
        <f>L323+M323+N323</f>
        <v/>
      </c>
      <c r="L323" s="33" t="n"/>
      <c r="M323" s="33" t="n"/>
      <c r="N323" s="33" t="n"/>
      <c r="O323" s="33">
        <f>P323+Q323</f>
        <v/>
      </c>
      <c r="P323" s="33" t="n"/>
      <c r="Q323" s="33" t="n"/>
      <c r="R323" s="33">
        <f>H323+K323-O323</f>
        <v/>
      </c>
      <c r="S323" s="33" t="n"/>
      <c r="T323" s="33" t="n"/>
      <c r="U323" s="33" t="n"/>
      <c r="V323" s="33" t="n"/>
      <c r="W323" s="33" t="n"/>
      <c r="X323" s="33" t="n"/>
      <c r="Y323" s="33" t="n"/>
      <c r="Z323" s="33" t="n"/>
      <c r="AA323" s="4">
        <f>R323-G323</f>
        <v/>
      </c>
      <c r="AB323" s="4">
        <f>G323-R323</f>
        <v/>
      </c>
      <c r="AC323" s="33" t="n"/>
    </row>
    <row r="324" ht="18.75" customHeight="1">
      <c r="A324" s="35">
        <f>SUBTOTAL(103,$B$24:B324)</f>
        <v/>
      </c>
      <c r="B324" s="36" t="inlineStr">
        <is>
          <t>Тарілки мілкі одноразові пластмасові</t>
        </is>
      </c>
      <c r="C324" s="37" t="inlineStr">
        <is>
          <t>шт.</t>
        </is>
      </c>
      <c r="D324" s="33" t="n"/>
      <c r="E324" s="33" t="n"/>
      <c r="F324" s="33">
        <f>E324*0.05</f>
        <v/>
      </c>
      <c r="G324" s="33">
        <f>E324+F324</f>
        <v/>
      </c>
      <c r="H324" s="33" t="n"/>
      <c r="I324" s="33" t="n"/>
      <c r="J324" s="33" t="n"/>
      <c r="K324" s="33">
        <f>L324+M324+N324</f>
        <v/>
      </c>
      <c r="L324" s="33" t="n"/>
      <c r="M324" s="33" t="n"/>
      <c r="N324" s="33" t="n"/>
      <c r="O324" s="33">
        <f>P324+Q324</f>
        <v/>
      </c>
      <c r="P324" s="33" t="n"/>
      <c r="Q324" s="33" t="n"/>
      <c r="R324" s="33">
        <f>H324+K324-O324</f>
        <v/>
      </c>
      <c r="S324" s="33" t="n"/>
      <c r="T324" s="33" t="n"/>
      <c r="U324" s="33" t="n"/>
      <c r="V324" s="33" t="n"/>
      <c r="W324" s="33" t="n"/>
      <c r="X324" s="33" t="n"/>
      <c r="Y324" s="33" t="n"/>
      <c r="Z324" s="33" t="n"/>
      <c r="AA324" s="4">
        <f>R324-G324</f>
        <v/>
      </c>
      <c r="AB324" s="4">
        <f>G324-R324</f>
        <v/>
      </c>
      <c r="AC324" s="33" t="n"/>
    </row>
    <row r="325" ht="37.5" customHeight="1">
      <c r="A325" s="35">
        <f>SUBTOTAL(103,$B$24:B325)</f>
        <v/>
      </c>
      <c r="B325" s="36" t="inlineStr">
        <is>
          <t>Тарілки десертні одноразові пластмасові</t>
        </is>
      </c>
      <c r="C325" s="37" t="inlineStr">
        <is>
          <t>шт.</t>
        </is>
      </c>
      <c r="D325" s="33" t="n"/>
      <c r="E325" s="33" t="n"/>
      <c r="F325" s="33">
        <f>E325*0.05</f>
        <v/>
      </c>
      <c r="G325" s="33">
        <f>E325+F325</f>
        <v/>
      </c>
      <c r="H325" s="33" t="n"/>
      <c r="I325" s="33" t="n"/>
      <c r="J325" s="33" t="n"/>
      <c r="K325" s="33">
        <f>L325+M325+N325</f>
        <v/>
      </c>
      <c r="L325" s="33" t="n"/>
      <c r="M325" s="33" t="n"/>
      <c r="N325" s="33" t="n"/>
      <c r="O325" s="33">
        <f>P325+Q325</f>
        <v/>
      </c>
      <c r="P325" s="33" t="n"/>
      <c r="Q325" s="33" t="n"/>
      <c r="R325" s="33">
        <f>H325+K325-O325</f>
        <v/>
      </c>
      <c r="S325" s="33" t="n"/>
      <c r="T325" s="33" t="n"/>
      <c r="U325" s="33" t="n"/>
      <c r="V325" s="33" t="n"/>
      <c r="W325" s="33" t="n"/>
      <c r="X325" s="33" t="n"/>
      <c r="Y325" s="33" t="n"/>
      <c r="Z325" s="33" t="n"/>
      <c r="AA325" s="4">
        <f>R325-G325</f>
        <v/>
      </c>
      <c r="AB325" s="4">
        <f>G325-R325</f>
        <v/>
      </c>
      <c r="AC325" s="33" t="n"/>
    </row>
    <row r="326" ht="18.75" customHeight="1">
      <c r="A326" s="35">
        <f>SUBTOTAL(103,$B$24:B326)</f>
        <v/>
      </c>
      <c r="B326" s="36" t="inlineStr">
        <is>
          <t>Ложки стол. одноразова пластмасова</t>
        </is>
      </c>
      <c r="C326" s="37" t="inlineStr">
        <is>
          <t>шт.</t>
        </is>
      </c>
      <c r="D326" s="33" t="n"/>
      <c r="E326" s="33" t="n"/>
      <c r="F326" s="33">
        <f>E326*0.05</f>
        <v/>
      </c>
      <c r="G326" s="33">
        <f>E326+F326</f>
        <v/>
      </c>
      <c r="H326" s="33" t="n"/>
      <c r="I326" s="33" t="n"/>
      <c r="J326" s="33" t="n"/>
      <c r="K326" s="33">
        <f>L326+M326+N326</f>
        <v/>
      </c>
      <c r="L326" s="33" t="n"/>
      <c r="M326" s="33" t="n"/>
      <c r="N326" s="33" t="n"/>
      <c r="O326" s="33">
        <f>P326+Q326</f>
        <v/>
      </c>
      <c r="P326" s="33" t="n"/>
      <c r="Q326" s="33" t="n"/>
      <c r="R326" s="33">
        <f>H326+K326-O326</f>
        <v/>
      </c>
      <c r="S326" s="33" t="n"/>
      <c r="T326" s="33" t="n"/>
      <c r="U326" s="33" t="n"/>
      <c r="V326" s="33" t="n"/>
      <c r="W326" s="33" t="n"/>
      <c r="X326" s="33" t="n"/>
      <c r="Y326" s="33" t="n"/>
      <c r="Z326" s="33" t="n"/>
      <c r="AA326" s="4">
        <f>R326-G326</f>
        <v/>
      </c>
      <c r="AB326" s="4">
        <f>G326-R326</f>
        <v/>
      </c>
      <c r="AC326" s="33" t="n"/>
    </row>
    <row r="327" ht="37.5" customHeight="1">
      <c r="A327" s="35">
        <f>SUBTOTAL(103,$B$24:B327)</f>
        <v/>
      </c>
      <c r="B327" s="36" t="inlineStr">
        <is>
          <t xml:space="preserve">Виделка столова одноразова пластмасова </t>
        </is>
      </c>
      <c r="C327" s="37" t="inlineStr">
        <is>
          <t>шт.</t>
        </is>
      </c>
      <c r="D327" s="33" t="n"/>
      <c r="E327" s="33" t="n"/>
      <c r="F327" s="33">
        <f>E327*0.05</f>
        <v/>
      </c>
      <c r="G327" s="33">
        <f>E327+F327</f>
        <v/>
      </c>
      <c r="H327" s="33" t="n"/>
      <c r="I327" s="33" t="n"/>
      <c r="J327" s="33" t="n"/>
      <c r="K327" s="33">
        <f>L327+M327+N327</f>
        <v/>
      </c>
      <c r="L327" s="33" t="n"/>
      <c r="M327" s="33" t="n"/>
      <c r="N327" s="33" t="n"/>
      <c r="O327" s="33">
        <f>P327+Q327</f>
        <v/>
      </c>
      <c r="P327" s="33" t="n"/>
      <c r="Q327" s="33" t="n"/>
      <c r="R327" s="33">
        <f>H327+K327-O327</f>
        <v/>
      </c>
      <c r="S327" s="33" t="n"/>
      <c r="T327" s="33" t="n"/>
      <c r="U327" s="33" t="n"/>
      <c r="V327" s="33" t="n"/>
      <c r="W327" s="33" t="n"/>
      <c r="X327" s="33" t="n"/>
      <c r="Y327" s="33" t="n"/>
      <c r="Z327" s="33" t="n"/>
      <c r="AA327" s="4">
        <f>R327-G327</f>
        <v/>
      </c>
      <c r="AB327" s="4">
        <f>G327-R327</f>
        <v/>
      </c>
      <c r="AC327" s="33" t="n"/>
    </row>
    <row r="328" ht="18.75" customHeight="1">
      <c r="A328" s="35">
        <f>SUBTOTAL(103,$B$24:B328)</f>
        <v/>
      </c>
      <c r="B328" s="36" t="inlineStr">
        <is>
          <t>Стакан одноразовий пластмасовий</t>
        </is>
      </c>
      <c r="C328" s="37" t="inlineStr">
        <is>
          <t>шт.</t>
        </is>
      </c>
      <c r="D328" s="33" t="n"/>
      <c r="E328" s="33" t="n"/>
      <c r="F328" s="33">
        <f>E328*0.05</f>
        <v/>
      </c>
      <c r="G328" s="33">
        <f>E328+F328</f>
        <v/>
      </c>
      <c r="H328" s="33" t="n"/>
      <c r="I328" s="33" t="n"/>
      <c r="J328" s="33" t="n"/>
      <c r="K328" s="33">
        <f>L328+M328+N328</f>
        <v/>
      </c>
      <c r="L328" s="33" t="n"/>
      <c r="M328" s="33" t="n"/>
      <c r="N328" s="33" t="n"/>
      <c r="O328" s="33">
        <f>P328+Q328</f>
        <v/>
      </c>
      <c r="P328" s="33" t="n"/>
      <c r="Q328" s="33" t="n"/>
      <c r="R328" s="33">
        <f>H328+K328-O328</f>
        <v/>
      </c>
      <c r="S328" s="33" t="n"/>
      <c r="T328" s="33" t="n"/>
      <c r="U328" s="33" t="n"/>
      <c r="V328" s="33" t="n"/>
      <c r="W328" s="33" t="n"/>
      <c r="X328" s="33" t="n"/>
      <c r="Y328" s="33" t="n"/>
      <c r="Z328" s="33" t="n"/>
      <c r="AA328" s="4">
        <f>R328-G328</f>
        <v/>
      </c>
      <c r="AB328" s="4">
        <f>G328-R328</f>
        <v/>
      </c>
      <c r="AC328" s="33" t="n"/>
    </row>
    <row r="329" ht="56.25" customHeight="1">
      <c r="A329" s="35">
        <f>SUBTOTAL(103,$B$24:B329)</f>
        <v/>
      </c>
      <c r="B329" s="36" t="inlineStr">
        <is>
          <t>Одноразовий посуд (набір приладдя одноразового використання для харчування</t>
        </is>
      </c>
      <c r="C329" s="37" t="inlineStr">
        <is>
          <t>к-т</t>
        </is>
      </c>
      <c r="D329" s="33" t="n"/>
      <c r="E329" s="33" t="n"/>
      <c r="F329" s="33">
        <f>E329*0.05</f>
        <v/>
      </c>
      <c r="G329" s="33">
        <f>E329+F329</f>
        <v/>
      </c>
      <c r="H329" s="33" t="n"/>
      <c r="I329" s="33" t="n"/>
      <c r="J329" s="33" t="n"/>
      <c r="K329" s="33">
        <f>L329+M329+N329</f>
        <v/>
      </c>
      <c r="L329" s="33" t="n"/>
      <c r="M329" s="33" t="n"/>
      <c r="N329" s="33" t="n"/>
      <c r="O329" s="33">
        <f>P329+Q329</f>
        <v/>
      </c>
      <c r="P329" s="33" t="n"/>
      <c r="Q329" s="33" t="n"/>
      <c r="R329" s="33">
        <f>H329+K329-O329</f>
        <v/>
      </c>
      <c r="S329" s="33" t="n"/>
      <c r="T329" s="33" t="n"/>
      <c r="U329" s="33" t="n"/>
      <c r="V329" s="33" t="n"/>
      <c r="W329" s="33" t="n"/>
      <c r="X329" s="33" t="n"/>
      <c r="Y329" s="33" t="n"/>
      <c r="Z329" s="33" t="n"/>
      <c r="AA329" s="4">
        <f>R329-G329</f>
        <v/>
      </c>
      <c r="AB329" s="4">
        <f>G329-R329</f>
        <v/>
      </c>
      <c r="AC329" s="33" t="n"/>
    </row>
    <row r="330" ht="37.5" customHeight="1">
      <c r="A330" s="35">
        <f>SUBTOTAL(103,$B$24:B330)</f>
        <v/>
      </c>
      <c r="B330" s="40" t="inlineStr">
        <is>
          <t>Палочка для розмішування одноразова пластикова</t>
        </is>
      </c>
      <c r="C330" s="37" t="inlineStr">
        <is>
          <t>шт.</t>
        </is>
      </c>
      <c r="D330" s="33" t="n"/>
      <c r="E330" s="33" t="n"/>
      <c r="F330" s="33">
        <f>E330*0.05</f>
        <v/>
      </c>
      <c r="G330" s="33">
        <f>E330+F330</f>
        <v/>
      </c>
      <c r="H330" s="33" t="n"/>
      <c r="I330" s="33" t="n"/>
      <c r="J330" s="33" t="n"/>
      <c r="K330" s="33">
        <f>L330+M330+N330</f>
        <v/>
      </c>
      <c r="L330" s="33" t="n"/>
      <c r="M330" s="33" t="n"/>
      <c r="N330" s="33" t="n"/>
      <c r="O330" s="33">
        <f>P330+Q330</f>
        <v/>
      </c>
      <c r="P330" s="33" t="n"/>
      <c r="Q330" s="33" t="n"/>
      <c r="R330" s="33">
        <f>H330+K330-O330</f>
        <v/>
      </c>
      <c r="S330" s="33" t="n"/>
      <c r="T330" s="33" t="n"/>
      <c r="U330" s="33" t="n"/>
      <c r="V330" s="33" t="n"/>
      <c r="W330" s="33" t="n"/>
      <c r="X330" s="33" t="n"/>
      <c r="Y330" s="33" t="n"/>
      <c r="Z330" s="33" t="n"/>
      <c r="AA330" s="4">
        <f>R330-G330</f>
        <v/>
      </c>
      <c r="AB330" s="4">
        <f>G330-R330</f>
        <v/>
      </c>
      <c r="AC330" s="33" t="n"/>
    </row>
    <row r="331" ht="18.75" customHeight="1">
      <c r="A331" s="35">
        <f>SUBTOTAL(103,$B$24:B331)</f>
        <v/>
      </c>
      <c r="B331" s="36" t="inlineStr">
        <is>
          <t xml:space="preserve">Тарілки глибокі одноразові паперові </t>
        </is>
      </c>
      <c r="C331" s="37" t="inlineStr">
        <is>
          <t>шт.</t>
        </is>
      </c>
      <c r="D331" s="33" t="n"/>
      <c r="E331" s="33" t="n"/>
      <c r="F331" s="33">
        <f>E331*0.05</f>
        <v/>
      </c>
      <c r="G331" s="33">
        <f>E331+F331</f>
        <v/>
      </c>
      <c r="H331" s="33" t="n"/>
      <c r="I331" s="33" t="n"/>
      <c r="J331" s="33" t="n"/>
      <c r="K331" s="33">
        <f>L331+M331+N331</f>
        <v/>
      </c>
      <c r="L331" s="33" t="n"/>
      <c r="M331" s="33" t="n"/>
      <c r="N331" s="33" t="n"/>
      <c r="O331" s="33">
        <f>P331+Q331</f>
        <v/>
      </c>
      <c r="P331" s="33" t="n"/>
      <c r="Q331" s="33" t="n"/>
      <c r="R331" s="33">
        <f>H331+K331-O331</f>
        <v/>
      </c>
      <c r="S331" s="33" t="n"/>
      <c r="T331" s="33" t="n"/>
      <c r="U331" s="33" t="n"/>
      <c r="V331" s="33" t="n"/>
      <c r="W331" s="33" t="n"/>
      <c r="X331" s="33" t="n"/>
      <c r="Y331" s="33" t="n"/>
      <c r="Z331" s="33" t="n"/>
      <c r="AA331" s="4">
        <f>R331-G331</f>
        <v/>
      </c>
      <c r="AB331" s="4">
        <f>G331-R331</f>
        <v/>
      </c>
      <c r="AC331" s="33" t="n"/>
    </row>
    <row r="332" ht="18.75" customHeight="1">
      <c r="A332" s="35">
        <f>SUBTOTAL(103,$B$24:B332)</f>
        <v/>
      </c>
      <c r="B332" s="36" t="inlineStr">
        <is>
          <t>Тарілки мілкі одноразові паперові</t>
        </is>
      </c>
      <c r="C332" s="37" t="inlineStr">
        <is>
          <t>шт.</t>
        </is>
      </c>
      <c r="D332" s="33" t="n"/>
      <c r="E332" s="33" t="n"/>
      <c r="F332" s="33">
        <f>E332*0.05</f>
        <v/>
      </c>
      <c r="G332" s="33">
        <f>E332+F332</f>
        <v/>
      </c>
      <c r="H332" s="33" t="n"/>
      <c r="I332" s="33" t="n"/>
      <c r="J332" s="33" t="n"/>
      <c r="K332" s="33">
        <f>L332+M332+N332</f>
        <v/>
      </c>
      <c r="L332" s="33" t="n"/>
      <c r="M332" s="33" t="n"/>
      <c r="N332" s="33" t="n"/>
      <c r="O332" s="33">
        <f>P332+Q332</f>
        <v/>
      </c>
      <c r="P332" s="33" t="n"/>
      <c r="Q332" s="33" t="n"/>
      <c r="R332" s="33">
        <f>H332+K332-O332</f>
        <v/>
      </c>
      <c r="S332" s="33" t="n"/>
      <c r="T332" s="33" t="n"/>
      <c r="U332" s="33" t="n"/>
      <c r="V332" s="33" t="n"/>
      <c r="W332" s="33" t="n"/>
      <c r="X332" s="33" t="n"/>
      <c r="Y332" s="33" t="n"/>
      <c r="Z332" s="33" t="n"/>
      <c r="AA332" s="4">
        <f>R332-G332</f>
        <v/>
      </c>
      <c r="AB332" s="4">
        <f>G332-R332</f>
        <v/>
      </c>
      <c r="AC332" s="33" t="n"/>
    </row>
    <row r="333" ht="18.75" customHeight="1">
      <c r="A333" s="35">
        <f>SUBTOTAL(103,$B$24:B333)</f>
        <v/>
      </c>
      <c r="B333" s="36" t="inlineStr">
        <is>
          <t>Тарілки десертні одноразові паперові</t>
        </is>
      </c>
      <c r="C333" s="37" t="inlineStr">
        <is>
          <t>шт.</t>
        </is>
      </c>
      <c r="D333" s="33" t="n"/>
      <c r="E333" s="33" t="n"/>
      <c r="F333" s="33">
        <f>E333*0.05</f>
        <v/>
      </c>
      <c r="G333" s="33">
        <f>E333+F333</f>
        <v/>
      </c>
      <c r="H333" s="33" t="n"/>
      <c r="I333" s="33" t="n"/>
      <c r="J333" s="33" t="n"/>
      <c r="K333" s="33">
        <f>L333+M333+N333</f>
        <v/>
      </c>
      <c r="L333" s="33" t="n"/>
      <c r="M333" s="33" t="n"/>
      <c r="N333" s="33" t="n"/>
      <c r="O333" s="33">
        <f>P333+Q333</f>
        <v/>
      </c>
      <c r="P333" s="33" t="n"/>
      <c r="Q333" s="33" t="n"/>
      <c r="R333" s="33">
        <f>H333+K333-O333</f>
        <v/>
      </c>
      <c r="S333" s="33" t="n"/>
      <c r="T333" s="33" t="n"/>
      <c r="U333" s="33" t="n"/>
      <c r="V333" s="33" t="n"/>
      <c r="W333" s="33" t="n"/>
      <c r="X333" s="33" t="n"/>
      <c r="Y333" s="33" t="n"/>
      <c r="Z333" s="33" t="n"/>
      <c r="AA333" s="4">
        <f>R333-G333</f>
        <v/>
      </c>
      <c r="AB333" s="4">
        <f>G333-R333</f>
        <v/>
      </c>
      <c r="AC333" s="33" t="n"/>
    </row>
    <row r="334" ht="18.75" customHeight="1">
      <c r="A334" s="35">
        <f>SUBTOTAL(103,$B$24:B334)</f>
        <v/>
      </c>
      <c r="B334" s="36" t="inlineStr">
        <is>
          <t>Ложки стол. одноразова пластмасова</t>
        </is>
      </c>
      <c r="C334" s="37" t="inlineStr">
        <is>
          <t>шт.</t>
        </is>
      </c>
      <c r="D334" s="33" t="n"/>
      <c r="E334" s="33" t="n"/>
      <c r="F334" s="33">
        <f>E334*0.05</f>
        <v/>
      </c>
      <c r="G334" s="33">
        <f>E334+F334</f>
        <v/>
      </c>
      <c r="H334" s="33" t="n"/>
      <c r="I334" s="33" t="n"/>
      <c r="J334" s="33" t="n"/>
      <c r="K334" s="33">
        <f>L334+M334+N334</f>
        <v/>
      </c>
      <c r="L334" s="33" t="n"/>
      <c r="M334" s="33" t="n"/>
      <c r="N334" s="33" t="n"/>
      <c r="O334" s="33">
        <f>P334+Q334</f>
        <v/>
      </c>
      <c r="P334" s="33" t="n"/>
      <c r="Q334" s="33" t="n"/>
      <c r="R334" s="33">
        <f>H334+K334-O334</f>
        <v/>
      </c>
      <c r="S334" s="33" t="n"/>
      <c r="T334" s="33" t="n"/>
      <c r="U334" s="33" t="n"/>
      <c r="V334" s="33" t="n"/>
      <c r="W334" s="33" t="n"/>
      <c r="X334" s="33" t="n"/>
      <c r="Y334" s="33" t="n"/>
      <c r="Z334" s="33" t="n"/>
      <c r="AA334" s="4">
        <f>R334-G334</f>
        <v/>
      </c>
      <c r="AB334" s="4">
        <f>G334-R334</f>
        <v/>
      </c>
      <c r="AC334" s="33" t="n"/>
    </row>
    <row r="335" ht="18.75" customHeight="1">
      <c r="A335" s="35">
        <f>SUBTOTAL(103,$B$24:B335)</f>
        <v/>
      </c>
      <c r="B335" s="36" t="inlineStr">
        <is>
          <t>Стакан одноразовий дерев'яний</t>
        </is>
      </c>
      <c r="C335" s="37" t="inlineStr">
        <is>
          <t>шт.</t>
        </is>
      </c>
      <c r="D335" s="33" t="n"/>
      <c r="E335" s="33" t="n"/>
      <c r="F335" s="33">
        <f>E335*0.05</f>
        <v/>
      </c>
      <c r="G335" s="33">
        <f>E335+F335</f>
        <v/>
      </c>
      <c r="H335" s="33" t="n"/>
      <c r="I335" s="33" t="n"/>
      <c r="J335" s="33" t="n"/>
      <c r="K335" s="33">
        <f>L335+M335+N335</f>
        <v/>
      </c>
      <c r="L335" s="33" t="n"/>
      <c r="M335" s="33" t="n"/>
      <c r="N335" s="33" t="n"/>
      <c r="O335" s="33">
        <f>P335+Q335</f>
        <v/>
      </c>
      <c r="P335" s="33" t="n"/>
      <c r="Q335" s="33" t="n"/>
      <c r="R335" s="33">
        <f>H335+K335-O335</f>
        <v/>
      </c>
      <c r="S335" s="33" t="n"/>
      <c r="T335" s="33" t="n"/>
      <c r="U335" s="33" t="n"/>
      <c r="V335" s="33" t="n"/>
      <c r="W335" s="33" t="n"/>
      <c r="X335" s="33" t="n"/>
      <c r="Y335" s="33" t="n"/>
      <c r="Z335" s="33" t="n"/>
      <c r="AA335" s="4">
        <f>R335-G335</f>
        <v/>
      </c>
      <c r="AB335" s="4">
        <f>G335-R335</f>
        <v/>
      </c>
      <c r="AC335" s="33" t="n"/>
    </row>
    <row r="336" ht="37.5" customHeight="1">
      <c r="A336" s="35">
        <f>SUBTOTAL(103,$B$24:B336)</f>
        <v/>
      </c>
      <c r="B336" s="40" t="inlineStr">
        <is>
          <t>Палочка для розмішування одноразова дерев'яна</t>
        </is>
      </c>
      <c r="C336" s="37" t="inlineStr">
        <is>
          <t>шт.</t>
        </is>
      </c>
      <c r="D336" s="33" t="n"/>
      <c r="E336" s="33" t="n"/>
      <c r="F336" s="33">
        <f>E336*0.05</f>
        <v/>
      </c>
      <c r="G336" s="33">
        <f>E336+F336</f>
        <v/>
      </c>
      <c r="H336" s="33" t="n"/>
      <c r="I336" s="33" t="n"/>
      <c r="J336" s="33" t="n"/>
      <c r="K336" s="33">
        <f>L336+M336+N336</f>
        <v/>
      </c>
      <c r="L336" s="33" t="n"/>
      <c r="M336" s="33" t="n"/>
      <c r="N336" s="33" t="n"/>
      <c r="O336" s="33">
        <f>P336+Q336</f>
        <v/>
      </c>
      <c r="P336" s="33" t="n"/>
      <c r="Q336" s="33" t="n"/>
      <c r="R336" s="33">
        <f>H336+K336-O336</f>
        <v/>
      </c>
      <c r="S336" s="33" t="n"/>
      <c r="T336" s="33" t="n"/>
      <c r="U336" s="33" t="n"/>
      <c r="V336" s="33" t="n"/>
      <c r="W336" s="33" t="n"/>
      <c r="X336" s="33" t="n"/>
      <c r="Y336" s="33" t="n"/>
      <c r="Z336" s="33" t="n"/>
      <c r="AA336" s="4">
        <f>R336-G336</f>
        <v/>
      </c>
      <c r="AB336" s="4">
        <f>G336-R336</f>
        <v/>
      </c>
      <c r="AC336" s="33" t="n"/>
    </row>
    <row r="337" ht="18.75" customHeight="1">
      <c r="A337" s="35">
        <f>SUBTOTAL(103,$B$24:B337)</f>
        <v/>
      </c>
      <c r="B337" s="41" t="inlineStr">
        <is>
          <t xml:space="preserve">КУХОННИЙ ПОСУД ТА ІНВЕНТАР </t>
        </is>
      </c>
      <c r="C337" s="33" t="n"/>
      <c r="D337" s="33" t="n"/>
      <c r="E337" s="33" t="n"/>
      <c r="F337" s="33">
        <f>E337*0.05</f>
        <v/>
      </c>
      <c r="G337" s="33">
        <f>E337+F337</f>
        <v/>
      </c>
      <c r="H337" s="33" t="n"/>
      <c r="I337" s="33" t="n"/>
      <c r="J337" s="33" t="n"/>
      <c r="K337" s="33">
        <f>L337+M337+N337</f>
        <v/>
      </c>
      <c r="L337" s="33" t="n"/>
      <c r="M337" s="33" t="n"/>
      <c r="N337" s="33" t="n"/>
      <c r="O337" s="33">
        <f>P337+Q337</f>
        <v/>
      </c>
      <c r="P337" s="33" t="n"/>
      <c r="Q337" s="33" t="n"/>
      <c r="R337" s="33">
        <f>H337+K337-O337</f>
        <v/>
      </c>
      <c r="S337" s="33" t="n"/>
      <c r="T337" s="33" t="n"/>
      <c r="U337" s="33" t="n"/>
      <c r="V337" s="33" t="n"/>
      <c r="W337" s="33" t="n"/>
      <c r="X337" s="33" t="n"/>
      <c r="Y337" s="33" t="n"/>
      <c r="Z337" s="33" t="n"/>
      <c r="AA337" s="4">
        <f>R337-G337</f>
        <v/>
      </c>
      <c r="AB337" s="4">
        <f>G337-R337</f>
        <v/>
      </c>
      <c r="AC337" s="33" t="n"/>
    </row>
    <row r="338" ht="18.75" customHeight="1">
      <c r="A338" s="35">
        <f>SUBTOTAL(103,$B$24:B338)</f>
        <v/>
      </c>
      <c r="B338" s="36" t="inlineStr">
        <is>
          <t>Казан наплитний алюмінієвий 10 л.</t>
        </is>
      </c>
      <c r="C338" s="37" t="inlineStr">
        <is>
          <t>шт.</t>
        </is>
      </c>
      <c r="D338" s="33" t="n"/>
      <c r="E338" s="33" t="n"/>
      <c r="F338" s="33">
        <f>E338*0.05</f>
        <v/>
      </c>
      <c r="G338" s="33">
        <f>E338+F338</f>
        <v/>
      </c>
      <c r="H338" s="33" t="n"/>
      <c r="I338" s="33" t="n"/>
      <c r="J338" s="33" t="n"/>
      <c r="K338" s="33">
        <f>L338+M338+N338</f>
        <v/>
      </c>
      <c r="L338" s="33" t="n"/>
      <c r="M338" s="33" t="n"/>
      <c r="N338" s="33" t="n"/>
      <c r="O338" s="33">
        <f>P338+Q338</f>
        <v/>
      </c>
      <c r="P338" s="33" t="n"/>
      <c r="Q338" s="33" t="n"/>
      <c r="R338" s="33">
        <f>H338+K338-O338</f>
        <v/>
      </c>
      <c r="S338" s="33" t="n"/>
      <c r="T338" s="33" t="n"/>
      <c r="U338" s="33" t="n"/>
      <c r="V338" s="33" t="n"/>
      <c r="W338" s="33" t="n"/>
      <c r="X338" s="33" t="n"/>
      <c r="Y338" s="33" t="n"/>
      <c r="Z338" s="33" t="n"/>
      <c r="AA338" s="4">
        <f>R338-G338</f>
        <v/>
      </c>
      <c r="AB338" s="4">
        <f>G338-R338</f>
        <v/>
      </c>
      <c r="AC338" s="33" t="n"/>
    </row>
    <row r="339" ht="18.75" customHeight="1">
      <c r="A339" s="35">
        <f>SUBTOTAL(103,$B$24:B339)</f>
        <v/>
      </c>
      <c r="B339" s="36" t="inlineStr">
        <is>
          <t>Казан наплитний алюмінієвий 15-20 л</t>
        </is>
      </c>
      <c r="C339" s="37" t="inlineStr">
        <is>
          <t>шт.</t>
        </is>
      </c>
      <c r="D339" s="33" t="n"/>
      <c r="E339" s="33" t="n"/>
      <c r="F339" s="33">
        <f>E339*0.05</f>
        <v/>
      </c>
      <c r="G339" s="33">
        <f>E339+F339</f>
        <v/>
      </c>
      <c r="H339" s="33" t="n"/>
      <c r="I339" s="33" t="n"/>
      <c r="J339" s="33" t="n"/>
      <c r="K339" s="33">
        <f>L339+M339+N339</f>
        <v/>
      </c>
      <c r="L339" s="33" t="n"/>
      <c r="M339" s="33" t="n"/>
      <c r="N339" s="33" t="n"/>
      <c r="O339" s="33">
        <f>P339+Q339</f>
        <v/>
      </c>
      <c r="P339" s="33" t="n"/>
      <c r="Q339" s="33" t="n"/>
      <c r="R339" s="33">
        <f>H339+K339-O339</f>
        <v/>
      </c>
      <c r="S339" s="33" t="n"/>
      <c r="T339" s="33" t="n"/>
      <c r="U339" s="33" t="n"/>
      <c r="V339" s="33" t="n"/>
      <c r="W339" s="33" t="n"/>
      <c r="X339" s="33" t="n"/>
      <c r="Y339" s="33" t="n"/>
      <c r="Z339" s="33" t="n"/>
      <c r="AA339" s="4">
        <f>R339-G339</f>
        <v/>
      </c>
      <c r="AB339" s="4">
        <f>G339-R339</f>
        <v/>
      </c>
      <c r="AC339" s="33" t="n"/>
    </row>
    <row r="340" ht="18.75" customHeight="1">
      <c r="A340" s="35">
        <f>SUBTOTAL(103,$B$24:B340)</f>
        <v/>
      </c>
      <c r="B340" s="36" t="inlineStr">
        <is>
          <t>Казан наплитний алюмінієвий 20 л</t>
        </is>
      </c>
      <c r="C340" s="37" t="inlineStr">
        <is>
          <t>шт.</t>
        </is>
      </c>
      <c r="D340" s="33" t="n"/>
      <c r="E340" s="33" t="n"/>
      <c r="F340" s="33">
        <f>E340*0.05</f>
        <v/>
      </c>
      <c r="G340" s="33">
        <f>E340+F340</f>
        <v/>
      </c>
      <c r="H340" s="33" t="n"/>
      <c r="I340" s="33" t="n"/>
      <c r="J340" s="33" t="n"/>
      <c r="K340" s="33">
        <f>L340+M340+N340</f>
        <v/>
      </c>
      <c r="L340" s="33" t="n"/>
      <c r="M340" s="33" t="n"/>
      <c r="N340" s="33" t="n"/>
      <c r="O340" s="33">
        <f>P340+Q340</f>
        <v/>
      </c>
      <c r="P340" s="33" t="n"/>
      <c r="Q340" s="33" t="n"/>
      <c r="R340" s="33">
        <f>H340+K340-O340</f>
        <v/>
      </c>
      <c r="S340" s="33" t="n"/>
      <c r="T340" s="33" t="n"/>
      <c r="U340" s="33" t="n"/>
      <c r="V340" s="33" t="n"/>
      <c r="W340" s="33" t="n"/>
      <c r="X340" s="33" t="n"/>
      <c r="Y340" s="33" t="n"/>
      <c r="Z340" s="33" t="n"/>
      <c r="AA340" s="4">
        <f>R340-G340</f>
        <v/>
      </c>
      <c r="AB340" s="4">
        <f>G340-R340</f>
        <v/>
      </c>
      <c r="AC340" s="33" t="n"/>
    </row>
    <row r="341" ht="18.75" customHeight="1">
      <c r="A341" s="35">
        <f>SUBTOTAL(103,$B$24:B341)</f>
        <v/>
      </c>
      <c r="B341" s="36" t="inlineStr">
        <is>
          <t>Казан наплитний алюмінієвий 30 л</t>
        </is>
      </c>
      <c r="C341" s="37" t="inlineStr">
        <is>
          <t>шт.</t>
        </is>
      </c>
      <c r="D341" s="33" t="n"/>
      <c r="E341" s="33" t="n"/>
      <c r="F341" s="33">
        <f>E341*0.05</f>
        <v/>
      </c>
      <c r="G341" s="33">
        <f>E341+F341</f>
        <v/>
      </c>
      <c r="H341" s="33" t="n"/>
      <c r="I341" s="33" t="n"/>
      <c r="J341" s="33" t="n"/>
      <c r="K341" s="33">
        <f>L341+M341+N341</f>
        <v/>
      </c>
      <c r="L341" s="33" t="n"/>
      <c r="M341" s="33" t="n"/>
      <c r="N341" s="33" t="n"/>
      <c r="O341" s="33">
        <f>P341+Q341</f>
        <v/>
      </c>
      <c r="P341" s="33" t="n"/>
      <c r="Q341" s="33" t="n"/>
      <c r="R341" s="33">
        <f>H341+K341-O341</f>
        <v/>
      </c>
      <c r="S341" s="33" t="n"/>
      <c r="T341" s="33" t="n"/>
      <c r="U341" s="33" t="n"/>
      <c r="V341" s="33" t="n"/>
      <c r="W341" s="33" t="n"/>
      <c r="X341" s="33" t="n"/>
      <c r="Y341" s="33" t="n"/>
      <c r="Z341" s="33" t="n"/>
      <c r="AA341" s="4">
        <f>R341-G341</f>
        <v/>
      </c>
      <c r="AB341" s="4">
        <f>G341-R341</f>
        <v/>
      </c>
      <c r="AC341" s="33" t="n"/>
    </row>
    <row r="342" ht="18.75" customHeight="1">
      <c r="A342" s="35">
        <f>SUBTOTAL(103,$B$24:B342)</f>
        <v/>
      </c>
      <c r="B342" s="36" t="inlineStr">
        <is>
          <t>Казан наплитний алюмінієвий 40 л</t>
        </is>
      </c>
      <c r="C342" s="37" t="inlineStr">
        <is>
          <t>шт.</t>
        </is>
      </c>
      <c r="D342" s="33" t="n"/>
      <c r="E342" s="33" t="n"/>
      <c r="F342" s="33">
        <f>E342*0.05</f>
        <v/>
      </c>
      <c r="G342" s="33">
        <f>E342+F342</f>
        <v/>
      </c>
      <c r="H342" s="33" t="n"/>
      <c r="I342" s="33" t="n"/>
      <c r="J342" s="33" t="n"/>
      <c r="K342" s="33">
        <f>L342+M342+N342</f>
        <v/>
      </c>
      <c r="L342" s="33" t="n"/>
      <c r="M342" s="33" t="n"/>
      <c r="N342" s="33" t="n"/>
      <c r="O342" s="33">
        <f>P342+Q342</f>
        <v/>
      </c>
      <c r="P342" s="33" t="n"/>
      <c r="Q342" s="33" t="n"/>
      <c r="R342" s="33">
        <f>H342+K342-O342</f>
        <v/>
      </c>
      <c r="S342" s="33" t="n"/>
      <c r="T342" s="33" t="n"/>
      <c r="U342" s="33" t="n"/>
      <c r="V342" s="33" t="n"/>
      <c r="W342" s="33" t="n"/>
      <c r="X342" s="33" t="n"/>
      <c r="Y342" s="33" t="n"/>
      <c r="Z342" s="33" t="n"/>
      <c r="AA342" s="4">
        <f>R342-G342</f>
        <v/>
      </c>
      <c r="AB342" s="4">
        <f>G342-R342</f>
        <v/>
      </c>
      <c r="AC342" s="33" t="n"/>
    </row>
    <row r="343" ht="18.75" customHeight="1">
      <c r="A343" s="35">
        <f>SUBTOTAL(103,$B$24:B343)</f>
        <v/>
      </c>
      <c r="B343" s="42" t="inlineStr">
        <is>
          <t>Казан наплитний алюмінієвий 20-40 л</t>
        </is>
      </c>
      <c r="C343" s="37" t="inlineStr">
        <is>
          <t>шт.</t>
        </is>
      </c>
      <c r="D343" s="33" t="n"/>
      <c r="E343" s="33" t="n"/>
      <c r="F343" s="33">
        <f>E343*0.05</f>
        <v/>
      </c>
      <c r="G343" s="33">
        <f>E343+F343</f>
        <v/>
      </c>
      <c r="H343" s="33" t="n"/>
      <c r="I343" s="33" t="n"/>
      <c r="J343" s="33" t="n"/>
      <c r="K343" s="33">
        <f>L343+M343+N343</f>
        <v/>
      </c>
      <c r="L343" s="33" t="n"/>
      <c r="M343" s="33" t="n"/>
      <c r="N343" s="33" t="n"/>
      <c r="O343" s="33">
        <f>P343+Q343</f>
        <v/>
      </c>
      <c r="P343" s="33" t="n"/>
      <c r="Q343" s="33" t="n"/>
      <c r="R343" s="33">
        <f>H343+K343-O343</f>
        <v/>
      </c>
      <c r="S343" s="33" t="n"/>
      <c r="T343" s="33" t="n"/>
      <c r="U343" s="33" t="n"/>
      <c r="V343" s="33" t="n"/>
      <c r="W343" s="33" t="n"/>
      <c r="X343" s="33" t="n"/>
      <c r="Y343" s="33" t="n"/>
      <c r="Z343" s="33" t="n"/>
      <c r="AA343" s="4">
        <f>R343-G343</f>
        <v/>
      </c>
      <c r="AB343" s="4">
        <f>G343-R343</f>
        <v/>
      </c>
      <c r="AC343" s="33" t="n"/>
    </row>
    <row r="344" ht="18.75" customHeight="1">
      <c r="A344" s="35">
        <f>SUBTOTAL(103,$B$24:B344)</f>
        <v/>
      </c>
      <c r="B344" s="36" t="inlineStr">
        <is>
          <t>Казан наплитний алюмінієвий 50-60 л</t>
        </is>
      </c>
      <c r="C344" s="37" t="inlineStr">
        <is>
          <t>шт.</t>
        </is>
      </c>
      <c r="D344" s="33" t="n"/>
      <c r="E344" s="33" t="n"/>
      <c r="F344" s="33">
        <f>E344*0.05</f>
        <v/>
      </c>
      <c r="G344" s="33">
        <f>E344+F344</f>
        <v/>
      </c>
      <c r="H344" s="33" t="n"/>
      <c r="I344" s="33" t="n"/>
      <c r="J344" s="33" t="n"/>
      <c r="K344" s="33">
        <f>L344+M344+N344</f>
        <v/>
      </c>
      <c r="L344" s="33" t="n"/>
      <c r="M344" s="33" t="n"/>
      <c r="N344" s="33" t="n"/>
      <c r="O344" s="33">
        <f>P344+Q344</f>
        <v/>
      </c>
      <c r="P344" s="33" t="n"/>
      <c r="Q344" s="33" t="n"/>
      <c r="R344" s="33">
        <f>H344+K344-O344</f>
        <v/>
      </c>
      <c r="S344" s="33" t="n"/>
      <c r="T344" s="33" t="n"/>
      <c r="U344" s="33" t="n"/>
      <c r="V344" s="33" t="n"/>
      <c r="W344" s="33" t="n"/>
      <c r="X344" s="33" t="n"/>
      <c r="Y344" s="33" t="n"/>
      <c r="Z344" s="33" t="n"/>
      <c r="AA344" s="4">
        <f>R344-G344</f>
        <v/>
      </c>
      <c r="AB344" s="4">
        <f>G344-R344</f>
        <v/>
      </c>
      <c r="AC344" s="33" t="n"/>
    </row>
    <row r="345" ht="18.75" customHeight="1">
      <c r="A345" s="35">
        <f>SUBTOTAL(103,$B$24:B345)</f>
        <v/>
      </c>
      <c r="B345" s="36" t="inlineStr">
        <is>
          <t>Чафіндіш 100 Berg</t>
        </is>
      </c>
      <c r="C345" s="37" t="inlineStr">
        <is>
          <t>шт.</t>
        </is>
      </c>
      <c r="D345" s="33" t="n"/>
      <c r="E345" s="33" t="n"/>
      <c r="F345" s="33">
        <f>E345*0.05</f>
        <v/>
      </c>
      <c r="G345" s="33">
        <f>E345+F345</f>
        <v/>
      </c>
      <c r="H345" s="33" t="n"/>
      <c r="I345" s="33" t="n"/>
      <c r="J345" s="33" t="n"/>
      <c r="K345" s="33">
        <f>L345+M345+N345</f>
        <v/>
      </c>
      <c r="L345" s="33" t="n"/>
      <c r="M345" s="33" t="n"/>
      <c r="N345" s="33" t="n"/>
      <c r="O345" s="33">
        <f>P345+Q345</f>
        <v/>
      </c>
      <c r="P345" s="33" t="n"/>
      <c r="Q345" s="33" t="n"/>
      <c r="R345" s="33">
        <f>H345+K345-O345</f>
        <v/>
      </c>
      <c r="S345" s="33" t="n"/>
      <c r="T345" s="33" t="n"/>
      <c r="U345" s="33" t="n"/>
      <c r="V345" s="33" t="n"/>
      <c r="W345" s="33" t="n"/>
      <c r="X345" s="33" t="n"/>
      <c r="Y345" s="33" t="n"/>
      <c r="Z345" s="33" t="n"/>
      <c r="AA345" s="4">
        <f>R345-G345</f>
        <v/>
      </c>
      <c r="AB345" s="4">
        <f>G345-R345</f>
        <v/>
      </c>
      <c r="AC345" s="33" t="n"/>
    </row>
    <row r="346" ht="37.5" customHeight="1">
      <c r="A346" s="35">
        <f>SUBTOTAL(103,$B$24:B346)</f>
        <v/>
      </c>
      <c r="B346" s="36" t="inlineStr">
        <is>
          <t>Казан наплитний з нержавіючої сталі 30-40 л</t>
        </is>
      </c>
      <c r="C346" s="37" t="inlineStr">
        <is>
          <t>шт.</t>
        </is>
      </c>
      <c r="D346" s="33" t="n"/>
      <c r="E346" s="33" t="n"/>
      <c r="F346" s="33">
        <f>E346*0.05</f>
        <v/>
      </c>
      <c r="G346" s="33">
        <f>E346+F346</f>
        <v/>
      </c>
      <c r="H346" s="33" t="n"/>
      <c r="I346" s="33" t="n"/>
      <c r="J346" s="33" t="n"/>
      <c r="K346" s="33">
        <f>L346+M346+N346</f>
        <v/>
      </c>
      <c r="L346" s="33" t="n"/>
      <c r="M346" s="33" t="n"/>
      <c r="N346" s="33" t="n"/>
      <c r="O346" s="33">
        <f>P346+Q346</f>
        <v/>
      </c>
      <c r="P346" s="33" t="n"/>
      <c r="Q346" s="33" t="n"/>
      <c r="R346" s="33">
        <f>H346+K346-O346</f>
        <v/>
      </c>
      <c r="S346" s="33" t="n"/>
      <c r="T346" s="33" t="n"/>
      <c r="U346" s="33" t="n"/>
      <c r="V346" s="33" t="n"/>
      <c r="W346" s="33" t="n"/>
      <c r="X346" s="33" t="n"/>
      <c r="Y346" s="33" t="n"/>
      <c r="Z346" s="33" t="n"/>
      <c r="AA346" s="4">
        <f>R346-G346</f>
        <v/>
      </c>
      <c r="AB346" s="4">
        <f>G346-R346</f>
        <v/>
      </c>
      <c r="AC346" s="33" t="n"/>
    </row>
    <row r="347" ht="37.5" customHeight="1">
      <c r="A347" s="35">
        <f>SUBTOTAL(103,$B$24:B347)</f>
        <v/>
      </c>
      <c r="B347" s="36" t="inlineStr">
        <is>
          <t>Казан наплитний з нержавіючої сталі 50-60 л</t>
        </is>
      </c>
      <c r="C347" s="37" t="inlineStr">
        <is>
          <t>шт.</t>
        </is>
      </c>
      <c r="D347" s="33" t="n"/>
      <c r="E347" s="33" t="n"/>
      <c r="F347" s="33">
        <f>E347*0.05</f>
        <v/>
      </c>
      <c r="G347" s="33">
        <f>E347+F347</f>
        <v/>
      </c>
      <c r="H347" s="33" t="n"/>
      <c r="I347" s="33" t="n"/>
      <c r="J347" s="33" t="n"/>
      <c r="K347" s="33">
        <f>L347+M347+N347</f>
        <v/>
      </c>
      <c r="L347" s="33" t="n"/>
      <c r="M347" s="33" t="n"/>
      <c r="N347" s="33" t="n"/>
      <c r="O347" s="33">
        <f>P347+Q347</f>
        <v/>
      </c>
      <c r="P347" s="33" t="n"/>
      <c r="Q347" s="33" t="n"/>
      <c r="R347" s="33">
        <f>H347+K347-O347</f>
        <v/>
      </c>
      <c r="S347" s="33" t="n"/>
      <c r="T347" s="33" t="n"/>
      <c r="U347" s="33" t="n"/>
      <c r="V347" s="33" t="n"/>
      <c r="W347" s="33" t="n"/>
      <c r="X347" s="33" t="n"/>
      <c r="Y347" s="33" t="n"/>
      <c r="Z347" s="33" t="n"/>
      <c r="AA347" s="4">
        <f>R347-G347</f>
        <v/>
      </c>
      <c r="AB347" s="4">
        <f>G347-R347</f>
        <v/>
      </c>
      <c r="AC347" s="33" t="n"/>
    </row>
    <row r="348" ht="18.75" customHeight="1">
      <c r="A348" s="35">
        <f>SUBTOTAL(103,$B$24:B348)</f>
        <v/>
      </c>
      <c r="B348" s="36" t="inlineStr">
        <is>
          <t>Казан алюмінієвий 8-10 л</t>
        </is>
      </c>
      <c r="C348" s="37" t="inlineStr">
        <is>
          <t>шт.</t>
        </is>
      </c>
      <c r="D348" s="33" t="n"/>
      <c r="E348" s="33" t="n"/>
      <c r="F348" s="33">
        <f>E348*0.05</f>
        <v/>
      </c>
      <c r="G348" s="33">
        <f>E348+F348</f>
        <v/>
      </c>
      <c r="H348" s="33" t="n"/>
      <c r="I348" s="33" t="n"/>
      <c r="J348" s="33" t="n"/>
      <c r="K348" s="33">
        <f>L348+M348+N348</f>
        <v/>
      </c>
      <c r="L348" s="33" t="n"/>
      <c r="M348" s="33" t="n"/>
      <c r="N348" s="33" t="n"/>
      <c r="O348" s="33">
        <f>P348+Q348</f>
        <v/>
      </c>
      <c r="P348" s="33" t="n"/>
      <c r="Q348" s="33" t="n"/>
      <c r="R348" s="33">
        <f>H348+K348-O348</f>
        <v/>
      </c>
      <c r="S348" s="33" t="n"/>
      <c r="T348" s="33" t="n"/>
      <c r="U348" s="33" t="n"/>
      <c r="V348" s="33" t="n"/>
      <c r="W348" s="33" t="n"/>
      <c r="X348" s="33" t="n"/>
      <c r="Y348" s="33" t="n"/>
      <c r="Z348" s="33" t="n"/>
      <c r="AA348" s="4">
        <f>R348-G348</f>
        <v/>
      </c>
      <c r="AB348" s="4">
        <f>G348-R348</f>
        <v/>
      </c>
      <c r="AC348" s="33" t="n"/>
    </row>
    <row r="349" ht="18.75" customHeight="1">
      <c r="A349" s="35">
        <f>SUBTOTAL(103,$B$24:B349)</f>
        <v/>
      </c>
      <c r="B349" s="36" t="inlineStr">
        <is>
          <t>Казан 12 л.</t>
        </is>
      </c>
      <c r="C349" s="37" t="inlineStr">
        <is>
          <t>шт.</t>
        </is>
      </c>
      <c r="D349" s="33" t="n"/>
      <c r="E349" s="33" t="n"/>
      <c r="F349" s="33">
        <f>E349*0.05</f>
        <v/>
      </c>
      <c r="G349" s="33">
        <f>E349+F349</f>
        <v/>
      </c>
      <c r="H349" s="33" t="n"/>
      <c r="I349" s="33" t="n"/>
      <c r="J349" s="33" t="n"/>
      <c r="K349" s="33">
        <f>L349+M349+N349</f>
        <v/>
      </c>
      <c r="L349" s="33" t="n"/>
      <c r="M349" s="33" t="n"/>
      <c r="N349" s="33" t="n"/>
      <c r="O349" s="33">
        <f>P349+Q349</f>
        <v/>
      </c>
      <c r="P349" s="33" t="n"/>
      <c r="Q349" s="33" t="n"/>
      <c r="R349" s="33">
        <f>H349+K349-O349</f>
        <v/>
      </c>
      <c r="S349" s="33" t="n"/>
      <c r="T349" s="33" t="n"/>
      <c r="U349" s="33" t="n"/>
      <c r="V349" s="33" t="n"/>
      <c r="W349" s="33" t="n"/>
      <c r="X349" s="33" t="n"/>
      <c r="Y349" s="33" t="n"/>
      <c r="Z349" s="33" t="n"/>
      <c r="AA349" s="4">
        <f>R349-G349</f>
        <v/>
      </c>
      <c r="AB349" s="4">
        <f>G349-R349</f>
        <v/>
      </c>
      <c r="AC349" s="33" t="n"/>
    </row>
    <row r="350" ht="18.75" customHeight="1">
      <c r="A350" s="35">
        <f>SUBTOTAL(103,$B$24:B350)</f>
        <v/>
      </c>
      <c r="B350" s="36" t="inlineStr">
        <is>
          <t>Казан 15 л.</t>
        </is>
      </c>
      <c r="C350" s="37" t="inlineStr">
        <is>
          <t>шт.</t>
        </is>
      </c>
      <c r="D350" s="33" t="n"/>
      <c r="E350" s="33" t="n"/>
      <c r="F350" s="33">
        <f>E350*0.05</f>
        <v/>
      </c>
      <c r="G350" s="33">
        <f>E350+F350</f>
        <v/>
      </c>
      <c r="H350" s="33" t="n"/>
      <c r="I350" s="33" t="n"/>
      <c r="J350" s="33" t="n"/>
      <c r="K350" s="33">
        <f>L350+M350+N350</f>
        <v/>
      </c>
      <c r="L350" s="33" t="n"/>
      <c r="M350" s="33" t="n"/>
      <c r="N350" s="33" t="n"/>
      <c r="O350" s="33">
        <f>P350+Q350</f>
        <v/>
      </c>
      <c r="P350" s="33" t="n"/>
      <c r="Q350" s="33" t="n"/>
      <c r="R350" s="33">
        <f>H350+K350-O350</f>
        <v/>
      </c>
      <c r="S350" s="33" t="n"/>
      <c r="T350" s="33" t="n"/>
      <c r="U350" s="33" t="n"/>
      <c r="V350" s="33" t="n"/>
      <c r="W350" s="33" t="n"/>
      <c r="X350" s="33" t="n"/>
      <c r="Y350" s="33" t="n"/>
      <c r="Z350" s="33" t="n"/>
      <c r="AA350" s="4">
        <f>R350-G350</f>
        <v/>
      </c>
      <c r="AB350" s="4">
        <f>G350-R350</f>
        <v/>
      </c>
      <c r="AC350" s="33" t="n"/>
    </row>
    <row r="351" ht="18.75" customHeight="1">
      <c r="A351" s="35">
        <f>SUBTOTAL(103,$B$24:B351)</f>
        <v/>
      </c>
      <c r="B351" s="36" t="inlineStr">
        <is>
          <t>Казан з кришкою 15 л.</t>
        </is>
      </c>
      <c r="C351" s="37" t="inlineStr">
        <is>
          <t>шт.</t>
        </is>
      </c>
      <c r="D351" s="33" t="n"/>
      <c r="E351" s="33" t="n"/>
      <c r="F351" s="33">
        <f>E351*0.05</f>
        <v/>
      </c>
      <c r="G351" s="33">
        <f>E351+F351</f>
        <v/>
      </c>
      <c r="H351" s="33" t="n"/>
      <c r="I351" s="33" t="n"/>
      <c r="J351" s="33" t="n"/>
      <c r="K351" s="33">
        <f>L351+M351+N351</f>
        <v/>
      </c>
      <c r="L351" s="33" t="n"/>
      <c r="M351" s="33" t="n"/>
      <c r="N351" s="33" t="n"/>
      <c r="O351" s="33">
        <f>P351+Q351</f>
        <v/>
      </c>
      <c r="P351" s="33" t="n"/>
      <c r="Q351" s="33" t="n"/>
      <c r="R351" s="33">
        <f>H351+K351-O351</f>
        <v/>
      </c>
      <c r="S351" s="33" t="n"/>
      <c r="T351" s="33" t="n"/>
      <c r="U351" s="33" t="n"/>
      <c r="V351" s="33" t="n"/>
      <c r="W351" s="33" t="n"/>
      <c r="X351" s="33" t="n"/>
      <c r="Y351" s="33" t="n"/>
      <c r="Z351" s="33" t="n"/>
      <c r="AA351" s="4">
        <f>R351-G351</f>
        <v/>
      </c>
      <c r="AB351" s="4">
        <f>G351-R351</f>
        <v/>
      </c>
      <c r="AC351" s="33" t="n"/>
    </row>
    <row r="352" ht="18.75" customHeight="1">
      <c r="A352" s="35">
        <f>SUBTOTAL(103,$B$24:B352)</f>
        <v/>
      </c>
      <c r="B352" s="36" t="inlineStr">
        <is>
          <t>Казан 25 л.</t>
        </is>
      </c>
      <c r="C352" s="37" t="inlineStr">
        <is>
          <t>шт.</t>
        </is>
      </c>
      <c r="D352" s="33" t="n"/>
      <c r="E352" s="33" t="n"/>
      <c r="F352" s="33">
        <f>E352*0.05</f>
        <v/>
      </c>
      <c r="G352" s="33">
        <f>E352+F352</f>
        <v/>
      </c>
      <c r="H352" s="33" t="n"/>
      <c r="I352" s="33" t="n"/>
      <c r="J352" s="33" t="n"/>
      <c r="K352" s="33">
        <f>L352+M352+N352</f>
        <v/>
      </c>
      <c r="L352" s="33" t="n"/>
      <c r="M352" s="33" t="n"/>
      <c r="N352" s="33" t="n"/>
      <c r="O352" s="33">
        <f>P352+Q352</f>
        <v/>
      </c>
      <c r="P352" s="33" t="n"/>
      <c r="Q352" s="33" t="n"/>
      <c r="R352" s="33">
        <f>H352+K352-O352</f>
        <v/>
      </c>
      <c r="S352" s="33" t="n"/>
      <c r="T352" s="33" t="n"/>
      <c r="U352" s="33" t="n"/>
      <c r="V352" s="33" t="n"/>
      <c r="W352" s="33" t="n"/>
      <c r="X352" s="33" t="n"/>
      <c r="Y352" s="33" t="n"/>
      <c r="Z352" s="33" t="n"/>
      <c r="AA352" s="4">
        <f>R352-G352</f>
        <v/>
      </c>
      <c r="AB352" s="4">
        <f>G352-R352</f>
        <v/>
      </c>
      <c r="AC352" s="33" t="n"/>
    </row>
    <row r="353" ht="18.75" customHeight="1">
      <c r="A353" s="35">
        <f>SUBTOTAL(103,$B$24:B353)</f>
        <v/>
      </c>
      <c r="B353" s="36" t="inlineStr">
        <is>
          <t>Сотейник 1-5 л.</t>
        </is>
      </c>
      <c r="C353" s="37" t="inlineStr">
        <is>
          <t>шт.</t>
        </is>
      </c>
      <c r="D353" s="33" t="n"/>
      <c r="E353" s="33" t="n"/>
      <c r="F353" s="33">
        <f>E353*0.05</f>
        <v/>
      </c>
      <c r="G353" s="33">
        <f>E353+F353</f>
        <v/>
      </c>
      <c r="H353" s="33" t="n"/>
      <c r="I353" s="33" t="n"/>
      <c r="J353" s="33" t="n"/>
      <c r="K353" s="33">
        <f>L353+M353+N353</f>
        <v/>
      </c>
      <c r="L353" s="33" t="n"/>
      <c r="M353" s="33" t="n"/>
      <c r="N353" s="33" t="n"/>
      <c r="O353" s="33">
        <f>P353+Q353</f>
        <v/>
      </c>
      <c r="P353" s="33" t="n"/>
      <c r="Q353" s="33" t="n"/>
      <c r="R353" s="33">
        <f>H353+K353-O353</f>
        <v/>
      </c>
      <c r="S353" s="33" t="n"/>
      <c r="T353" s="33" t="n"/>
      <c r="U353" s="33" t="n"/>
      <c r="V353" s="33" t="n"/>
      <c r="W353" s="33" t="n"/>
      <c r="X353" s="33" t="n"/>
      <c r="Y353" s="33" t="n"/>
      <c r="Z353" s="33" t="n"/>
      <c r="AA353" s="4">
        <f>R353-G353</f>
        <v/>
      </c>
      <c r="AB353" s="4">
        <f>G353-R353</f>
        <v/>
      </c>
      <c r="AC353" s="33" t="n"/>
    </row>
    <row r="354" ht="18.75" customHeight="1">
      <c r="A354" s="35">
        <f>SUBTOTAL(103,$B$24:B354)</f>
        <v/>
      </c>
      <c r="B354" s="36" t="inlineStr">
        <is>
          <t>Сотейник 5-10 л.</t>
        </is>
      </c>
      <c r="C354" s="37" t="inlineStr">
        <is>
          <t>шт.</t>
        </is>
      </c>
      <c r="D354" s="33" t="n"/>
      <c r="E354" s="33" t="n"/>
      <c r="F354" s="33">
        <f>E354*0.05</f>
        <v/>
      </c>
      <c r="G354" s="33">
        <f>E354+F354</f>
        <v/>
      </c>
      <c r="H354" s="33" t="n"/>
      <c r="I354" s="33" t="n"/>
      <c r="J354" s="33" t="n"/>
      <c r="K354" s="33">
        <f>L354+M354+N354</f>
        <v/>
      </c>
      <c r="L354" s="33" t="n"/>
      <c r="M354" s="33" t="n"/>
      <c r="N354" s="33" t="n"/>
      <c r="O354" s="33">
        <f>P354+Q354</f>
        <v/>
      </c>
      <c r="P354" s="33" t="n"/>
      <c r="Q354" s="33" t="n"/>
      <c r="R354" s="33">
        <f>H354+K354-O354</f>
        <v/>
      </c>
      <c r="S354" s="33" t="n"/>
      <c r="T354" s="33" t="n"/>
      <c r="U354" s="33" t="n"/>
      <c r="V354" s="33" t="n"/>
      <c r="W354" s="33" t="n"/>
      <c r="X354" s="33" t="n"/>
      <c r="Y354" s="33" t="n"/>
      <c r="Z354" s="33" t="n"/>
      <c r="AA354" s="4">
        <f>R354-G354</f>
        <v/>
      </c>
      <c r="AB354" s="4">
        <f>G354-R354</f>
        <v/>
      </c>
      <c r="AC354" s="33" t="n"/>
    </row>
    <row r="355" ht="18.75" customHeight="1">
      <c r="A355" s="35">
        <f>SUBTOTAL(103,$B$24:B355)</f>
        <v/>
      </c>
      <c r="B355" s="36" t="inlineStr">
        <is>
          <t>Сотейник алюмінієвий 10-15 л</t>
        </is>
      </c>
      <c r="C355" s="37" t="inlineStr">
        <is>
          <t>шт.</t>
        </is>
      </c>
      <c r="D355" s="33" t="n"/>
      <c r="E355" s="33" t="n"/>
      <c r="F355" s="33">
        <f>E355*0.05</f>
        <v/>
      </c>
      <c r="G355" s="33">
        <f>E355+F355</f>
        <v/>
      </c>
      <c r="H355" s="33" t="n"/>
      <c r="I355" s="33" t="n"/>
      <c r="J355" s="33" t="n"/>
      <c r="K355" s="33">
        <f>L355+M355+N355</f>
        <v/>
      </c>
      <c r="L355" s="33" t="n"/>
      <c r="M355" s="33" t="n"/>
      <c r="N355" s="33" t="n"/>
      <c r="O355" s="33">
        <f>P355+Q355</f>
        <v/>
      </c>
      <c r="P355" s="33" t="n"/>
      <c r="Q355" s="33" t="n"/>
      <c r="R355" s="33">
        <f>H355+K355-O355</f>
        <v/>
      </c>
      <c r="S355" s="33" t="n"/>
      <c r="T355" s="33" t="n"/>
      <c r="U355" s="33" t="n"/>
      <c r="V355" s="33" t="n"/>
      <c r="W355" s="33" t="n"/>
      <c r="X355" s="33" t="n"/>
      <c r="Y355" s="33" t="n"/>
      <c r="Z355" s="33" t="n"/>
      <c r="AA355" s="4">
        <f>R355-G355</f>
        <v/>
      </c>
      <c r="AB355" s="4">
        <f>G355-R355</f>
        <v/>
      </c>
      <c r="AC355" s="33" t="n"/>
    </row>
    <row r="356" ht="18.75" customHeight="1">
      <c r="A356" s="35">
        <f>SUBTOTAL(103,$B$24:B356)</f>
        <v/>
      </c>
      <c r="B356" s="36" t="inlineStr">
        <is>
          <t>Відро пластикове</t>
        </is>
      </c>
      <c r="C356" s="37" t="inlineStr">
        <is>
          <t>шт.</t>
        </is>
      </c>
      <c r="D356" s="33" t="n"/>
      <c r="E356" s="33" t="n"/>
      <c r="F356" s="33">
        <f>E356*0.05</f>
        <v/>
      </c>
      <c r="G356" s="33">
        <f>E356+F356</f>
        <v/>
      </c>
      <c r="H356" s="33" t="n"/>
      <c r="I356" s="33" t="n"/>
      <c r="J356" s="33" t="n"/>
      <c r="K356" s="33">
        <f>L356+M356+N356</f>
        <v/>
      </c>
      <c r="L356" s="33" t="n"/>
      <c r="M356" s="33" t="n"/>
      <c r="N356" s="33" t="n"/>
      <c r="O356" s="33">
        <f>P356+Q356</f>
        <v/>
      </c>
      <c r="P356" s="33" t="n"/>
      <c r="Q356" s="33" t="n"/>
      <c r="R356" s="33">
        <f>H356+K356-O356</f>
        <v/>
      </c>
      <c r="S356" s="33" t="n"/>
      <c r="T356" s="33" t="n"/>
      <c r="U356" s="33" t="n"/>
      <c r="V356" s="33" t="n"/>
      <c r="W356" s="33" t="n"/>
      <c r="X356" s="33" t="n"/>
      <c r="Y356" s="33" t="n"/>
      <c r="Z356" s="33" t="n"/>
      <c r="AA356" s="4">
        <f>R356-G356</f>
        <v/>
      </c>
      <c r="AB356" s="4">
        <f>G356-R356</f>
        <v/>
      </c>
      <c r="AC356" s="33" t="n"/>
    </row>
    <row r="357" ht="18.75" customHeight="1">
      <c r="A357" s="35">
        <f>SUBTOTAL(103,$B$24:B357)</f>
        <v/>
      </c>
      <c r="B357" s="36" t="inlineStr">
        <is>
          <t>Відро емальоване</t>
        </is>
      </c>
      <c r="C357" s="37" t="inlineStr">
        <is>
          <t>шт.</t>
        </is>
      </c>
      <c r="D357" s="33" t="n"/>
      <c r="E357" s="33" t="n"/>
      <c r="F357" s="33">
        <f>E357*0.05</f>
        <v/>
      </c>
      <c r="G357" s="33">
        <f>E357+F357</f>
        <v/>
      </c>
      <c r="H357" s="33" t="n"/>
      <c r="I357" s="33" t="n"/>
      <c r="J357" s="33" t="n"/>
      <c r="K357" s="33">
        <f>L357+M357+N357</f>
        <v/>
      </c>
      <c r="L357" s="33" t="n"/>
      <c r="M357" s="33" t="n"/>
      <c r="N357" s="33" t="n"/>
      <c r="O357" s="33">
        <f>P357+Q357</f>
        <v/>
      </c>
      <c r="P357" s="33" t="n"/>
      <c r="Q357" s="33" t="n"/>
      <c r="R357" s="33">
        <f>H357+K357-O357</f>
        <v/>
      </c>
      <c r="S357" s="33" t="n"/>
      <c r="T357" s="33" t="n"/>
      <c r="U357" s="33" t="n"/>
      <c r="V357" s="33" t="n"/>
      <c r="W357" s="33" t="n"/>
      <c r="X357" s="33" t="n"/>
      <c r="Y357" s="33" t="n"/>
      <c r="Z357" s="33" t="n"/>
      <c r="AA357" s="4">
        <f>R357-G357</f>
        <v/>
      </c>
      <c r="AB357" s="4">
        <f>G357-R357</f>
        <v/>
      </c>
      <c r="AC357" s="33" t="n"/>
    </row>
    <row r="358" ht="18.75" customHeight="1">
      <c r="A358" s="35">
        <f>SUBTOTAL(103,$B$24:B358)</f>
        <v/>
      </c>
      <c r="B358" s="36" t="inlineStr">
        <is>
          <t>Відро оцинковане</t>
        </is>
      </c>
      <c r="C358" s="37" t="inlineStr">
        <is>
          <t>шт.</t>
        </is>
      </c>
      <c r="D358" s="33" t="n"/>
      <c r="E358" s="33" t="n"/>
      <c r="F358" s="33">
        <f>E358*0.05</f>
        <v/>
      </c>
      <c r="G358" s="33">
        <f>E358+F358</f>
        <v/>
      </c>
      <c r="H358" s="33" t="n"/>
      <c r="I358" s="33" t="n"/>
      <c r="J358" s="33" t="n"/>
      <c r="K358" s="33">
        <f>L358+M358+N358</f>
        <v/>
      </c>
      <c r="L358" s="33" t="n"/>
      <c r="M358" s="33" t="n"/>
      <c r="N358" s="33" t="n"/>
      <c r="O358" s="33">
        <f>P358+Q358</f>
        <v/>
      </c>
      <c r="P358" s="33" t="n"/>
      <c r="Q358" s="33" t="n"/>
      <c r="R358" s="33">
        <f>H358+K358-O358</f>
        <v/>
      </c>
      <c r="S358" s="33" t="n"/>
      <c r="T358" s="33" t="n"/>
      <c r="U358" s="33" t="n"/>
      <c r="V358" s="33" t="n"/>
      <c r="W358" s="33" t="n"/>
      <c r="X358" s="33" t="n"/>
      <c r="Y358" s="33" t="n"/>
      <c r="Z358" s="33" t="n"/>
      <c r="AA358" s="4">
        <f>R358-G358</f>
        <v/>
      </c>
      <c r="AB358" s="4">
        <f>G358-R358</f>
        <v/>
      </c>
      <c r="AC358" s="33" t="n"/>
    </row>
    <row r="359" ht="18.75" customHeight="1">
      <c r="A359" s="35">
        <f>SUBTOTAL(103,$B$24:B359)</f>
        <v/>
      </c>
      <c r="B359" s="36" t="inlineStr">
        <is>
          <t xml:space="preserve">Відро з нержавіючої сталі </t>
        </is>
      </c>
      <c r="C359" s="37" t="inlineStr">
        <is>
          <t>шт.</t>
        </is>
      </c>
      <c r="D359" s="33" t="n"/>
      <c r="E359" s="33" t="n"/>
      <c r="F359" s="33">
        <f>E359*0.05</f>
        <v/>
      </c>
      <c r="G359" s="33">
        <f>E359+F359</f>
        <v/>
      </c>
      <c r="H359" s="33" t="n"/>
      <c r="I359" s="33" t="n"/>
      <c r="J359" s="33" t="n"/>
      <c r="K359" s="33">
        <f>L359+M359+N359</f>
        <v/>
      </c>
      <c r="L359" s="33" t="n"/>
      <c r="M359" s="33" t="n"/>
      <c r="N359" s="33" t="n"/>
      <c r="O359" s="33">
        <f>P359+Q359</f>
        <v/>
      </c>
      <c r="P359" s="33" t="n"/>
      <c r="Q359" s="33" t="n"/>
      <c r="R359" s="33">
        <f>H359+K359-O359</f>
        <v/>
      </c>
      <c r="S359" s="33" t="n"/>
      <c r="T359" s="33" t="n"/>
      <c r="U359" s="33" t="n"/>
      <c r="V359" s="33" t="n"/>
      <c r="W359" s="33" t="n"/>
      <c r="X359" s="33" t="n"/>
      <c r="Y359" s="33" t="n"/>
      <c r="Z359" s="33" t="n"/>
      <c r="AA359" s="4">
        <f>R359-G359</f>
        <v/>
      </c>
      <c r="AB359" s="4">
        <f>G359-R359</f>
        <v/>
      </c>
      <c r="AC359" s="33" t="n"/>
    </row>
    <row r="360" ht="18.75" customHeight="1">
      <c r="A360" s="35">
        <f>SUBTOTAL(103,$B$24:B360)</f>
        <v/>
      </c>
      <c r="B360" s="36" t="inlineStr">
        <is>
          <t xml:space="preserve">Таз оцинкований </t>
        </is>
      </c>
      <c r="C360" s="37" t="inlineStr">
        <is>
          <t>шт.</t>
        </is>
      </c>
      <c r="D360" s="33" t="n"/>
      <c r="E360" s="33" t="n"/>
      <c r="F360" s="33">
        <f>E360*0.05</f>
        <v/>
      </c>
      <c r="G360" s="33">
        <f>E360+F360</f>
        <v/>
      </c>
      <c r="H360" s="33" t="n"/>
      <c r="I360" s="33" t="n"/>
      <c r="J360" s="33" t="n"/>
      <c r="K360" s="33">
        <f>L360+M360+N360</f>
        <v/>
      </c>
      <c r="L360" s="33" t="n"/>
      <c r="M360" s="33" t="n"/>
      <c r="N360" s="33" t="n"/>
      <c r="O360" s="33">
        <f>P360+Q360</f>
        <v/>
      </c>
      <c r="P360" s="33" t="n"/>
      <c r="Q360" s="33" t="n"/>
      <c r="R360" s="33">
        <f>H360+K360-O360</f>
        <v/>
      </c>
      <c r="S360" s="33" t="n"/>
      <c r="T360" s="33" t="n"/>
      <c r="U360" s="33" t="n"/>
      <c r="V360" s="33" t="n"/>
      <c r="W360" s="33" t="n"/>
      <c r="X360" s="33" t="n"/>
      <c r="Y360" s="33" t="n"/>
      <c r="Z360" s="33" t="n"/>
      <c r="AA360" s="4">
        <f>R360-G360</f>
        <v/>
      </c>
      <c r="AB360" s="4">
        <f>G360-R360</f>
        <v/>
      </c>
      <c r="AC360" s="33" t="n"/>
    </row>
    <row r="361" ht="18.75" customHeight="1">
      <c r="A361" s="35">
        <f>SUBTOTAL(103,$B$24:B361)</f>
        <v/>
      </c>
      <c r="B361" s="36" t="inlineStr">
        <is>
          <t>Таз алюмінієвий</t>
        </is>
      </c>
      <c r="C361" s="37" t="inlineStr">
        <is>
          <t>шт.</t>
        </is>
      </c>
      <c r="D361" s="33" t="n"/>
      <c r="E361" s="33" t="n"/>
      <c r="F361" s="33">
        <f>E361*0.05</f>
        <v/>
      </c>
      <c r="G361" s="33">
        <f>E361+F361</f>
        <v/>
      </c>
      <c r="H361" s="33" t="n"/>
      <c r="I361" s="33" t="n"/>
      <c r="J361" s="33" t="n"/>
      <c r="K361" s="33">
        <f>L361+M361+N361</f>
        <v/>
      </c>
      <c r="L361" s="33" t="n"/>
      <c r="M361" s="33" t="n"/>
      <c r="N361" s="33" t="n"/>
      <c r="O361" s="33">
        <f>P361+Q361</f>
        <v/>
      </c>
      <c r="P361" s="33" t="n"/>
      <c r="Q361" s="33" t="n"/>
      <c r="R361" s="33">
        <f>H361+K361-O361</f>
        <v/>
      </c>
      <c r="S361" s="33" t="n"/>
      <c r="T361" s="33" t="n"/>
      <c r="U361" s="33" t="n"/>
      <c r="V361" s="33" t="n"/>
      <c r="W361" s="33" t="n"/>
      <c r="X361" s="33" t="n"/>
      <c r="Y361" s="33" t="n"/>
      <c r="Z361" s="33" t="n"/>
      <c r="AA361" s="4">
        <f>R361-G361</f>
        <v/>
      </c>
      <c r="AB361" s="4">
        <f>G361-R361</f>
        <v/>
      </c>
      <c r="AC361" s="33" t="n"/>
    </row>
    <row r="362" ht="18.75" customHeight="1">
      <c r="A362" s="35">
        <f>SUBTOTAL(103,$B$24:B362)</f>
        <v/>
      </c>
      <c r="B362" s="36" t="inlineStr">
        <is>
          <t>Таз емальований</t>
        </is>
      </c>
      <c r="C362" s="37" t="inlineStr">
        <is>
          <t>шт.</t>
        </is>
      </c>
      <c r="D362" s="33" t="n"/>
      <c r="E362" s="33" t="n"/>
      <c r="F362" s="33">
        <f>E362*0.05</f>
        <v/>
      </c>
      <c r="G362" s="33">
        <f>E362+F362</f>
        <v/>
      </c>
      <c r="H362" s="33" t="n"/>
      <c r="I362" s="33" t="n"/>
      <c r="J362" s="33" t="n"/>
      <c r="K362" s="33">
        <f>L362+M362+N362</f>
        <v/>
      </c>
      <c r="L362" s="33" t="n"/>
      <c r="M362" s="33" t="n"/>
      <c r="N362" s="33" t="n"/>
      <c r="O362" s="33">
        <f>P362+Q362</f>
        <v/>
      </c>
      <c r="P362" s="33" t="n"/>
      <c r="Q362" s="33" t="n"/>
      <c r="R362" s="33">
        <f>H362+K362-O362</f>
        <v/>
      </c>
      <c r="S362" s="33" t="n"/>
      <c r="T362" s="33" t="n"/>
      <c r="U362" s="33" t="n"/>
      <c r="V362" s="33" t="n"/>
      <c r="W362" s="33" t="n"/>
      <c r="X362" s="33" t="n"/>
      <c r="Y362" s="33" t="n"/>
      <c r="Z362" s="33" t="n"/>
      <c r="AA362" s="4">
        <f>R362-G362</f>
        <v/>
      </c>
      <c r="AB362" s="4">
        <f>G362-R362</f>
        <v/>
      </c>
      <c r="AC362" s="33" t="n"/>
    </row>
    <row r="363" ht="18.75" customHeight="1">
      <c r="A363" s="35">
        <f>SUBTOTAL(103,$B$24:B363)</f>
        <v/>
      </c>
      <c r="B363" s="36" t="inlineStr">
        <is>
          <t xml:space="preserve">Тяпка для відбивання мяса </t>
        </is>
      </c>
      <c r="C363" s="37" t="inlineStr">
        <is>
          <t>шт.</t>
        </is>
      </c>
      <c r="D363" s="33" t="n"/>
      <c r="E363" s="33" t="n"/>
      <c r="F363" s="33">
        <f>E363*0.05</f>
        <v/>
      </c>
      <c r="G363" s="33">
        <f>E363+F363</f>
        <v/>
      </c>
      <c r="H363" s="33" t="n"/>
      <c r="I363" s="33" t="n"/>
      <c r="J363" s="33" t="n"/>
      <c r="K363" s="33">
        <f>L363+M363+N363</f>
        <v/>
      </c>
      <c r="L363" s="33" t="n"/>
      <c r="M363" s="33" t="n"/>
      <c r="N363" s="33" t="n"/>
      <c r="O363" s="33">
        <f>P363+Q363</f>
        <v/>
      </c>
      <c r="P363" s="33" t="n"/>
      <c r="Q363" s="33" t="n"/>
      <c r="R363" s="33">
        <f>H363+K363-O363</f>
        <v/>
      </c>
      <c r="S363" s="33" t="n"/>
      <c r="T363" s="33" t="n"/>
      <c r="U363" s="33" t="n"/>
      <c r="V363" s="33" t="n"/>
      <c r="W363" s="33" t="n"/>
      <c r="X363" s="33" t="n"/>
      <c r="Y363" s="33" t="n"/>
      <c r="Z363" s="33" t="n"/>
      <c r="AA363" s="4">
        <f>R363-G363</f>
        <v/>
      </c>
      <c r="AB363" s="4">
        <f>G363-R363</f>
        <v/>
      </c>
      <c r="AC363" s="33" t="n"/>
    </row>
    <row r="364" ht="18.75" customHeight="1">
      <c r="A364" s="35">
        <f>SUBTOTAL(103,$B$24:B364)</f>
        <v/>
      </c>
      <c r="B364" s="36" t="inlineStr">
        <is>
          <t xml:space="preserve">Бак оцинкований для води </t>
        </is>
      </c>
      <c r="C364" s="37" t="inlineStr">
        <is>
          <t>шт.</t>
        </is>
      </c>
      <c r="D364" s="33" t="n"/>
      <c r="E364" s="33" t="n"/>
      <c r="F364" s="33">
        <f>E364*0.05</f>
        <v/>
      </c>
      <c r="G364" s="33">
        <f>E364+F364</f>
        <v/>
      </c>
      <c r="H364" s="33" t="n"/>
      <c r="I364" s="33" t="n"/>
      <c r="J364" s="33" t="n"/>
      <c r="K364" s="33">
        <f>L364+M364+N364</f>
        <v/>
      </c>
      <c r="L364" s="33" t="n"/>
      <c r="M364" s="33" t="n"/>
      <c r="N364" s="33" t="n"/>
      <c r="O364" s="33">
        <f>P364+Q364</f>
        <v/>
      </c>
      <c r="P364" s="33" t="n"/>
      <c r="Q364" s="33" t="n"/>
      <c r="R364" s="33">
        <f>H364+K364-O364</f>
        <v/>
      </c>
      <c r="S364" s="33" t="n"/>
      <c r="T364" s="33" t="n"/>
      <c r="U364" s="33" t="n"/>
      <c r="V364" s="33" t="n"/>
      <c r="W364" s="33" t="n"/>
      <c r="X364" s="33" t="n"/>
      <c r="Y364" s="33" t="n"/>
      <c r="Z364" s="33" t="n"/>
      <c r="AA364" s="4">
        <f>R364-G364</f>
        <v/>
      </c>
      <c r="AB364" s="4">
        <f>G364-R364</f>
        <v/>
      </c>
      <c r="AC364" s="33" t="n"/>
    </row>
    <row r="365" ht="18.75" customHeight="1">
      <c r="A365" s="35">
        <f>SUBTOTAL(103,$B$24:B365)</f>
        <v/>
      </c>
      <c r="B365" s="36" t="inlineStr">
        <is>
          <t>Бак емальований для води</t>
        </is>
      </c>
      <c r="C365" s="37" t="inlineStr">
        <is>
          <t>шт.</t>
        </is>
      </c>
      <c r="D365" s="33" t="n"/>
      <c r="E365" s="33" t="n"/>
      <c r="F365" s="33">
        <f>E365*0.05</f>
        <v/>
      </c>
      <c r="G365" s="33">
        <f>E365+F365</f>
        <v/>
      </c>
      <c r="H365" s="33" t="n"/>
      <c r="I365" s="33" t="n"/>
      <c r="J365" s="33" t="n"/>
      <c r="K365" s="33">
        <f>L365+M365+N365</f>
        <v/>
      </c>
      <c r="L365" s="33" t="n"/>
      <c r="M365" s="33" t="n"/>
      <c r="N365" s="33" t="n"/>
      <c r="O365" s="33">
        <f>P365+Q365</f>
        <v/>
      </c>
      <c r="P365" s="33" t="n"/>
      <c r="Q365" s="33" t="n"/>
      <c r="R365" s="33">
        <f>H365+K365-O365</f>
        <v/>
      </c>
      <c r="S365" s="33" t="n"/>
      <c r="T365" s="33" t="n"/>
      <c r="U365" s="33" t="n"/>
      <c r="V365" s="33" t="n"/>
      <c r="W365" s="33" t="n"/>
      <c r="X365" s="33" t="n"/>
      <c r="Y365" s="33" t="n"/>
      <c r="Z365" s="33" t="n"/>
      <c r="AA365" s="4">
        <f>R365-G365</f>
        <v/>
      </c>
      <c r="AB365" s="4">
        <f>G365-R365</f>
        <v/>
      </c>
      <c r="AC365" s="33" t="n"/>
    </row>
    <row r="366" ht="18.75" customHeight="1">
      <c r="A366" s="35">
        <f>SUBTOTAL(103,$B$24:B366)</f>
        <v/>
      </c>
      <c r="B366" s="36" t="inlineStr">
        <is>
          <t>Сито з н/ст</t>
        </is>
      </c>
      <c r="C366" s="37" t="inlineStr">
        <is>
          <t>шт.</t>
        </is>
      </c>
      <c r="D366" s="33" t="n"/>
      <c r="E366" s="33" t="n"/>
      <c r="F366" s="33">
        <f>E366*0.05</f>
        <v/>
      </c>
      <c r="G366" s="33">
        <f>E366+F366</f>
        <v/>
      </c>
      <c r="H366" s="33" t="n"/>
      <c r="I366" s="33" t="n"/>
      <c r="J366" s="33" t="n"/>
      <c r="K366" s="33">
        <f>L366+M366+N366</f>
        <v/>
      </c>
      <c r="L366" s="33" t="n"/>
      <c r="M366" s="33" t="n"/>
      <c r="N366" s="33" t="n"/>
      <c r="O366" s="33">
        <f>P366+Q366</f>
        <v/>
      </c>
      <c r="P366" s="33" t="n"/>
      <c r="Q366" s="33" t="n"/>
      <c r="R366" s="33">
        <f>H366+K366-O366</f>
        <v/>
      </c>
      <c r="S366" s="33" t="n"/>
      <c r="T366" s="33" t="n"/>
      <c r="U366" s="33" t="n"/>
      <c r="V366" s="33" t="n"/>
      <c r="W366" s="33" t="n"/>
      <c r="X366" s="33" t="n"/>
      <c r="Y366" s="33" t="n"/>
      <c r="Z366" s="33" t="n"/>
      <c r="AA366" s="4">
        <f>R366-G366</f>
        <v/>
      </c>
      <c r="AB366" s="4">
        <f>G366-R366</f>
        <v/>
      </c>
      <c r="AC366" s="33" t="n"/>
    </row>
    <row r="367" ht="18.75" customHeight="1">
      <c r="A367" s="35">
        <f>SUBTOTAL(103,$B$24:B367)</f>
        <v/>
      </c>
      <c r="B367" s="42" t="inlineStr">
        <is>
          <t>Ополоник</t>
        </is>
      </c>
      <c r="C367" s="37" t="inlineStr">
        <is>
          <t>шт.</t>
        </is>
      </c>
      <c r="D367" s="33" t="n"/>
      <c r="E367" s="33" t="n"/>
      <c r="F367" s="33">
        <f>E367*0.05</f>
        <v/>
      </c>
      <c r="G367" s="33">
        <f>E367+F367</f>
        <v/>
      </c>
      <c r="H367" s="33" t="n"/>
      <c r="I367" s="33" t="n"/>
      <c r="J367" s="33" t="n"/>
      <c r="K367" s="33">
        <f>L367+M367+N367</f>
        <v/>
      </c>
      <c r="L367" s="33" t="n"/>
      <c r="M367" s="33" t="n"/>
      <c r="N367" s="33" t="n"/>
      <c r="O367" s="33">
        <f>P367+Q367</f>
        <v/>
      </c>
      <c r="P367" s="33" t="n"/>
      <c r="Q367" s="33" t="n"/>
      <c r="R367" s="33">
        <f>H367+K367-O367</f>
        <v/>
      </c>
      <c r="S367" s="33" t="n"/>
      <c r="T367" s="33" t="n"/>
      <c r="U367" s="33" t="n"/>
      <c r="V367" s="33" t="n"/>
      <c r="W367" s="33" t="n"/>
      <c r="X367" s="33" t="n"/>
      <c r="Y367" s="33" t="n"/>
      <c r="Z367" s="33" t="n"/>
      <c r="AA367" s="4">
        <f>R367-G367</f>
        <v/>
      </c>
      <c r="AB367" s="4">
        <f>G367-R367</f>
        <v/>
      </c>
      <c r="AC367" s="33" t="n"/>
    </row>
    <row r="368" ht="18.75" customHeight="1">
      <c r="A368" s="35">
        <f>SUBTOTAL(103,$B$24:B368)</f>
        <v/>
      </c>
      <c r="B368" s="42" t="inlineStr">
        <is>
          <t>Ополоник алюмінієвий</t>
        </is>
      </c>
      <c r="C368" s="37" t="inlineStr">
        <is>
          <t>шт.</t>
        </is>
      </c>
      <c r="D368" s="33" t="n"/>
      <c r="E368" s="33" t="n"/>
      <c r="F368" s="33">
        <f>E368*0.05</f>
        <v/>
      </c>
      <c r="G368" s="33">
        <f>E368+F368</f>
        <v/>
      </c>
      <c r="H368" s="33" t="n"/>
      <c r="I368" s="33" t="n"/>
      <c r="J368" s="33" t="n"/>
      <c r="K368" s="33">
        <f>L368+M368+N368</f>
        <v/>
      </c>
      <c r="L368" s="33" t="n"/>
      <c r="M368" s="33" t="n"/>
      <c r="N368" s="33" t="n"/>
      <c r="O368" s="33">
        <f>P368+Q368</f>
        <v/>
      </c>
      <c r="P368" s="33" t="n"/>
      <c r="Q368" s="33" t="n"/>
      <c r="R368" s="33">
        <f>H368+K368-O368</f>
        <v/>
      </c>
      <c r="S368" s="33" t="n"/>
      <c r="T368" s="33" t="n"/>
      <c r="U368" s="33" t="n"/>
      <c r="V368" s="33" t="n"/>
      <c r="W368" s="33" t="n"/>
      <c r="X368" s="33" t="n"/>
      <c r="Y368" s="33" t="n"/>
      <c r="Z368" s="33" t="n"/>
      <c r="AA368" s="4">
        <f>R368-G368</f>
        <v/>
      </c>
      <c r="AB368" s="4">
        <f>G368-R368</f>
        <v/>
      </c>
      <c r="AC368" s="33" t="n"/>
    </row>
    <row r="369" ht="18.75" customHeight="1">
      <c r="A369" s="35">
        <f>SUBTOTAL(103,$B$24:B369)</f>
        <v/>
      </c>
      <c r="B369" s="42" t="inlineStr">
        <is>
          <t>Ополоник з н/ст</t>
        </is>
      </c>
      <c r="C369" s="37" t="inlineStr">
        <is>
          <t>шт.</t>
        </is>
      </c>
      <c r="D369" s="33" t="n"/>
      <c r="E369" s="33" t="n"/>
      <c r="F369" s="33">
        <f>E369*0.05</f>
        <v/>
      </c>
      <c r="G369" s="33">
        <f>E369+F369</f>
        <v/>
      </c>
      <c r="H369" s="33" t="n"/>
      <c r="I369" s="33" t="n"/>
      <c r="J369" s="33" t="n"/>
      <c r="K369" s="33">
        <f>L369+M369+N369</f>
        <v/>
      </c>
      <c r="L369" s="33" t="n"/>
      <c r="M369" s="33" t="n"/>
      <c r="N369" s="33" t="n"/>
      <c r="O369" s="33">
        <f>P369+Q369</f>
        <v/>
      </c>
      <c r="P369" s="33" t="n"/>
      <c r="Q369" s="33" t="n"/>
      <c r="R369" s="33">
        <f>H369+K369-O369</f>
        <v/>
      </c>
      <c r="S369" s="33" t="n"/>
      <c r="T369" s="33" t="n"/>
      <c r="U369" s="33" t="n"/>
      <c r="V369" s="33" t="n"/>
      <c r="W369" s="33" t="n"/>
      <c r="X369" s="33" t="n"/>
      <c r="Y369" s="33" t="n"/>
      <c r="Z369" s="33" t="n"/>
      <c r="AA369" s="4">
        <f>R369-G369</f>
        <v/>
      </c>
      <c r="AB369" s="4">
        <f>G369-R369</f>
        <v/>
      </c>
      <c r="AC369" s="33" t="n"/>
    </row>
    <row r="370" ht="18.75" customHeight="1">
      <c r="A370" s="35">
        <f>SUBTOTAL(103,$B$24:B370)</f>
        <v/>
      </c>
      <c r="B370" s="36" t="inlineStr">
        <is>
          <t>Черпак з н/ст</t>
        </is>
      </c>
      <c r="C370" s="37" t="inlineStr">
        <is>
          <t>шт.</t>
        </is>
      </c>
      <c r="D370" s="33" t="n"/>
      <c r="E370" s="33" t="n"/>
      <c r="F370" s="33">
        <f>E370*0.05</f>
        <v/>
      </c>
      <c r="G370" s="33">
        <f>E370+F370</f>
        <v/>
      </c>
      <c r="H370" s="33" t="n"/>
      <c r="I370" s="33" t="n"/>
      <c r="J370" s="33" t="n"/>
      <c r="K370" s="33">
        <f>L370+M370+N370</f>
        <v/>
      </c>
      <c r="L370" s="33" t="n"/>
      <c r="M370" s="33" t="n"/>
      <c r="N370" s="33" t="n"/>
      <c r="O370" s="33">
        <f>P370+Q370</f>
        <v/>
      </c>
      <c r="P370" s="33" t="n"/>
      <c r="Q370" s="33" t="n"/>
      <c r="R370" s="33">
        <f>H370+K370-O370</f>
        <v/>
      </c>
      <c r="S370" s="33" t="n"/>
      <c r="T370" s="33" t="n"/>
      <c r="U370" s="33" t="n"/>
      <c r="V370" s="33" t="n"/>
      <c r="W370" s="33" t="n"/>
      <c r="X370" s="33" t="n"/>
      <c r="Y370" s="33" t="n"/>
      <c r="Z370" s="33" t="n"/>
      <c r="AA370" s="4">
        <f>R370-G370</f>
        <v/>
      </c>
      <c r="AB370" s="4">
        <f>G370-R370</f>
        <v/>
      </c>
      <c r="AC370" s="33" t="n"/>
    </row>
    <row r="371" ht="18.75" customHeight="1">
      <c r="A371" s="35">
        <f>SUBTOTAL(103,$B$24:B371)</f>
        <v/>
      </c>
      <c r="B371" s="36" t="inlineStr">
        <is>
          <t>Черпак алюмінієвий</t>
        </is>
      </c>
      <c r="C371" s="37" t="inlineStr">
        <is>
          <t>шт.</t>
        </is>
      </c>
      <c r="D371" s="33" t="n"/>
      <c r="E371" s="33" t="n"/>
      <c r="F371" s="33">
        <f>E371*0.05</f>
        <v/>
      </c>
      <c r="G371" s="33">
        <f>E371+F371</f>
        <v/>
      </c>
      <c r="H371" s="33" t="n"/>
      <c r="I371" s="33" t="n"/>
      <c r="J371" s="33" t="n"/>
      <c r="K371" s="33">
        <f>L371+M371+N371</f>
        <v/>
      </c>
      <c r="L371" s="33" t="n"/>
      <c r="M371" s="33" t="n"/>
      <c r="N371" s="33" t="n"/>
      <c r="O371" s="33">
        <f>P371+Q371</f>
        <v/>
      </c>
      <c r="P371" s="33" t="n"/>
      <c r="Q371" s="33" t="n"/>
      <c r="R371" s="33">
        <f>H371+K371-O371</f>
        <v/>
      </c>
      <c r="S371" s="33" t="n"/>
      <c r="T371" s="33" t="n"/>
      <c r="U371" s="33" t="n"/>
      <c r="V371" s="33" t="n"/>
      <c r="W371" s="33" t="n"/>
      <c r="X371" s="33" t="n"/>
      <c r="Y371" s="33" t="n"/>
      <c r="Z371" s="33" t="n"/>
      <c r="AA371" s="4">
        <f>R371-G371</f>
        <v/>
      </c>
      <c r="AB371" s="4">
        <f>G371-R371</f>
        <v/>
      </c>
      <c r="AC371" s="33" t="n"/>
    </row>
    <row r="372" ht="18.75" customHeight="1">
      <c r="A372" s="35">
        <f>SUBTOTAL(103,$B$24:B372)</f>
        <v/>
      </c>
      <c r="B372" s="36" t="inlineStr">
        <is>
          <t>Черпак пластиковий</t>
        </is>
      </c>
      <c r="C372" s="37" t="inlineStr">
        <is>
          <t>шт.</t>
        </is>
      </c>
      <c r="D372" s="33" t="n"/>
      <c r="E372" s="33" t="n"/>
      <c r="F372" s="33">
        <f>E372*0.05</f>
        <v/>
      </c>
      <c r="G372" s="33">
        <f>E372+F372</f>
        <v/>
      </c>
      <c r="H372" s="33" t="n"/>
      <c r="I372" s="33" t="n"/>
      <c r="J372" s="33" t="n"/>
      <c r="K372" s="33">
        <f>L372+M372+N372</f>
        <v/>
      </c>
      <c r="L372" s="33" t="n"/>
      <c r="M372" s="33" t="n"/>
      <c r="N372" s="33" t="n"/>
      <c r="O372" s="33">
        <f>P372+Q372</f>
        <v/>
      </c>
      <c r="P372" s="33" t="n"/>
      <c r="Q372" s="33" t="n"/>
      <c r="R372" s="33">
        <f>H372+K372-O372</f>
        <v/>
      </c>
      <c r="S372" s="33" t="n"/>
      <c r="T372" s="33" t="n"/>
      <c r="U372" s="33" t="n"/>
      <c r="V372" s="33" t="n"/>
      <c r="W372" s="33" t="n"/>
      <c r="X372" s="33" t="n"/>
      <c r="Y372" s="33" t="n"/>
      <c r="Z372" s="33" t="n"/>
      <c r="AA372" s="4">
        <f>R372-G372</f>
        <v/>
      </c>
      <c r="AB372" s="4">
        <f>G372-R372</f>
        <v/>
      </c>
      <c r="AC372" s="33" t="n"/>
    </row>
    <row r="373" ht="18.75" customHeight="1">
      <c r="A373" s="35">
        <f>SUBTOTAL(103,$B$24:B373)</f>
        <v/>
      </c>
      <c r="B373" s="36" t="inlineStr">
        <is>
          <t>Черпак</t>
        </is>
      </c>
      <c r="C373" s="37" t="inlineStr">
        <is>
          <t>шт.</t>
        </is>
      </c>
      <c r="D373" s="33" t="n"/>
      <c r="E373" s="33" t="n"/>
      <c r="F373" s="33">
        <f>E373*0.05</f>
        <v/>
      </c>
      <c r="G373" s="33">
        <f>E373+F373</f>
        <v/>
      </c>
      <c r="H373" s="33" t="n"/>
      <c r="I373" s="33" t="n"/>
      <c r="J373" s="33" t="n"/>
      <c r="K373" s="33">
        <f>L373+M373+N373</f>
        <v/>
      </c>
      <c r="L373" s="33" t="n"/>
      <c r="M373" s="33" t="n"/>
      <c r="N373" s="33" t="n"/>
      <c r="O373" s="33">
        <f>P373+Q373</f>
        <v/>
      </c>
      <c r="P373" s="33" t="n"/>
      <c r="Q373" s="33" t="n"/>
      <c r="R373" s="33">
        <f>H373+K373-O373</f>
        <v/>
      </c>
      <c r="S373" s="33" t="n"/>
      <c r="T373" s="33" t="n"/>
      <c r="U373" s="33" t="n"/>
      <c r="V373" s="33" t="n"/>
      <c r="W373" s="33" t="n"/>
      <c r="X373" s="33" t="n"/>
      <c r="Y373" s="33" t="n"/>
      <c r="Z373" s="33" t="n"/>
      <c r="AA373" s="4">
        <f>R373-G373</f>
        <v/>
      </c>
      <c r="AB373" s="4">
        <f>G373-R373</f>
        <v/>
      </c>
      <c r="AC373" s="33" t="n"/>
    </row>
    <row r="374" ht="18.75" customHeight="1">
      <c r="A374" s="35">
        <f>SUBTOTAL(103,$B$24:B374)</f>
        <v/>
      </c>
      <c r="B374" s="36" t="inlineStr">
        <is>
          <t>Друшляк з н/ст</t>
        </is>
      </c>
      <c r="C374" s="37" t="inlineStr">
        <is>
          <t>шт.</t>
        </is>
      </c>
      <c r="D374" s="33" t="n"/>
      <c r="E374" s="33" t="n"/>
      <c r="F374" s="33">
        <f>E374*0.05</f>
        <v/>
      </c>
      <c r="G374" s="33">
        <f>E374+F374</f>
        <v/>
      </c>
      <c r="H374" s="33" t="n"/>
      <c r="I374" s="33" t="n"/>
      <c r="J374" s="33" t="n"/>
      <c r="K374" s="33">
        <f>L374+M374+N374</f>
        <v/>
      </c>
      <c r="L374" s="33" t="n"/>
      <c r="M374" s="33" t="n"/>
      <c r="N374" s="33" t="n"/>
      <c r="O374" s="33">
        <f>P374+Q374</f>
        <v/>
      </c>
      <c r="P374" s="33" t="n"/>
      <c r="Q374" s="33" t="n"/>
      <c r="R374" s="33">
        <f>H374+K374-O374</f>
        <v/>
      </c>
      <c r="S374" s="33" t="n"/>
      <c r="T374" s="33" t="n"/>
      <c r="U374" s="33" t="n"/>
      <c r="V374" s="33" t="n"/>
      <c r="W374" s="33" t="n"/>
      <c r="X374" s="33" t="n"/>
      <c r="Y374" s="33" t="n"/>
      <c r="Z374" s="33" t="n"/>
      <c r="AA374" s="4">
        <f>R374-G374</f>
        <v/>
      </c>
      <c r="AB374" s="4">
        <f>G374-R374</f>
        <v/>
      </c>
      <c r="AC374" s="33" t="n"/>
    </row>
    <row r="375" ht="18.75" customHeight="1">
      <c r="A375" s="35">
        <f>SUBTOTAL(103,$B$24:B375)</f>
        <v/>
      </c>
      <c r="B375" s="36" t="inlineStr">
        <is>
          <t xml:space="preserve">Друшляк алюмінієвий </t>
        </is>
      </c>
      <c r="C375" s="37" t="inlineStr">
        <is>
          <t>шт.</t>
        </is>
      </c>
      <c r="D375" s="33" t="n"/>
      <c r="E375" s="33" t="n"/>
      <c r="F375" s="33">
        <f>E375*0.05</f>
        <v/>
      </c>
      <c r="G375" s="33">
        <f>E375+F375</f>
        <v/>
      </c>
      <c r="H375" s="33" t="n"/>
      <c r="I375" s="33" t="n"/>
      <c r="J375" s="33" t="n"/>
      <c r="K375" s="33">
        <f>L375+M375+N375</f>
        <v/>
      </c>
      <c r="L375" s="33" t="n"/>
      <c r="M375" s="33" t="n"/>
      <c r="N375" s="33" t="n"/>
      <c r="O375" s="33">
        <f>P375+Q375</f>
        <v/>
      </c>
      <c r="P375" s="33" t="n"/>
      <c r="Q375" s="33" t="n"/>
      <c r="R375" s="33">
        <f>H375+K375-O375</f>
        <v/>
      </c>
      <c r="S375" s="33" t="n"/>
      <c r="T375" s="33" t="n"/>
      <c r="U375" s="33" t="n"/>
      <c r="V375" s="33" t="n"/>
      <c r="W375" s="33" t="n"/>
      <c r="X375" s="33" t="n"/>
      <c r="Y375" s="33" t="n"/>
      <c r="Z375" s="33" t="n"/>
      <c r="AA375" s="4">
        <f>R375-G375</f>
        <v/>
      </c>
      <c r="AB375" s="4">
        <f>G375-R375</f>
        <v/>
      </c>
      <c r="AC375" s="33" t="n"/>
    </row>
    <row r="376" ht="18.75" customHeight="1">
      <c r="A376" s="35">
        <f>SUBTOTAL(103,$B$24:B376)</f>
        <v/>
      </c>
      <c r="B376" s="36" t="inlineStr">
        <is>
          <t>Шумівка алюмінієва</t>
        </is>
      </c>
      <c r="C376" s="37" t="inlineStr">
        <is>
          <t>шт.</t>
        </is>
      </c>
      <c r="D376" s="33" t="n"/>
      <c r="E376" s="33" t="n"/>
      <c r="F376" s="33">
        <f>E376*0.05</f>
        <v/>
      </c>
      <c r="G376" s="33">
        <f>E376+F376</f>
        <v/>
      </c>
      <c r="H376" s="33" t="n"/>
      <c r="I376" s="33" t="n"/>
      <c r="J376" s="33" t="n"/>
      <c r="K376" s="33">
        <f>L376+M376+N376</f>
        <v/>
      </c>
      <c r="L376" s="33" t="n"/>
      <c r="M376" s="33" t="n"/>
      <c r="N376" s="33" t="n"/>
      <c r="O376" s="33">
        <f>P376+Q376</f>
        <v/>
      </c>
      <c r="P376" s="33" t="n"/>
      <c r="Q376" s="33" t="n"/>
      <c r="R376" s="33">
        <f>H376+K376-O376</f>
        <v/>
      </c>
      <c r="S376" s="33" t="n"/>
      <c r="T376" s="33" t="n"/>
      <c r="U376" s="33" t="n"/>
      <c r="V376" s="33" t="n"/>
      <c r="W376" s="33" t="n"/>
      <c r="X376" s="33" t="n"/>
      <c r="Y376" s="33" t="n"/>
      <c r="Z376" s="33" t="n"/>
      <c r="AA376" s="4">
        <f>R376-G376</f>
        <v/>
      </c>
      <c r="AB376" s="4">
        <f>G376-R376</f>
        <v/>
      </c>
      <c r="AC376" s="33" t="n"/>
    </row>
    <row r="377" ht="18.75" customHeight="1">
      <c r="A377" s="35">
        <f>SUBTOTAL(103,$B$24:B377)</f>
        <v/>
      </c>
      <c r="B377" s="36" t="inlineStr">
        <is>
          <t>Шумівка з н/ст</t>
        </is>
      </c>
      <c r="C377" s="37" t="inlineStr">
        <is>
          <t>шт.</t>
        </is>
      </c>
      <c r="D377" s="33" t="n"/>
      <c r="E377" s="33" t="n"/>
      <c r="F377" s="33">
        <f>E377*0.05</f>
        <v/>
      </c>
      <c r="G377" s="33">
        <f>E377+F377</f>
        <v/>
      </c>
      <c r="H377" s="33" t="n"/>
      <c r="I377" s="33" t="n"/>
      <c r="J377" s="33" t="n"/>
      <c r="K377" s="33">
        <f>L377+M377+N377</f>
        <v/>
      </c>
      <c r="L377" s="33" t="n"/>
      <c r="M377" s="33" t="n"/>
      <c r="N377" s="33" t="n"/>
      <c r="O377" s="33">
        <f>P377+Q377</f>
        <v/>
      </c>
      <c r="P377" s="33" t="n"/>
      <c r="Q377" s="33" t="n"/>
      <c r="R377" s="33">
        <f>H377+K377-O377</f>
        <v/>
      </c>
      <c r="S377" s="33" t="n"/>
      <c r="T377" s="33" t="n"/>
      <c r="U377" s="33" t="n"/>
      <c r="V377" s="33" t="n"/>
      <c r="W377" s="33" t="n"/>
      <c r="X377" s="33" t="n"/>
      <c r="Y377" s="33" t="n"/>
      <c r="Z377" s="33" t="n"/>
      <c r="AA377" s="4">
        <f>R377-G377</f>
        <v/>
      </c>
      <c r="AB377" s="4">
        <f>G377-R377</f>
        <v/>
      </c>
      <c r="AC377" s="33" t="n"/>
    </row>
    <row r="378" ht="18.75" customHeight="1">
      <c r="A378" s="35">
        <f>SUBTOTAL(103,$B$24:B378)</f>
        <v/>
      </c>
      <c r="B378" s="36" t="inlineStr">
        <is>
          <t>Шумівка</t>
        </is>
      </c>
      <c r="C378" s="37" t="inlineStr">
        <is>
          <t>шт.</t>
        </is>
      </c>
      <c r="D378" s="33" t="n"/>
      <c r="E378" s="33" t="n"/>
      <c r="F378" s="33">
        <f>E378*0.05</f>
        <v/>
      </c>
      <c r="G378" s="33">
        <f>E378+F378</f>
        <v/>
      </c>
      <c r="H378" s="33" t="n"/>
      <c r="I378" s="33" t="n"/>
      <c r="J378" s="33" t="n"/>
      <c r="K378" s="33">
        <f>L378+M378+N378</f>
        <v/>
      </c>
      <c r="L378" s="33" t="n"/>
      <c r="M378" s="33" t="n"/>
      <c r="N378" s="33" t="n"/>
      <c r="O378" s="33">
        <f>P378+Q378</f>
        <v/>
      </c>
      <c r="P378" s="33" t="n"/>
      <c r="Q378" s="33" t="n"/>
      <c r="R378" s="33">
        <f>H378+K378-O378</f>
        <v/>
      </c>
      <c r="S378" s="33" t="n"/>
      <c r="T378" s="33" t="n"/>
      <c r="U378" s="33" t="n"/>
      <c r="V378" s="33" t="n"/>
      <c r="W378" s="33" t="n"/>
      <c r="X378" s="33" t="n"/>
      <c r="Y378" s="33" t="n"/>
      <c r="Z378" s="33" t="n"/>
      <c r="AA378" s="4">
        <f>R378-G378</f>
        <v/>
      </c>
      <c r="AB378" s="4">
        <f>G378-R378</f>
        <v/>
      </c>
      <c r="AC378" s="33" t="n"/>
    </row>
    <row r="379" ht="18.75" customHeight="1">
      <c r="A379" s="35">
        <f>SUBTOTAL(103,$B$24:B379)</f>
        <v/>
      </c>
      <c r="B379" s="36" t="inlineStr">
        <is>
          <t>Чумичка з н/ст</t>
        </is>
      </c>
      <c r="C379" s="37" t="inlineStr">
        <is>
          <t>шт.</t>
        </is>
      </c>
      <c r="D379" s="33" t="n"/>
      <c r="E379" s="33" t="n"/>
      <c r="F379" s="33">
        <f>E379*0.05</f>
        <v/>
      </c>
      <c r="G379" s="33">
        <f>E379+F379</f>
        <v/>
      </c>
      <c r="H379" s="33" t="n"/>
      <c r="I379" s="33" t="n"/>
      <c r="J379" s="33" t="n"/>
      <c r="K379" s="33">
        <f>L379+M379+N379</f>
        <v/>
      </c>
      <c r="L379" s="33" t="n"/>
      <c r="M379" s="33" t="n"/>
      <c r="N379" s="33" t="n"/>
      <c r="O379" s="33">
        <f>P379+Q379</f>
        <v/>
      </c>
      <c r="P379" s="33" t="n"/>
      <c r="Q379" s="33" t="n"/>
      <c r="R379" s="33">
        <f>H379+K379-O379</f>
        <v/>
      </c>
      <c r="S379" s="33" t="n"/>
      <c r="T379" s="33" t="n"/>
      <c r="U379" s="33" t="n"/>
      <c r="V379" s="33" t="n"/>
      <c r="W379" s="33" t="n"/>
      <c r="X379" s="33" t="n"/>
      <c r="Y379" s="33" t="n"/>
      <c r="Z379" s="33" t="n"/>
      <c r="AA379" s="4">
        <f>R379-G379</f>
        <v/>
      </c>
      <c r="AB379" s="4">
        <f>G379-R379</f>
        <v/>
      </c>
      <c r="AC379" s="33" t="n"/>
    </row>
    <row r="380" ht="18.75" customHeight="1">
      <c r="A380" s="35">
        <f>SUBTOTAL(103,$B$24:B380)</f>
        <v/>
      </c>
      <c r="B380" s="36" t="inlineStr">
        <is>
          <t>Чумичка з ал.</t>
        </is>
      </c>
      <c r="C380" s="37" t="inlineStr">
        <is>
          <t>шт.</t>
        </is>
      </c>
      <c r="D380" s="33" t="n"/>
      <c r="E380" s="33" t="n"/>
      <c r="F380" s="33">
        <f>E380*0.05</f>
        <v/>
      </c>
      <c r="G380" s="33">
        <f>E380+F380</f>
        <v/>
      </c>
      <c r="H380" s="33" t="n"/>
      <c r="I380" s="33" t="n"/>
      <c r="J380" s="33" t="n"/>
      <c r="K380" s="33">
        <f>L380+M380+N380</f>
        <v/>
      </c>
      <c r="L380" s="33" t="n"/>
      <c r="M380" s="33" t="n"/>
      <c r="N380" s="33" t="n"/>
      <c r="O380" s="33">
        <f>P380+Q380</f>
        <v/>
      </c>
      <c r="P380" s="33" t="n"/>
      <c r="Q380" s="33" t="n"/>
      <c r="R380" s="33">
        <f>H380+K380-O380</f>
        <v/>
      </c>
      <c r="S380" s="33" t="n"/>
      <c r="T380" s="33" t="n"/>
      <c r="U380" s="33" t="n"/>
      <c r="V380" s="33" t="n"/>
      <c r="W380" s="33" t="n"/>
      <c r="X380" s="33" t="n"/>
      <c r="Y380" s="33" t="n"/>
      <c r="Z380" s="33" t="n"/>
      <c r="AA380" s="4">
        <f>R380-G380</f>
        <v/>
      </c>
      <c r="AB380" s="4">
        <f>G380-R380</f>
        <v/>
      </c>
      <c r="AC380" s="33" t="n"/>
    </row>
    <row r="381" ht="18.75" customHeight="1">
      <c r="A381" s="35">
        <f>SUBTOTAL(103,$B$24:B381)</f>
        <v/>
      </c>
      <c r="B381" s="36" t="inlineStr">
        <is>
          <t>Чумичка</t>
        </is>
      </c>
      <c r="C381" s="37" t="inlineStr">
        <is>
          <t>шт.</t>
        </is>
      </c>
      <c r="D381" s="33" t="n"/>
      <c r="E381" s="33" t="n"/>
      <c r="F381" s="33">
        <f>E381*0.05</f>
        <v/>
      </c>
      <c r="G381" s="33">
        <f>E381+F381</f>
        <v/>
      </c>
      <c r="H381" s="33" t="n"/>
      <c r="I381" s="33" t="n"/>
      <c r="J381" s="33" t="n"/>
      <c r="K381" s="33">
        <f>L381+M381+N381</f>
        <v/>
      </c>
      <c r="L381" s="33" t="n"/>
      <c r="M381" s="33" t="n"/>
      <c r="N381" s="33" t="n"/>
      <c r="O381" s="33">
        <f>P381+Q381</f>
        <v/>
      </c>
      <c r="P381" s="33" t="n"/>
      <c r="Q381" s="33" t="n"/>
      <c r="R381" s="33">
        <f>H381+K381-O381</f>
        <v/>
      </c>
      <c r="S381" s="33" t="n"/>
      <c r="T381" s="33" t="n"/>
      <c r="U381" s="33" t="n"/>
      <c r="V381" s="33" t="n"/>
      <c r="W381" s="33" t="n"/>
      <c r="X381" s="33" t="n"/>
      <c r="Y381" s="33" t="n"/>
      <c r="Z381" s="33" t="n"/>
      <c r="AA381" s="4">
        <f>R381-G381</f>
        <v/>
      </c>
      <c r="AB381" s="4">
        <f>G381-R381</f>
        <v/>
      </c>
      <c r="AC381" s="33" t="n"/>
    </row>
    <row r="382" ht="18.75" customHeight="1">
      <c r="A382" s="35">
        <f>SUBTOTAL(103,$B$24:B382)</f>
        <v/>
      </c>
      <c r="B382" s="36" t="inlineStr">
        <is>
          <t>Копистка деревяна</t>
        </is>
      </c>
      <c r="C382" s="37" t="inlineStr">
        <is>
          <t>шт.</t>
        </is>
      </c>
      <c r="D382" s="33" t="n"/>
      <c r="E382" s="33" t="n"/>
      <c r="F382" s="33">
        <f>E382*0.05</f>
        <v/>
      </c>
      <c r="G382" s="33">
        <f>E382+F382</f>
        <v/>
      </c>
      <c r="H382" s="33" t="n"/>
      <c r="I382" s="33" t="n"/>
      <c r="J382" s="33" t="n"/>
      <c r="K382" s="33">
        <f>L382+M382+N382</f>
        <v/>
      </c>
      <c r="L382" s="33" t="n"/>
      <c r="M382" s="33" t="n"/>
      <c r="N382" s="33" t="n"/>
      <c r="O382" s="33">
        <f>P382+Q382</f>
        <v/>
      </c>
      <c r="P382" s="33" t="n"/>
      <c r="Q382" s="33" t="n"/>
      <c r="R382" s="33">
        <f>H382+K382-O382</f>
        <v/>
      </c>
      <c r="S382" s="33" t="n"/>
      <c r="T382" s="33" t="n"/>
      <c r="U382" s="33" t="n"/>
      <c r="V382" s="33" t="n"/>
      <c r="W382" s="33" t="n"/>
      <c r="X382" s="33" t="n"/>
      <c r="Y382" s="33" t="n"/>
      <c r="Z382" s="33" t="n"/>
      <c r="AA382" s="4">
        <f>R382-G382</f>
        <v/>
      </c>
      <c r="AB382" s="4">
        <f>G382-R382</f>
        <v/>
      </c>
      <c r="AC382" s="33" t="n"/>
    </row>
    <row r="383" ht="18.75" customHeight="1">
      <c r="A383" s="35">
        <f>SUBTOTAL(103,$B$24:B383)</f>
        <v/>
      </c>
      <c r="B383" s="36" t="inlineStr">
        <is>
          <t xml:space="preserve">Товкушки деревяні </t>
        </is>
      </c>
      <c r="C383" s="37" t="inlineStr">
        <is>
          <t>шт.</t>
        </is>
      </c>
      <c r="D383" s="33" t="n"/>
      <c r="E383" s="33" t="n"/>
      <c r="F383" s="33">
        <f>E383*0.05</f>
        <v/>
      </c>
      <c r="G383" s="33">
        <f>E383+F383</f>
        <v/>
      </c>
      <c r="H383" s="33" t="n"/>
      <c r="I383" s="33" t="n"/>
      <c r="J383" s="33" t="n"/>
      <c r="K383" s="33">
        <f>L383+M383+N383</f>
        <v/>
      </c>
      <c r="L383" s="33" t="n"/>
      <c r="M383" s="33" t="n"/>
      <c r="N383" s="33" t="n"/>
      <c r="O383" s="33">
        <f>P383+Q383</f>
        <v/>
      </c>
      <c r="P383" s="33" t="n"/>
      <c r="Q383" s="33" t="n"/>
      <c r="R383" s="33">
        <f>H383+K383-O383</f>
        <v/>
      </c>
      <c r="S383" s="33" t="n"/>
      <c r="T383" s="33" t="n"/>
      <c r="U383" s="33" t="n"/>
      <c r="V383" s="33" t="n"/>
      <c r="W383" s="33" t="n"/>
      <c r="X383" s="33" t="n"/>
      <c r="Y383" s="33" t="n"/>
      <c r="Z383" s="33" t="n"/>
      <c r="AA383" s="4">
        <f>R383-G383</f>
        <v/>
      </c>
      <c r="AB383" s="4">
        <f>G383-R383</f>
        <v/>
      </c>
      <c r="AC383" s="33" t="n"/>
    </row>
    <row r="384" ht="18.75" customHeight="1">
      <c r="A384" s="35">
        <f>SUBTOTAL(103,$B$24:B384)</f>
        <v/>
      </c>
      <c r="B384" s="36" t="inlineStr">
        <is>
          <t>Сковорода</t>
        </is>
      </c>
      <c r="C384" s="37" t="inlineStr">
        <is>
          <t>шт.</t>
        </is>
      </c>
      <c r="D384" s="33" t="n"/>
      <c r="E384" s="33" t="n"/>
      <c r="F384" s="33">
        <f>E384*0.05</f>
        <v/>
      </c>
      <c r="G384" s="33">
        <f>E384+F384</f>
        <v/>
      </c>
      <c r="H384" s="33" t="n"/>
      <c r="I384" s="33" t="n"/>
      <c r="J384" s="33" t="n"/>
      <c r="K384" s="33">
        <f>L384+M384+N384</f>
        <v/>
      </c>
      <c r="L384" s="33" t="n"/>
      <c r="M384" s="33" t="n"/>
      <c r="N384" s="33" t="n"/>
      <c r="O384" s="33">
        <f>P384+Q384</f>
        <v/>
      </c>
      <c r="P384" s="33" t="n"/>
      <c r="Q384" s="33" t="n"/>
      <c r="R384" s="33">
        <f>H384+K384-O384</f>
        <v/>
      </c>
      <c r="S384" s="33" t="n"/>
      <c r="T384" s="33" t="n"/>
      <c r="U384" s="33" t="n"/>
      <c r="V384" s="33" t="n"/>
      <c r="W384" s="33" t="n"/>
      <c r="X384" s="33" t="n"/>
      <c r="Y384" s="33" t="n"/>
      <c r="Z384" s="33" t="n"/>
      <c r="AA384" s="4">
        <f>R384-G384</f>
        <v/>
      </c>
      <c r="AB384" s="4">
        <f>G384-R384</f>
        <v/>
      </c>
      <c r="AC384" s="33" t="n"/>
    </row>
    <row r="385" ht="18.75" customHeight="1">
      <c r="A385" s="35">
        <f>SUBTOTAL(103,$B$24:B385)</f>
        <v/>
      </c>
      <c r="B385" s="36" t="inlineStr">
        <is>
          <t>Сковорода з н/ст</t>
        </is>
      </c>
      <c r="C385" s="37" t="inlineStr">
        <is>
          <t>шт.</t>
        </is>
      </c>
      <c r="D385" s="33" t="n"/>
      <c r="E385" s="33" t="n"/>
      <c r="F385" s="33">
        <f>E385*0.05</f>
        <v/>
      </c>
      <c r="G385" s="33">
        <f>E385+F385</f>
        <v/>
      </c>
      <c r="H385" s="33" t="n"/>
      <c r="I385" s="33" t="n"/>
      <c r="J385" s="33" t="n"/>
      <c r="K385" s="33">
        <f>L385+M385+N385</f>
        <v/>
      </c>
      <c r="L385" s="33" t="n"/>
      <c r="M385" s="33" t="n"/>
      <c r="N385" s="33" t="n"/>
      <c r="O385" s="33">
        <f>P385+Q385</f>
        <v/>
      </c>
      <c r="P385" s="33" t="n"/>
      <c r="Q385" s="33" t="n"/>
      <c r="R385" s="33">
        <f>H385+K385-O385</f>
        <v/>
      </c>
      <c r="S385" s="33" t="n"/>
      <c r="T385" s="33" t="n"/>
      <c r="U385" s="33" t="n"/>
      <c r="V385" s="33" t="n"/>
      <c r="W385" s="33" t="n"/>
      <c r="X385" s="33" t="n"/>
      <c r="Y385" s="33" t="n"/>
      <c r="Z385" s="33" t="n"/>
      <c r="AA385" s="4">
        <f>R385-G385</f>
        <v/>
      </c>
      <c r="AB385" s="4">
        <f>G385-R385</f>
        <v/>
      </c>
      <c r="AC385" s="33" t="n"/>
    </row>
    <row r="386" ht="18.75" customHeight="1">
      <c r="A386" s="35">
        <f>SUBTOTAL(103,$B$24:B386)</f>
        <v/>
      </c>
      <c r="B386" s="36" t="inlineStr">
        <is>
          <t>Сковорода чавунна</t>
        </is>
      </c>
      <c r="C386" s="37" t="inlineStr">
        <is>
          <t>шт.</t>
        </is>
      </c>
      <c r="D386" s="33" t="n"/>
      <c r="E386" s="33" t="n"/>
      <c r="F386" s="33">
        <f>E386*0.05</f>
        <v/>
      </c>
      <c r="G386" s="33">
        <f>E386+F386</f>
        <v/>
      </c>
      <c r="H386" s="33" t="n"/>
      <c r="I386" s="33" t="n"/>
      <c r="J386" s="33" t="n"/>
      <c r="K386" s="33">
        <f>L386+M386+N386</f>
        <v/>
      </c>
      <c r="L386" s="33" t="n"/>
      <c r="M386" s="33" t="n"/>
      <c r="N386" s="33" t="n"/>
      <c r="O386" s="33">
        <f>P386+Q386</f>
        <v/>
      </c>
      <c r="P386" s="33" t="n"/>
      <c r="Q386" s="33" t="n"/>
      <c r="R386" s="33">
        <f>H386+K386-O386</f>
        <v/>
      </c>
      <c r="S386" s="33" t="n"/>
      <c r="T386" s="33" t="n"/>
      <c r="U386" s="33" t="n"/>
      <c r="V386" s="33" t="n"/>
      <c r="W386" s="33" t="n"/>
      <c r="X386" s="33" t="n"/>
      <c r="Y386" s="33" t="n"/>
      <c r="Z386" s="33" t="n"/>
      <c r="AA386" s="4">
        <f>R386-G386</f>
        <v/>
      </c>
      <c r="AB386" s="4">
        <f>G386-R386</f>
        <v/>
      </c>
      <c r="AC386" s="33" t="n"/>
    </row>
    <row r="387" ht="18.75" customHeight="1">
      <c r="A387" s="35">
        <f>SUBTOTAL(103,$B$24:B387)</f>
        <v/>
      </c>
      <c r="B387" s="36" t="inlineStr">
        <is>
          <t>Сковорода емальована</t>
        </is>
      </c>
      <c r="C387" s="37" t="inlineStr">
        <is>
          <t>шт.</t>
        </is>
      </c>
      <c r="D387" s="33" t="n"/>
      <c r="E387" s="33" t="n"/>
      <c r="F387" s="33">
        <f>E387*0.05</f>
        <v/>
      </c>
      <c r="G387" s="33">
        <f>E387+F387</f>
        <v/>
      </c>
      <c r="H387" s="33" t="n"/>
      <c r="I387" s="33" t="n"/>
      <c r="J387" s="33" t="n"/>
      <c r="K387" s="33">
        <f>L387+M387+N387</f>
        <v/>
      </c>
      <c r="L387" s="33" t="n"/>
      <c r="M387" s="33" t="n"/>
      <c r="N387" s="33" t="n"/>
      <c r="O387" s="33">
        <f>P387+Q387</f>
        <v/>
      </c>
      <c r="P387" s="33" t="n"/>
      <c r="Q387" s="33" t="n"/>
      <c r="R387" s="33">
        <f>H387+K387-O387</f>
        <v/>
      </c>
      <c r="S387" s="33" t="n"/>
      <c r="T387" s="33" t="n"/>
      <c r="U387" s="33" t="n"/>
      <c r="V387" s="33" t="n"/>
      <c r="W387" s="33" t="n"/>
      <c r="X387" s="33" t="n"/>
      <c r="Y387" s="33" t="n"/>
      <c r="Z387" s="33" t="n"/>
      <c r="AA387" s="4">
        <f>R387-G387</f>
        <v/>
      </c>
      <c r="AB387" s="4">
        <f>G387-R387</f>
        <v/>
      </c>
      <c r="AC387" s="33" t="n"/>
    </row>
    <row r="388" ht="18.75" customHeight="1">
      <c r="A388" s="35">
        <f>SUBTOTAL(103,$B$24:B388)</f>
        <v/>
      </c>
      <c r="B388" s="36" t="inlineStr">
        <is>
          <t>Сковорода алюмінієва</t>
        </is>
      </c>
      <c r="C388" s="37" t="inlineStr">
        <is>
          <t>шт.</t>
        </is>
      </c>
      <c r="D388" s="33" t="n"/>
      <c r="E388" s="33" t="n"/>
      <c r="F388" s="33">
        <f>E388*0.05</f>
        <v/>
      </c>
      <c r="G388" s="33">
        <f>E388+F388</f>
        <v/>
      </c>
      <c r="H388" s="33" t="n"/>
      <c r="I388" s="33" t="n"/>
      <c r="J388" s="33" t="n"/>
      <c r="K388" s="33">
        <f>L388+M388+N388</f>
        <v/>
      </c>
      <c r="L388" s="33" t="n"/>
      <c r="M388" s="33" t="n"/>
      <c r="N388" s="33" t="n"/>
      <c r="O388" s="33">
        <f>P388+Q388</f>
        <v/>
      </c>
      <c r="P388" s="33" t="n"/>
      <c r="Q388" s="33" t="n"/>
      <c r="R388" s="33">
        <f>H388+K388-O388</f>
        <v/>
      </c>
      <c r="S388" s="33" t="n"/>
      <c r="T388" s="33" t="n"/>
      <c r="U388" s="33" t="n"/>
      <c r="V388" s="33" t="n"/>
      <c r="W388" s="33" t="n"/>
      <c r="X388" s="33" t="n"/>
      <c r="Y388" s="33" t="n"/>
      <c r="Z388" s="33" t="n"/>
      <c r="AA388" s="4">
        <f>R388-G388</f>
        <v/>
      </c>
      <c r="AB388" s="4">
        <f>G388-R388</f>
        <v/>
      </c>
      <c r="AC388" s="33" t="n"/>
    </row>
    <row r="389" ht="18.75" customHeight="1">
      <c r="A389" s="35">
        <f>SUBTOTAL(103,$B$24:B389)</f>
        <v/>
      </c>
      <c r="B389" s="36" t="inlineStr">
        <is>
          <t>Сковорода порційна</t>
        </is>
      </c>
      <c r="C389" s="37" t="inlineStr">
        <is>
          <t>шт.</t>
        </is>
      </c>
      <c r="D389" s="33" t="n"/>
      <c r="E389" s="33" t="n"/>
      <c r="F389" s="33">
        <f>E389*0.05</f>
        <v/>
      </c>
      <c r="G389" s="33">
        <f>E389+F389</f>
        <v/>
      </c>
      <c r="H389" s="33" t="n"/>
      <c r="I389" s="33" t="n"/>
      <c r="J389" s="33" t="n"/>
      <c r="K389" s="33">
        <f>L389+M389+N389</f>
        <v/>
      </c>
      <c r="L389" s="33" t="n"/>
      <c r="M389" s="33" t="n"/>
      <c r="N389" s="33" t="n"/>
      <c r="O389" s="33">
        <f>P389+Q389</f>
        <v/>
      </c>
      <c r="P389" s="33" t="n"/>
      <c r="Q389" s="33" t="n"/>
      <c r="R389" s="33">
        <f>H389+K389-O389</f>
        <v/>
      </c>
      <c r="S389" s="33" t="n"/>
      <c r="T389" s="33" t="n"/>
      <c r="U389" s="33" t="n"/>
      <c r="V389" s="33" t="n"/>
      <c r="W389" s="33" t="n"/>
      <c r="X389" s="33" t="n"/>
      <c r="Y389" s="33" t="n"/>
      <c r="Z389" s="33" t="n"/>
      <c r="AA389" s="4">
        <f>R389-G389</f>
        <v/>
      </c>
      <c r="AB389" s="4">
        <f>G389-R389</f>
        <v/>
      </c>
      <c r="AC389" s="33" t="n"/>
    </row>
    <row r="390" ht="18.75" customHeight="1">
      <c r="A390" s="35">
        <f>SUBTOTAL(103,$B$24:B390)</f>
        <v/>
      </c>
      <c r="B390" s="36" t="inlineStr">
        <is>
          <t>Сковорода порційна алюмінієва</t>
        </is>
      </c>
      <c r="C390" s="37" t="inlineStr">
        <is>
          <t>шт.</t>
        </is>
      </c>
      <c r="D390" s="33" t="n"/>
      <c r="E390" s="33" t="n"/>
      <c r="F390" s="33">
        <f>E390*0.05</f>
        <v/>
      </c>
      <c r="G390" s="33">
        <f>E390+F390</f>
        <v/>
      </c>
      <c r="H390" s="33" t="n"/>
      <c r="I390" s="33" t="n"/>
      <c r="J390" s="33" t="n"/>
      <c r="K390" s="33">
        <f>L390+M390+N390</f>
        <v/>
      </c>
      <c r="L390" s="33" t="n"/>
      <c r="M390" s="33" t="n"/>
      <c r="N390" s="33" t="n"/>
      <c r="O390" s="33">
        <f>P390+Q390</f>
        <v/>
      </c>
      <c r="P390" s="33" t="n"/>
      <c r="Q390" s="33" t="n"/>
      <c r="R390" s="33">
        <f>H390+K390-O390</f>
        <v/>
      </c>
      <c r="S390" s="33" t="n"/>
      <c r="T390" s="33" t="n"/>
      <c r="U390" s="33" t="n"/>
      <c r="V390" s="33" t="n"/>
      <c r="W390" s="33" t="n"/>
      <c r="X390" s="33" t="n"/>
      <c r="Y390" s="33" t="n"/>
      <c r="Z390" s="33" t="n"/>
      <c r="AA390" s="4">
        <f>R390-G390</f>
        <v/>
      </c>
      <c r="AB390" s="4">
        <f>G390-R390</f>
        <v/>
      </c>
      <c r="AC390" s="33" t="n"/>
    </row>
    <row r="391" ht="37.5" customHeight="1">
      <c r="A391" s="35">
        <f>SUBTOTAL(103,$B$24:B391)</f>
        <v/>
      </c>
      <c r="B391" s="36" t="inlineStr">
        <is>
          <t>Сковорода порційна з нержавіючої сталі</t>
        </is>
      </c>
      <c r="C391" s="37" t="inlineStr">
        <is>
          <t>шт.</t>
        </is>
      </c>
      <c r="D391" s="33" t="n"/>
      <c r="E391" s="33" t="n"/>
      <c r="F391" s="33">
        <f>E391*0.05</f>
        <v/>
      </c>
      <c r="G391" s="33">
        <f>E391+F391</f>
        <v/>
      </c>
      <c r="H391" s="33" t="n"/>
      <c r="I391" s="33" t="n"/>
      <c r="J391" s="33" t="n"/>
      <c r="K391" s="33">
        <f>L391+M391+N391</f>
        <v/>
      </c>
      <c r="L391" s="33" t="n"/>
      <c r="M391" s="33" t="n"/>
      <c r="N391" s="33" t="n"/>
      <c r="O391" s="33">
        <f>P391+Q391</f>
        <v/>
      </c>
      <c r="P391" s="33" t="n"/>
      <c r="Q391" s="33" t="n"/>
      <c r="R391" s="33">
        <f>H391+K391-O391</f>
        <v/>
      </c>
      <c r="S391" s="33" t="n"/>
      <c r="T391" s="33" t="n"/>
      <c r="U391" s="33" t="n"/>
      <c r="V391" s="33" t="n"/>
      <c r="W391" s="33" t="n"/>
      <c r="X391" s="33" t="n"/>
      <c r="Y391" s="33" t="n"/>
      <c r="Z391" s="33" t="n"/>
      <c r="AA391" s="4">
        <f>R391-G391</f>
        <v/>
      </c>
      <c r="AB391" s="4">
        <f>G391-R391</f>
        <v/>
      </c>
      <c r="AC391" s="33" t="n"/>
    </row>
    <row r="392" ht="18.75" customHeight="1">
      <c r="A392" s="35">
        <f>SUBTOTAL(103,$B$24:B392)</f>
        <v/>
      </c>
      <c r="B392" s="36" t="inlineStr">
        <is>
          <t>Сковорода для млинці</t>
        </is>
      </c>
      <c r="C392" s="37" t="inlineStr">
        <is>
          <t>шт.</t>
        </is>
      </c>
      <c r="D392" s="33" t="n"/>
      <c r="E392" s="33" t="n"/>
      <c r="F392" s="33">
        <f>E392*0.05</f>
        <v/>
      </c>
      <c r="G392" s="33">
        <f>E392+F392</f>
        <v/>
      </c>
      <c r="H392" s="33" t="n"/>
      <c r="I392" s="33" t="n"/>
      <c r="J392" s="33" t="n"/>
      <c r="K392" s="33">
        <f>L392+M392+N392</f>
        <v/>
      </c>
      <c r="L392" s="33" t="n"/>
      <c r="M392" s="33" t="n"/>
      <c r="N392" s="33" t="n"/>
      <c r="O392" s="33">
        <f>P392+Q392</f>
        <v/>
      </c>
      <c r="P392" s="33" t="n"/>
      <c r="Q392" s="33" t="n"/>
      <c r="R392" s="33">
        <f>H392+K392-O392</f>
        <v/>
      </c>
      <c r="S392" s="33" t="n"/>
      <c r="T392" s="33" t="n"/>
      <c r="U392" s="33" t="n"/>
      <c r="V392" s="33" t="n"/>
      <c r="W392" s="33" t="n"/>
      <c r="X392" s="33" t="n"/>
      <c r="Y392" s="33" t="n"/>
      <c r="Z392" s="33" t="n"/>
      <c r="AA392" s="4">
        <f>R392-G392</f>
        <v/>
      </c>
      <c r="AB392" s="4">
        <f>G392-R392</f>
        <v/>
      </c>
      <c r="AC392" s="33" t="n"/>
    </row>
    <row r="393" ht="18.75" customHeight="1">
      <c r="A393" s="35">
        <f>SUBTOTAL(103,$B$24:B393)</f>
        <v/>
      </c>
      <c r="B393" s="36" t="inlineStr">
        <is>
          <t>Садж з підігрівом</t>
        </is>
      </c>
      <c r="C393" s="37" t="inlineStr">
        <is>
          <t>к-т</t>
        </is>
      </c>
      <c r="D393" s="33" t="n"/>
      <c r="E393" s="33" t="n"/>
      <c r="F393" s="33">
        <f>E393*0.05</f>
        <v/>
      </c>
      <c r="G393" s="33">
        <f>E393+F393</f>
        <v/>
      </c>
      <c r="H393" s="33" t="n"/>
      <c r="I393" s="33" t="n"/>
      <c r="J393" s="33" t="n"/>
      <c r="K393" s="33">
        <f>L393+M393+N393</f>
        <v/>
      </c>
      <c r="L393" s="33" t="n"/>
      <c r="M393" s="33" t="n"/>
      <c r="N393" s="33" t="n"/>
      <c r="O393" s="33">
        <f>P393+Q393</f>
        <v/>
      </c>
      <c r="P393" s="33" t="n"/>
      <c r="Q393" s="33" t="n"/>
      <c r="R393" s="33">
        <f>H393+K393-O393</f>
        <v/>
      </c>
      <c r="S393" s="33" t="n"/>
      <c r="T393" s="33" t="n"/>
      <c r="U393" s="33" t="n"/>
      <c r="V393" s="33" t="n"/>
      <c r="W393" s="33" t="n"/>
      <c r="X393" s="33" t="n"/>
      <c r="Y393" s="33" t="n"/>
      <c r="Z393" s="33" t="n"/>
      <c r="AA393" s="4">
        <f>R393-G393</f>
        <v/>
      </c>
      <c r="AB393" s="4">
        <f>G393-R393</f>
        <v/>
      </c>
      <c r="AC393" s="33" t="n"/>
    </row>
    <row r="394" ht="18.75" customHeight="1">
      <c r="A394" s="35">
        <f>SUBTOTAL(103,$B$24:B394)</f>
        <v/>
      </c>
      <c r="B394" s="36" t="inlineStr">
        <is>
          <t>Ножі "Кухарська трійка"</t>
        </is>
      </c>
      <c r="C394" s="37" t="inlineStr">
        <is>
          <t>к-т</t>
        </is>
      </c>
      <c r="D394" s="33" t="n"/>
      <c r="E394" s="33" t="n"/>
      <c r="F394" s="33">
        <f>E394*0.05</f>
        <v/>
      </c>
      <c r="G394" s="33">
        <f>E394+F394</f>
        <v/>
      </c>
      <c r="H394" s="33" t="n"/>
      <c r="I394" s="33" t="n"/>
      <c r="J394" s="33" t="n"/>
      <c r="K394" s="33">
        <f>L394+M394+N394</f>
        <v/>
      </c>
      <c r="L394" s="33" t="n"/>
      <c r="M394" s="33" t="n"/>
      <c r="N394" s="33" t="n"/>
      <c r="O394" s="33">
        <f>P394+Q394</f>
        <v/>
      </c>
      <c r="P394" s="33" t="n"/>
      <c r="Q394" s="33" t="n"/>
      <c r="R394" s="33">
        <f>H394+K394-O394</f>
        <v/>
      </c>
      <c r="S394" s="33" t="n"/>
      <c r="T394" s="33" t="n"/>
      <c r="U394" s="33" t="n"/>
      <c r="V394" s="33" t="n"/>
      <c r="W394" s="33" t="n"/>
      <c r="X394" s="33" t="n"/>
      <c r="Y394" s="33" t="n"/>
      <c r="Z394" s="33" t="n"/>
      <c r="AA394" s="4">
        <f>R394-G394</f>
        <v/>
      </c>
      <c r="AB394" s="4">
        <f>G394-R394</f>
        <v/>
      </c>
      <c r="AC394" s="33" t="n"/>
    </row>
    <row r="395" ht="18.75" customHeight="1">
      <c r="A395" s="35">
        <f>SUBTOTAL(103,$B$24:B395)</f>
        <v/>
      </c>
      <c r="B395" s="36" t="inlineStr">
        <is>
          <t>Ніж кухарський</t>
        </is>
      </c>
      <c r="C395" s="37" t="inlineStr">
        <is>
          <t>шт.</t>
        </is>
      </c>
      <c r="D395" s="33" t="n"/>
      <c r="E395" s="33" t="n"/>
      <c r="F395" s="33">
        <f>E395*0.05</f>
        <v/>
      </c>
      <c r="G395" s="33">
        <f>E395+F395</f>
        <v/>
      </c>
      <c r="H395" s="33" t="n"/>
      <c r="I395" s="33" t="n"/>
      <c r="J395" s="33" t="n"/>
      <c r="K395" s="33">
        <f>L395+M395+N395</f>
        <v/>
      </c>
      <c r="L395" s="33" t="n"/>
      <c r="M395" s="33" t="n"/>
      <c r="N395" s="33" t="n"/>
      <c r="O395" s="33">
        <f>P395+Q395</f>
        <v/>
      </c>
      <c r="P395" s="33" t="n"/>
      <c r="Q395" s="33" t="n"/>
      <c r="R395" s="33">
        <f>H395+K395-O395</f>
        <v/>
      </c>
      <c r="S395" s="33" t="n"/>
      <c r="T395" s="33" t="n"/>
      <c r="U395" s="33" t="n"/>
      <c r="V395" s="33" t="n"/>
      <c r="W395" s="33" t="n"/>
      <c r="X395" s="33" t="n"/>
      <c r="Y395" s="33" t="n"/>
      <c r="Z395" s="33" t="n"/>
      <c r="AA395" s="4">
        <f>R395-G395</f>
        <v/>
      </c>
      <c r="AB395" s="4">
        <f>G395-R395</f>
        <v/>
      </c>
      <c r="AC395" s="33" t="n"/>
    </row>
    <row r="396" ht="18.75" customHeight="1">
      <c r="A396" s="35">
        <f>SUBTOTAL(103,$B$24:B396)</f>
        <v/>
      </c>
      <c r="B396" s="36" t="inlineStr">
        <is>
          <t>Ніж спеціальний (універсальний)</t>
        </is>
      </c>
      <c r="C396" s="37" t="inlineStr">
        <is>
          <t>шт.</t>
        </is>
      </c>
      <c r="D396" s="33" t="n"/>
      <c r="E396" s="33" t="n"/>
      <c r="F396" s="33">
        <f>E396*0.05</f>
        <v/>
      </c>
      <c r="G396" s="33">
        <f>E396+F396</f>
        <v/>
      </c>
      <c r="H396" s="33" t="n"/>
      <c r="I396" s="33" t="n"/>
      <c r="J396" s="33" t="n"/>
      <c r="K396" s="33">
        <f>L396+M396+N396</f>
        <v/>
      </c>
      <c r="L396" s="33" t="n"/>
      <c r="M396" s="33" t="n"/>
      <c r="N396" s="33" t="n"/>
      <c r="O396" s="33">
        <f>P396+Q396</f>
        <v/>
      </c>
      <c r="P396" s="33" t="n"/>
      <c r="Q396" s="33" t="n"/>
      <c r="R396" s="33">
        <f>H396+K396-O396</f>
        <v/>
      </c>
      <c r="S396" s="33" t="n"/>
      <c r="T396" s="33" t="n"/>
      <c r="U396" s="33" t="n"/>
      <c r="V396" s="33" t="n"/>
      <c r="W396" s="33" t="n"/>
      <c r="X396" s="33" t="n"/>
      <c r="Y396" s="33" t="n"/>
      <c r="Z396" s="33" t="n"/>
      <c r="AA396" s="4">
        <f>R396-G396</f>
        <v/>
      </c>
      <c r="AB396" s="4">
        <f>G396-R396</f>
        <v/>
      </c>
      <c r="AC396" s="33" t="n"/>
      <c r="NC396" s="74" t="n">
        <v>53</v>
      </c>
    </row>
    <row r="397" ht="18.75" customHeight="1">
      <c r="A397" s="35">
        <f>SUBTOTAL(103,$B$24:B397)</f>
        <v/>
      </c>
      <c r="B397" s="36" t="inlineStr">
        <is>
          <t xml:space="preserve">Ніж овочевий з нержавіючої сталі </t>
        </is>
      </c>
      <c r="C397" s="37" t="inlineStr">
        <is>
          <t>шт.</t>
        </is>
      </c>
      <c r="D397" s="33" t="n"/>
      <c r="E397" s="33" t="n"/>
      <c r="F397" s="33">
        <f>E397*0.05</f>
        <v/>
      </c>
      <c r="G397" s="33">
        <f>E397+F397</f>
        <v/>
      </c>
      <c r="H397" s="33" t="n"/>
      <c r="I397" s="33" t="n"/>
      <c r="J397" s="33" t="n"/>
      <c r="K397" s="33">
        <f>L397+M397+N397</f>
        <v/>
      </c>
      <c r="L397" s="33" t="n"/>
      <c r="M397" s="33" t="n"/>
      <c r="N397" s="33" t="n"/>
      <c r="O397" s="33">
        <f>P397+Q397</f>
        <v/>
      </c>
      <c r="P397" s="33" t="n"/>
      <c r="Q397" s="33" t="n"/>
      <c r="R397" s="33">
        <f>H397+K397-O397</f>
        <v/>
      </c>
      <c r="S397" s="33" t="n"/>
      <c r="T397" s="33" t="n"/>
      <c r="U397" s="33" t="n"/>
      <c r="V397" s="33" t="n"/>
      <c r="W397" s="33" t="n"/>
      <c r="X397" s="33" t="n"/>
      <c r="Y397" s="33" t="n"/>
      <c r="Z397" s="33" t="n"/>
      <c r="AA397" s="4">
        <f>R397-G397</f>
        <v/>
      </c>
      <c r="AB397" s="4">
        <f>G397-R397</f>
        <v/>
      </c>
      <c r="AC397" s="33" t="n"/>
    </row>
    <row r="398" ht="18.75" customHeight="1">
      <c r="A398" s="35">
        <f>SUBTOTAL(103,$B$24:B398)</f>
        <v/>
      </c>
      <c r="B398" s="36" t="inlineStr">
        <is>
          <t xml:space="preserve">Ніж хліборізний з нержавіючої сталі </t>
        </is>
      </c>
      <c r="C398" s="37" t="inlineStr">
        <is>
          <t>шт.</t>
        </is>
      </c>
      <c r="D398" s="33" t="n"/>
      <c r="E398" s="33" t="n"/>
      <c r="F398" s="33">
        <f>E398*0.05</f>
        <v/>
      </c>
      <c r="G398" s="33">
        <f>E398+F398</f>
        <v/>
      </c>
      <c r="H398" s="33" t="n"/>
      <c r="I398" s="33" t="n"/>
      <c r="J398" s="33" t="n"/>
      <c r="K398" s="33">
        <f>L398+M398+N398</f>
        <v/>
      </c>
      <c r="L398" s="33" t="n"/>
      <c r="M398" s="33" t="n"/>
      <c r="N398" s="33" t="n"/>
      <c r="O398" s="33">
        <f>P398+Q398</f>
        <v/>
      </c>
      <c r="P398" s="33" t="n"/>
      <c r="Q398" s="33" t="n"/>
      <c r="R398" s="33">
        <f>H398+K398-O398</f>
        <v/>
      </c>
      <c r="S398" s="33" t="n"/>
      <c r="T398" s="33" t="n"/>
      <c r="U398" s="33" t="n"/>
      <c r="V398" s="33" t="n"/>
      <c r="W398" s="33" t="n"/>
      <c r="X398" s="33" t="n"/>
      <c r="Y398" s="33" t="n"/>
      <c r="Z398" s="33" t="n"/>
      <c r="AA398" s="4">
        <f>R398-G398</f>
        <v/>
      </c>
      <c r="AB398" s="4">
        <f>G398-R398</f>
        <v/>
      </c>
      <c r="AC398" s="33" t="n"/>
    </row>
    <row r="399" ht="18.75" customHeight="1">
      <c r="A399" s="35">
        <f>SUBTOTAL(103,$B$24:B399)</f>
        <v/>
      </c>
      <c r="B399" s="36" t="inlineStr">
        <is>
          <t xml:space="preserve">Ніж кухонний великий </t>
        </is>
      </c>
      <c r="C399" s="37" t="inlineStr">
        <is>
          <t>шт.</t>
        </is>
      </c>
      <c r="D399" s="33" t="n"/>
      <c r="E399" s="33" t="n"/>
      <c r="F399" s="33">
        <f>E399*0.05</f>
        <v/>
      </c>
      <c r="G399" s="33">
        <f>E399+F399</f>
        <v/>
      </c>
      <c r="H399" s="33" t="n"/>
      <c r="I399" s="33" t="n"/>
      <c r="J399" s="33" t="n"/>
      <c r="K399" s="33">
        <f>L399+M399+N399</f>
        <v/>
      </c>
      <c r="L399" s="33" t="n"/>
      <c r="M399" s="33" t="n"/>
      <c r="N399" s="33" t="n"/>
      <c r="O399" s="33">
        <f>P399+Q399</f>
        <v/>
      </c>
      <c r="P399" s="33" t="n"/>
      <c r="Q399" s="33" t="n"/>
      <c r="R399" s="33">
        <f>H399+K399-O399</f>
        <v/>
      </c>
      <c r="S399" s="33" t="n"/>
      <c r="T399" s="33" t="n"/>
      <c r="U399" s="33" t="n"/>
      <c r="V399" s="33" t="n"/>
      <c r="W399" s="33" t="n"/>
      <c r="X399" s="33" t="n"/>
      <c r="Y399" s="33" t="n"/>
      <c r="Z399" s="33" t="n"/>
      <c r="AA399" s="4">
        <f>R399-G399</f>
        <v/>
      </c>
      <c r="AB399" s="4">
        <f>G399-R399</f>
        <v/>
      </c>
      <c r="AC399" s="33" t="n"/>
    </row>
    <row r="400" ht="18.75" customHeight="1">
      <c r="A400" s="35">
        <f>SUBTOTAL(103,$B$24:B400)</f>
        <v/>
      </c>
      <c r="B400" s="36" t="inlineStr">
        <is>
          <t xml:space="preserve">Ніж кухонний середній </t>
        </is>
      </c>
      <c r="C400" s="37" t="inlineStr">
        <is>
          <t>шт.</t>
        </is>
      </c>
      <c r="D400" s="33" t="n"/>
      <c r="E400" s="33" t="n"/>
      <c r="F400" s="33">
        <f>E400*0.05</f>
        <v/>
      </c>
      <c r="G400" s="33">
        <f>E400+F400</f>
        <v/>
      </c>
      <c r="H400" s="33" t="n"/>
      <c r="I400" s="33" t="n"/>
      <c r="J400" s="33" t="n"/>
      <c r="K400" s="33">
        <f>L400+M400+N400</f>
        <v/>
      </c>
      <c r="L400" s="33" t="n"/>
      <c r="M400" s="33" t="n"/>
      <c r="N400" s="33" t="n"/>
      <c r="O400" s="33">
        <f>P400+Q400</f>
        <v/>
      </c>
      <c r="P400" s="33" t="n"/>
      <c r="Q400" s="33" t="n"/>
      <c r="R400" s="33">
        <f>H400+K400-O400</f>
        <v/>
      </c>
      <c r="S400" s="33" t="n"/>
      <c r="T400" s="33" t="n"/>
      <c r="U400" s="33" t="n"/>
      <c r="V400" s="33" t="n"/>
      <c r="W400" s="33" t="n"/>
      <c r="X400" s="33" t="n"/>
      <c r="Y400" s="33" t="n"/>
      <c r="Z400" s="33" t="n"/>
      <c r="AA400" s="4">
        <f>R400-G400</f>
        <v/>
      </c>
      <c r="AB400" s="4">
        <f>G400-R400</f>
        <v/>
      </c>
      <c r="AC400" s="33" t="n"/>
    </row>
    <row r="401" ht="18.75" customHeight="1">
      <c r="A401" s="35">
        <f>SUBTOTAL(103,$B$24:B401)</f>
        <v/>
      </c>
      <c r="B401" s="36" t="inlineStr">
        <is>
          <t xml:space="preserve">Ніж кухонний малий </t>
        </is>
      </c>
      <c r="C401" s="37" t="inlineStr">
        <is>
          <t>шт.</t>
        </is>
      </c>
      <c r="D401" s="33" t="n"/>
      <c r="E401" s="33" t="n"/>
      <c r="F401" s="33">
        <f>E401*0.05</f>
        <v/>
      </c>
      <c r="G401" s="33">
        <f>E401+F401</f>
        <v/>
      </c>
      <c r="H401" s="33" t="n"/>
      <c r="I401" s="33" t="n"/>
      <c r="J401" s="33" t="n"/>
      <c r="K401" s="33">
        <f>L401+M401+N401</f>
        <v/>
      </c>
      <c r="L401" s="33" t="n"/>
      <c r="M401" s="33" t="n"/>
      <c r="N401" s="33" t="n"/>
      <c r="O401" s="33">
        <f>P401+Q401</f>
        <v/>
      </c>
      <c r="P401" s="33" t="n"/>
      <c r="Q401" s="33" t="n"/>
      <c r="R401" s="33">
        <f>H401+K401-O401</f>
        <v/>
      </c>
      <c r="S401" s="33" t="n"/>
      <c r="T401" s="33" t="n"/>
      <c r="U401" s="33" t="n"/>
      <c r="V401" s="33" t="n"/>
      <c r="W401" s="33" t="n"/>
      <c r="X401" s="33" t="n"/>
      <c r="Y401" s="33" t="n"/>
      <c r="Z401" s="33" t="n"/>
      <c r="AA401" s="4">
        <f>R401-G401</f>
        <v/>
      </c>
      <c r="AB401" s="4">
        <f>G401-R401</f>
        <v/>
      </c>
      <c r="AC401" s="33" t="n"/>
    </row>
    <row r="402" ht="18.75" customHeight="1">
      <c r="A402" s="35">
        <f>SUBTOTAL(103,$B$24:B402)</f>
        <v/>
      </c>
      <c r="B402" s="36" t="inlineStr">
        <is>
          <t>Ніж консервний</t>
        </is>
      </c>
      <c r="C402" s="37" t="inlineStr">
        <is>
          <t>шт.</t>
        </is>
      </c>
      <c r="D402" s="33" t="n"/>
      <c r="E402" s="33" t="n"/>
      <c r="F402" s="33">
        <f>E402*0.05</f>
        <v/>
      </c>
      <c r="G402" s="33">
        <f>E402+F402</f>
        <v/>
      </c>
      <c r="H402" s="33" t="n"/>
      <c r="I402" s="33" t="n"/>
      <c r="J402" s="33" t="n"/>
      <c r="K402" s="33">
        <f>L402+M402+N402</f>
        <v/>
      </c>
      <c r="L402" s="33" t="n"/>
      <c r="M402" s="33" t="n"/>
      <c r="N402" s="33" t="n"/>
      <c r="O402" s="33">
        <f>P402+Q402</f>
        <v/>
      </c>
      <c r="P402" s="33" t="n"/>
      <c r="Q402" s="33" t="n"/>
      <c r="R402" s="33">
        <f>H402+K402-O402</f>
        <v/>
      </c>
      <c r="S402" s="33" t="n"/>
      <c r="T402" s="33" t="n"/>
      <c r="U402" s="33" t="n"/>
      <c r="V402" s="33" t="n"/>
      <c r="W402" s="33" t="n"/>
      <c r="X402" s="33" t="n"/>
      <c r="Y402" s="33" t="n"/>
      <c r="Z402" s="33" t="n"/>
      <c r="AA402" s="4">
        <f>R402-G402</f>
        <v/>
      </c>
      <c r="AB402" s="4">
        <f>G402-R402</f>
        <v/>
      </c>
      <c r="AC402" s="33" t="n"/>
    </row>
    <row r="403" ht="18.75" customHeight="1">
      <c r="A403" s="35">
        <f>SUBTOTAL(103,$B$24:B403)</f>
        <v/>
      </c>
      <c r="B403" s="36" t="inlineStr">
        <is>
          <t xml:space="preserve">Ніж для нарізки сиру </t>
        </is>
      </c>
      <c r="C403" s="37" t="inlineStr">
        <is>
          <t>шт.</t>
        </is>
      </c>
      <c r="D403" s="33" t="n"/>
      <c r="E403" s="33" t="n"/>
      <c r="F403" s="33">
        <f>E403*0.05</f>
        <v/>
      </c>
      <c r="G403" s="33">
        <f>E403+F403</f>
        <v/>
      </c>
      <c r="H403" s="33" t="n"/>
      <c r="I403" s="33" t="n"/>
      <c r="J403" s="33" t="n"/>
      <c r="K403" s="33">
        <f>L403+M403+N403</f>
        <v/>
      </c>
      <c r="L403" s="33" t="n"/>
      <c r="M403" s="33" t="n"/>
      <c r="N403" s="33" t="n"/>
      <c r="O403" s="33">
        <f>P403+Q403</f>
        <v/>
      </c>
      <c r="P403" s="33" t="n"/>
      <c r="Q403" s="33" t="n"/>
      <c r="R403" s="33">
        <f>H403+K403-O403</f>
        <v/>
      </c>
      <c r="S403" s="33" t="n"/>
      <c r="T403" s="33" t="n"/>
      <c r="U403" s="33" t="n"/>
      <c r="V403" s="33" t="n"/>
      <c r="W403" s="33" t="n"/>
      <c r="X403" s="33" t="n"/>
      <c r="Y403" s="33" t="n"/>
      <c r="Z403" s="33" t="n"/>
      <c r="AA403" s="4">
        <f>R403-G403</f>
        <v/>
      </c>
      <c r="AB403" s="4">
        <f>G403-R403</f>
        <v/>
      </c>
      <c r="AC403" s="33" t="n"/>
    </row>
    <row r="404" ht="18.75" customHeight="1">
      <c r="A404" s="35">
        <f>SUBTOTAL(103,$B$24:B404)</f>
        <v/>
      </c>
      <c r="B404" s="36" t="inlineStr">
        <is>
          <t>Ніж для мяса</t>
        </is>
      </c>
      <c r="C404" s="37" t="inlineStr">
        <is>
          <t>шт.</t>
        </is>
      </c>
      <c r="D404" s="33" t="n"/>
      <c r="E404" s="33" t="n"/>
      <c r="F404" s="33">
        <f>E404*0.05</f>
        <v/>
      </c>
      <c r="G404" s="33">
        <f>E404+F404</f>
        <v/>
      </c>
      <c r="H404" s="33" t="n"/>
      <c r="I404" s="33" t="n"/>
      <c r="J404" s="33" t="n"/>
      <c r="K404" s="33">
        <f>L404+M404+N404</f>
        <v/>
      </c>
      <c r="L404" s="33" t="n"/>
      <c r="M404" s="33" t="n"/>
      <c r="N404" s="33" t="n"/>
      <c r="O404" s="33">
        <f>P404+Q404</f>
        <v/>
      </c>
      <c r="P404" s="33" t="n"/>
      <c r="Q404" s="33" t="n"/>
      <c r="R404" s="33">
        <f>H404+K404-O404</f>
        <v/>
      </c>
      <c r="S404" s="33" t="n"/>
      <c r="T404" s="33" t="n"/>
      <c r="U404" s="33" t="n"/>
      <c r="V404" s="33" t="n"/>
      <c r="W404" s="33" t="n"/>
      <c r="X404" s="33" t="n"/>
      <c r="Y404" s="33" t="n"/>
      <c r="Z404" s="33" t="n"/>
      <c r="AA404" s="4">
        <f>R404-G404</f>
        <v/>
      </c>
      <c r="AB404" s="4">
        <f>G404-R404</f>
        <v/>
      </c>
      <c r="AC404" s="33" t="n"/>
    </row>
    <row r="405" ht="18.75" customHeight="1">
      <c r="A405" s="35">
        <f>SUBTOTAL(103,$B$24:B405)</f>
        <v/>
      </c>
      <c r="B405" s="36" t="inlineStr">
        <is>
          <t>Ніж для риби</t>
        </is>
      </c>
      <c r="C405" s="37" t="inlineStr">
        <is>
          <t>шт.</t>
        </is>
      </c>
      <c r="D405" s="33" t="n"/>
      <c r="E405" s="33" t="n"/>
      <c r="F405" s="33">
        <f>E405*0.05</f>
        <v/>
      </c>
      <c r="G405" s="33">
        <f>E405+F405</f>
        <v/>
      </c>
      <c r="H405" s="33" t="n"/>
      <c r="I405" s="33" t="n"/>
      <c r="J405" s="33" t="n"/>
      <c r="K405" s="33">
        <f>L405+M405+N405</f>
        <v/>
      </c>
      <c r="L405" s="33" t="n"/>
      <c r="M405" s="33" t="n"/>
      <c r="N405" s="33" t="n"/>
      <c r="O405" s="33">
        <f>P405+Q405</f>
        <v/>
      </c>
      <c r="P405" s="33" t="n"/>
      <c r="Q405" s="33" t="n"/>
      <c r="R405" s="33">
        <f>H405+K405-O405</f>
        <v/>
      </c>
      <c r="S405" s="33" t="n"/>
      <c r="T405" s="33" t="n"/>
      <c r="U405" s="33" t="n"/>
      <c r="V405" s="33" t="n"/>
      <c r="W405" s="33" t="n"/>
      <c r="X405" s="33" t="n"/>
      <c r="Y405" s="33" t="n"/>
      <c r="Z405" s="33" t="n"/>
      <c r="AA405" s="4">
        <f>R405-G405</f>
        <v/>
      </c>
      <c r="AB405" s="4">
        <f>G405-R405</f>
        <v/>
      </c>
      <c r="AC405" s="33" t="n"/>
    </row>
    <row r="406" ht="18.75" customHeight="1">
      <c r="A406" s="35">
        <f>SUBTOTAL(103,$B$24:B406)</f>
        <v/>
      </c>
      <c r="B406" s="36" t="inlineStr">
        <is>
          <t>Ніж-мусат</t>
        </is>
      </c>
      <c r="C406" s="37" t="inlineStr">
        <is>
          <t>шт.</t>
        </is>
      </c>
      <c r="D406" s="33" t="n"/>
      <c r="E406" s="33" t="n"/>
      <c r="F406" s="33">
        <f>E406*0.05</f>
        <v/>
      </c>
      <c r="G406" s="33">
        <f>E406+F406</f>
        <v/>
      </c>
      <c r="H406" s="33" t="n"/>
      <c r="I406" s="33" t="n"/>
      <c r="J406" s="33" t="n"/>
      <c r="K406" s="33">
        <f>L406+M406+N406</f>
        <v/>
      </c>
      <c r="L406" s="33" t="n"/>
      <c r="M406" s="33" t="n"/>
      <c r="N406" s="33" t="n"/>
      <c r="O406" s="33">
        <f>P406+Q406</f>
        <v/>
      </c>
      <c r="P406" s="33" t="n"/>
      <c r="Q406" s="33" t="n"/>
      <c r="R406" s="33">
        <f>H406+K406-O406</f>
        <v/>
      </c>
      <c r="S406" s="33" t="n"/>
      <c r="T406" s="33" t="n"/>
      <c r="U406" s="33" t="n"/>
      <c r="V406" s="33" t="n"/>
      <c r="W406" s="33" t="n"/>
      <c r="X406" s="33" t="n"/>
      <c r="Y406" s="33" t="n"/>
      <c r="Z406" s="33" t="n"/>
      <c r="AA406" s="4">
        <f>R406-G406</f>
        <v/>
      </c>
      <c r="AB406" s="4">
        <f>G406-R406</f>
        <v/>
      </c>
      <c r="AC406" s="33" t="n"/>
    </row>
    <row r="407" ht="18.75" customHeight="1">
      <c r="A407" s="35">
        <f>SUBTOTAL(103,$B$24:B407)</f>
        <v/>
      </c>
      <c r="B407" s="36" t="inlineStr">
        <is>
          <t>Ніж зачисний</t>
        </is>
      </c>
      <c r="C407" s="37" t="inlineStr">
        <is>
          <t>шт.</t>
        </is>
      </c>
      <c r="D407" s="33" t="n"/>
      <c r="E407" s="33" t="n"/>
      <c r="F407" s="33">
        <f>E407*0.05</f>
        <v/>
      </c>
      <c r="G407" s="33">
        <f>E407+F407</f>
        <v/>
      </c>
      <c r="H407" s="33" t="n"/>
      <c r="I407" s="33" t="n"/>
      <c r="J407" s="33" t="n"/>
      <c r="K407" s="33">
        <f>L407+M407+N407</f>
        <v/>
      </c>
      <c r="L407" s="33" t="n"/>
      <c r="M407" s="33" t="n"/>
      <c r="N407" s="33" t="n"/>
      <c r="O407" s="33">
        <f>P407+Q407</f>
        <v/>
      </c>
      <c r="P407" s="33" t="n"/>
      <c r="Q407" s="33" t="n"/>
      <c r="R407" s="33">
        <f>H407+K407-O407</f>
        <v/>
      </c>
      <c r="S407" s="33" t="n"/>
      <c r="T407" s="33" t="n"/>
      <c r="U407" s="33" t="n"/>
      <c r="V407" s="33" t="n"/>
      <c r="W407" s="33" t="n"/>
      <c r="X407" s="33" t="n"/>
      <c r="Y407" s="33" t="n"/>
      <c r="Z407" s="33" t="n"/>
      <c r="AA407" s="4">
        <f>R407-G407</f>
        <v/>
      </c>
      <c r="AB407" s="4">
        <f>G407-R407</f>
        <v/>
      </c>
      <c r="AC407" s="33" t="n"/>
    </row>
    <row r="408" ht="18.75" customHeight="1">
      <c r="A408" s="35">
        <f>SUBTOTAL(103,$B$24:B408)</f>
        <v/>
      </c>
      <c r="B408" s="36" t="inlineStr">
        <is>
          <t xml:space="preserve">Ніж корінчастий </t>
        </is>
      </c>
      <c r="C408" s="37" t="inlineStr">
        <is>
          <t>шт.</t>
        </is>
      </c>
      <c r="D408" s="33" t="n"/>
      <c r="E408" s="33" t="n"/>
      <c r="F408" s="33">
        <f>E408*0.05</f>
        <v/>
      </c>
      <c r="G408" s="33">
        <f>E408+F408</f>
        <v/>
      </c>
      <c r="H408" s="33" t="n"/>
      <c r="I408" s="33" t="n"/>
      <c r="J408" s="33" t="n"/>
      <c r="K408" s="33">
        <f>L408+M408+N408</f>
        <v/>
      </c>
      <c r="L408" s="33" t="n"/>
      <c r="M408" s="33" t="n"/>
      <c r="N408" s="33" t="n"/>
      <c r="O408" s="33">
        <f>P408+Q408</f>
        <v/>
      </c>
      <c r="P408" s="33" t="n"/>
      <c r="Q408" s="33" t="n"/>
      <c r="R408" s="33">
        <f>H408+K408-O408</f>
        <v/>
      </c>
      <c r="S408" s="33" t="n"/>
      <c r="T408" s="33" t="n"/>
      <c r="U408" s="33" t="n"/>
      <c r="V408" s="33" t="n"/>
      <c r="W408" s="33" t="n"/>
      <c r="X408" s="33" t="n"/>
      <c r="Y408" s="33" t="n"/>
      <c r="Z408" s="33" t="n"/>
      <c r="AA408" s="4">
        <f>R408-G408</f>
        <v/>
      </c>
      <c r="AB408" s="4">
        <f>G408-R408</f>
        <v/>
      </c>
      <c r="AC408" s="33" t="n"/>
    </row>
    <row r="409" ht="18.75" customHeight="1">
      <c r="A409" s="35">
        <f>SUBTOTAL(103,$B$24:B409)</f>
        <v/>
      </c>
      <c r="B409" s="36" t="inlineStr">
        <is>
          <t>Ніж рубак</t>
        </is>
      </c>
      <c r="C409" s="37" t="inlineStr">
        <is>
          <t>шт.</t>
        </is>
      </c>
      <c r="D409" s="33" t="n"/>
      <c r="E409" s="33" t="n"/>
      <c r="F409" s="33">
        <f>E409*0.05</f>
        <v/>
      </c>
      <c r="G409" s="33">
        <f>E409+F409</f>
        <v/>
      </c>
      <c r="H409" s="33" t="n"/>
      <c r="I409" s="33" t="n"/>
      <c r="J409" s="33" t="n"/>
      <c r="K409" s="33">
        <f>L409+M409+N409</f>
        <v/>
      </c>
      <c r="L409" s="33" t="n"/>
      <c r="M409" s="33" t="n"/>
      <c r="N409" s="33" t="n"/>
      <c r="O409" s="33">
        <f>P409+Q409</f>
        <v/>
      </c>
      <c r="P409" s="33" t="n"/>
      <c r="Q409" s="33" t="n"/>
      <c r="R409" s="33">
        <f>H409+K409-O409</f>
        <v/>
      </c>
      <c r="S409" s="33" t="n"/>
      <c r="T409" s="33" t="n"/>
      <c r="U409" s="33" t="n"/>
      <c r="V409" s="33" t="n"/>
      <c r="W409" s="33" t="n"/>
      <c r="X409" s="33" t="n"/>
      <c r="Y409" s="33" t="n"/>
      <c r="Z409" s="33" t="n"/>
      <c r="AA409" s="4">
        <f>R409-G409</f>
        <v/>
      </c>
      <c r="AB409" s="4">
        <f>G409-R409</f>
        <v/>
      </c>
      <c r="AC409" s="33" t="n"/>
    </row>
    <row r="410" ht="18.75" customHeight="1">
      <c r="A410" s="35">
        <f>SUBTOTAL(103,$B$24:B410)</f>
        <v/>
      </c>
      <c r="B410" s="36" t="inlineStr">
        <is>
          <t>Ніж тесак</t>
        </is>
      </c>
      <c r="C410" s="37" t="inlineStr">
        <is>
          <t>шт.</t>
        </is>
      </c>
      <c r="D410" s="33" t="n"/>
      <c r="E410" s="33" t="n"/>
      <c r="F410" s="33">
        <f>E410*0.05</f>
        <v/>
      </c>
      <c r="G410" s="33">
        <f>E410+F410</f>
        <v/>
      </c>
      <c r="H410" s="33" t="n"/>
      <c r="I410" s="33" t="n"/>
      <c r="J410" s="33" t="n"/>
      <c r="K410" s="33">
        <f>L410+M410+N410</f>
        <v/>
      </c>
      <c r="L410" s="33" t="n"/>
      <c r="M410" s="33" t="n"/>
      <c r="N410" s="33" t="n"/>
      <c r="O410" s="33">
        <f>P410+Q410</f>
        <v/>
      </c>
      <c r="P410" s="33" t="n"/>
      <c r="Q410" s="33" t="n"/>
      <c r="R410" s="33">
        <f>H410+K410-O410</f>
        <v/>
      </c>
      <c r="S410" s="33" t="n"/>
      <c r="T410" s="33" t="n"/>
      <c r="U410" s="33" t="n"/>
      <c r="V410" s="33" t="n"/>
      <c r="W410" s="33" t="n"/>
      <c r="X410" s="33" t="n"/>
      <c r="Y410" s="33" t="n"/>
      <c r="Z410" s="33" t="n"/>
      <c r="AA410" s="4">
        <f>R410-G410</f>
        <v/>
      </c>
      <c r="AB410" s="4">
        <f>G410-R410</f>
        <v/>
      </c>
      <c r="AC410" s="33" t="n"/>
    </row>
    <row r="411" ht="18.75" customHeight="1">
      <c r="A411" s="35">
        <f>SUBTOTAL(103,$B$24:B411)</f>
        <v/>
      </c>
      <c r="B411" s="36" t="inlineStr">
        <is>
          <t>Ножиці кухонні н/с</t>
        </is>
      </c>
      <c r="C411" s="37" t="inlineStr">
        <is>
          <t>шт.</t>
        </is>
      </c>
      <c r="D411" s="33" t="n"/>
      <c r="E411" s="33" t="n"/>
      <c r="F411" s="33">
        <f>E411*0.05</f>
        <v/>
      </c>
      <c r="G411" s="33">
        <f>E411+F411</f>
        <v/>
      </c>
      <c r="H411" s="33" t="n"/>
      <c r="I411" s="33" t="n"/>
      <c r="J411" s="33" t="n"/>
      <c r="K411" s="33">
        <f>L411+M411+N411</f>
        <v/>
      </c>
      <c r="L411" s="33" t="n"/>
      <c r="M411" s="33" t="n"/>
      <c r="N411" s="33" t="n"/>
      <c r="O411" s="33">
        <f>P411+Q411</f>
        <v/>
      </c>
      <c r="P411" s="33" t="n"/>
      <c r="Q411" s="33" t="n"/>
      <c r="R411" s="33">
        <f>H411+K411-O411</f>
        <v/>
      </c>
      <c r="S411" s="33" t="n"/>
      <c r="T411" s="33" t="n"/>
      <c r="U411" s="33" t="n"/>
      <c r="V411" s="33" t="n"/>
      <c r="W411" s="33" t="n"/>
      <c r="X411" s="33" t="n"/>
      <c r="Y411" s="33" t="n"/>
      <c r="Z411" s="33" t="n"/>
      <c r="AA411" s="4">
        <f>R411-G411</f>
        <v/>
      </c>
      <c r="AB411" s="4">
        <f>G411-R411</f>
        <v/>
      </c>
      <c r="AC411" s="33" t="n"/>
    </row>
    <row r="412" ht="18.75" customHeight="1">
      <c r="A412" s="35">
        <f>SUBTOTAL(103,$B$24:B412)</f>
        <v/>
      </c>
      <c r="B412" s="36" t="inlineStr">
        <is>
          <t>Тримач для ножів магнітний</t>
        </is>
      </c>
      <c r="C412" s="37" t="inlineStr">
        <is>
          <t>шт.</t>
        </is>
      </c>
      <c r="D412" s="33" t="n"/>
      <c r="E412" s="33" t="n"/>
      <c r="F412" s="33">
        <f>E412*0.05</f>
        <v/>
      </c>
      <c r="G412" s="33">
        <f>E412+F412</f>
        <v/>
      </c>
      <c r="H412" s="33" t="n"/>
      <c r="I412" s="33" t="n"/>
      <c r="J412" s="33" t="n"/>
      <c r="K412" s="33">
        <f>L412+M412+N412</f>
        <v/>
      </c>
      <c r="L412" s="33" t="n"/>
      <c r="M412" s="33" t="n"/>
      <c r="N412" s="33" t="n"/>
      <c r="O412" s="33">
        <f>P412+Q412</f>
        <v/>
      </c>
      <c r="P412" s="33" t="n"/>
      <c r="Q412" s="33" t="n"/>
      <c r="R412" s="33">
        <f>H412+K412-O412</f>
        <v/>
      </c>
      <c r="S412" s="33" t="n"/>
      <c r="T412" s="33" t="n"/>
      <c r="U412" s="33" t="n"/>
      <c r="V412" s="33" t="n"/>
      <c r="W412" s="33" t="n"/>
      <c r="X412" s="33" t="n"/>
      <c r="Y412" s="33" t="n"/>
      <c r="Z412" s="33" t="n"/>
      <c r="AA412" s="4">
        <f>R412-G412</f>
        <v/>
      </c>
      <c r="AB412" s="4">
        <f>G412-R412</f>
        <v/>
      </c>
      <c r="AC412" s="33" t="n"/>
    </row>
    <row r="413" ht="18.75" customHeight="1">
      <c r="A413" s="35">
        <f>SUBTOTAL(103,$B$24:B413)</f>
        <v/>
      </c>
      <c r="B413" s="36" t="inlineStr">
        <is>
          <t>Точилка кухонних ножів</t>
        </is>
      </c>
      <c r="C413" s="37" t="inlineStr">
        <is>
          <t>шт.</t>
        </is>
      </c>
      <c r="D413" s="33" t="n"/>
      <c r="E413" s="33" t="n"/>
      <c r="F413" s="33">
        <f>E413*0.05</f>
        <v/>
      </c>
      <c r="G413" s="33">
        <f>E413+F413</f>
        <v/>
      </c>
      <c r="H413" s="33" t="n"/>
      <c r="I413" s="33" t="n"/>
      <c r="J413" s="33" t="n"/>
      <c r="K413" s="33">
        <f>L413+M413+N413</f>
        <v/>
      </c>
      <c r="L413" s="33" t="n"/>
      <c r="M413" s="33" t="n"/>
      <c r="N413" s="33" t="n"/>
      <c r="O413" s="33">
        <f>P413+Q413</f>
        <v/>
      </c>
      <c r="P413" s="33" t="n"/>
      <c r="Q413" s="33" t="n"/>
      <c r="R413" s="33">
        <f>H413+K413-O413</f>
        <v/>
      </c>
      <c r="S413" s="33" t="n"/>
      <c r="T413" s="33" t="n"/>
      <c r="U413" s="33" t="n"/>
      <c r="V413" s="33" t="n"/>
      <c r="W413" s="33" t="n"/>
      <c r="X413" s="33" t="n"/>
      <c r="Y413" s="33" t="n"/>
      <c r="Z413" s="33" t="n"/>
      <c r="AA413" s="4">
        <f>R413-G413</f>
        <v/>
      </c>
      <c r="AB413" s="4">
        <f>G413-R413</f>
        <v/>
      </c>
      <c r="AC413" s="33" t="n"/>
    </row>
    <row r="414" ht="18.75" customHeight="1">
      <c r="A414" s="35">
        <f>SUBTOTAL(103,$B$24:B414)</f>
        <v/>
      </c>
      <c r="B414" s="36" t="inlineStr">
        <is>
          <t xml:space="preserve">Консервовідкривач </t>
        </is>
      </c>
      <c r="C414" s="37" t="inlineStr">
        <is>
          <t>шт.</t>
        </is>
      </c>
      <c r="D414" s="33" t="n"/>
      <c r="E414" s="33" t="n"/>
      <c r="F414" s="33">
        <f>E414*0.05</f>
        <v/>
      </c>
      <c r="G414" s="33">
        <f>E414+F414</f>
        <v/>
      </c>
      <c r="H414" s="33" t="n"/>
      <c r="I414" s="33" t="n"/>
      <c r="J414" s="33" t="n"/>
      <c r="K414" s="33">
        <f>L414+M414+N414</f>
        <v/>
      </c>
      <c r="L414" s="33" t="n"/>
      <c r="M414" s="33" t="n"/>
      <c r="N414" s="33" t="n"/>
      <c r="O414" s="33">
        <f>P414+Q414</f>
        <v/>
      </c>
      <c r="P414" s="33" t="n"/>
      <c r="Q414" s="33" t="n"/>
      <c r="R414" s="33">
        <f>H414+K414-O414</f>
        <v/>
      </c>
      <c r="S414" s="33" t="n"/>
      <c r="T414" s="33" t="n"/>
      <c r="U414" s="33" t="n"/>
      <c r="V414" s="33" t="n"/>
      <c r="W414" s="33" t="n"/>
      <c r="X414" s="33" t="n"/>
      <c r="Y414" s="33" t="n"/>
      <c r="Z414" s="33" t="n"/>
      <c r="AA414" s="4">
        <f>R414-G414</f>
        <v/>
      </c>
      <c r="AB414" s="4">
        <f>G414-R414</f>
        <v/>
      </c>
      <c r="AC414" s="33" t="n"/>
    </row>
    <row r="415" ht="18.75" customHeight="1">
      <c r="A415" s="35">
        <f>SUBTOTAL(103,$B$24:B415)</f>
        <v/>
      </c>
      <c r="B415" s="36" t="inlineStr">
        <is>
          <t>Сокира для рубання мяса</t>
        </is>
      </c>
      <c r="C415" s="37" t="inlineStr">
        <is>
          <t>шт.</t>
        </is>
      </c>
      <c r="D415" s="33" t="n"/>
      <c r="E415" s="33" t="n"/>
      <c r="F415" s="33">
        <f>E415*0.05</f>
        <v/>
      </c>
      <c r="G415" s="33">
        <f>E415+F415</f>
        <v/>
      </c>
      <c r="H415" s="33" t="n"/>
      <c r="I415" s="33" t="n"/>
      <c r="J415" s="33" t="n"/>
      <c r="K415" s="33">
        <f>L415+M415+N415</f>
        <v/>
      </c>
      <c r="L415" s="33" t="n"/>
      <c r="M415" s="33" t="n"/>
      <c r="N415" s="33" t="n"/>
      <c r="O415" s="33">
        <f>P415+Q415</f>
        <v/>
      </c>
      <c r="P415" s="33" t="n"/>
      <c r="Q415" s="33" t="n"/>
      <c r="R415" s="33">
        <f>H415+K415-O415</f>
        <v/>
      </c>
      <c r="S415" s="33" t="n"/>
      <c r="T415" s="33" t="n"/>
      <c r="U415" s="33" t="n"/>
      <c r="V415" s="33" t="n"/>
      <c r="W415" s="33" t="n"/>
      <c r="X415" s="33" t="n"/>
      <c r="Y415" s="33" t="n"/>
      <c r="Z415" s="33" t="n"/>
      <c r="AA415" s="4">
        <f>R415-G415</f>
        <v/>
      </c>
      <c r="AB415" s="4">
        <f>G415-R415</f>
        <v/>
      </c>
      <c r="AC415" s="33" t="n"/>
    </row>
    <row r="416" ht="18.75" customHeight="1">
      <c r="A416" s="35">
        <f>SUBTOTAL(103,$B$24:B416)</f>
        <v/>
      </c>
      <c r="B416" s="36" t="inlineStr">
        <is>
          <t>Сікач</t>
        </is>
      </c>
      <c r="C416" s="37" t="inlineStr">
        <is>
          <t>шт.</t>
        </is>
      </c>
      <c r="D416" s="33" t="n"/>
      <c r="E416" s="33" t="n"/>
      <c r="F416" s="33">
        <f>E416*0.05</f>
        <v/>
      </c>
      <c r="G416" s="33">
        <f>E416+F416</f>
        <v/>
      </c>
      <c r="H416" s="33" t="n"/>
      <c r="I416" s="33" t="n"/>
      <c r="J416" s="33" t="n"/>
      <c r="K416" s="33">
        <f>L416+M416+N416</f>
        <v/>
      </c>
      <c r="L416" s="33" t="n"/>
      <c r="M416" s="33" t="n"/>
      <c r="N416" s="33" t="n"/>
      <c r="O416" s="33">
        <f>P416+Q416</f>
        <v/>
      </c>
      <c r="P416" s="33" t="n"/>
      <c r="Q416" s="33" t="n"/>
      <c r="R416" s="33">
        <f>H416+K416-O416</f>
        <v/>
      </c>
      <c r="S416" s="33" t="n"/>
      <c r="T416" s="33" t="n"/>
      <c r="U416" s="33" t="n"/>
      <c r="V416" s="33" t="n"/>
      <c r="W416" s="33" t="n"/>
      <c r="X416" s="33" t="n"/>
      <c r="Y416" s="33" t="n"/>
      <c r="Z416" s="33" t="n"/>
      <c r="AA416" s="4">
        <f>R416-G416</f>
        <v/>
      </c>
      <c r="AB416" s="4">
        <f>G416-R416</f>
        <v/>
      </c>
      <c r="AC416" s="33" t="n"/>
    </row>
    <row r="417" ht="18.75" customHeight="1">
      <c r="A417" s="35">
        <f>SUBTOTAL(103,$B$24:B417)</f>
        <v/>
      </c>
      <c r="B417" s="36" t="inlineStr">
        <is>
          <t>Виделка кухарська</t>
        </is>
      </c>
      <c r="C417" s="37" t="inlineStr">
        <is>
          <t>шт.</t>
        </is>
      </c>
      <c r="D417" s="33" t="n"/>
      <c r="E417" s="33" t="n"/>
      <c r="F417" s="33">
        <f>E417*0.05</f>
        <v/>
      </c>
      <c r="G417" s="33">
        <f>E417+F417</f>
        <v/>
      </c>
      <c r="H417" s="33" t="n"/>
      <c r="I417" s="33" t="n"/>
      <c r="J417" s="33" t="n"/>
      <c r="K417" s="33">
        <f>L417+M417+N417</f>
        <v/>
      </c>
      <c r="L417" s="33" t="n"/>
      <c r="M417" s="33" t="n"/>
      <c r="N417" s="33" t="n"/>
      <c r="O417" s="33">
        <f>P417+Q417</f>
        <v/>
      </c>
      <c r="P417" s="33" t="n"/>
      <c r="Q417" s="33" t="n"/>
      <c r="R417" s="33">
        <f>H417+K417-O417</f>
        <v/>
      </c>
      <c r="S417" s="33" t="n"/>
      <c r="T417" s="33" t="n"/>
      <c r="U417" s="33" t="n"/>
      <c r="V417" s="33" t="n"/>
      <c r="W417" s="33" t="n"/>
      <c r="X417" s="33" t="n"/>
      <c r="Y417" s="33" t="n"/>
      <c r="Z417" s="33" t="n"/>
      <c r="AA417" s="4">
        <f>R417-G417</f>
        <v/>
      </c>
      <c r="AB417" s="4">
        <f>G417-R417</f>
        <v/>
      </c>
      <c r="AC417" s="33" t="n"/>
    </row>
    <row r="418" ht="18.75" customHeight="1">
      <c r="A418" s="35">
        <f>SUBTOTAL(103,$B$24:B418)</f>
        <v/>
      </c>
      <c r="B418" s="36" t="inlineStr">
        <is>
          <t>Виделка для виймання мяса</t>
        </is>
      </c>
      <c r="C418" s="37" t="inlineStr">
        <is>
          <t>шт.</t>
        </is>
      </c>
      <c r="D418" s="33" t="n"/>
      <c r="E418" s="33" t="n"/>
      <c r="F418" s="33">
        <f>E418*0.05</f>
        <v/>
      </c>
      <c r="G418" s="33">
        <f>E418+F418</f>
        <v/>
      </c>
      <c r="H418" s="33" t="n"/>
      <c r="I418" s="33" t="n"/>
      <c r="J418" s="33" t="n"/>
      <c r="K418" s="33">
        <f>L418+M418+N418</f>
        <v/>
      </c>
      <c r="L418" s="33" t="n"/>
      <c r="M418" s="33" t="n"/>
      <c r="N418" s="33" t="n"/>
      <c r="O418" s="33">
        <f>P418+Q418</f>
        <v/>
      </c>
      <c r="P418" s="33" t="n"/>
      <c r="Q418" s="33" t="n"/>
      <c r="R418" s="33">
        <f>H418+K418-O418</f>
        <v/>
      </c>
      <c r="S418" s="33" t="n"/>
      <c r="T418" s="33" t="n"/>
      <c r="U418" s="33" t="n"/>
      <c r="V418" s="33" t="n"/>
      <c r="W418" s="33" t="n"/>
      <c r="X418" s="33" t="n"/>
      <c r="Y418" s="33" t="n"/>
      <c r="Z418" s="33" t="n"/>
      <c r="AA418" s="4">
        <f>R418-G418</f>
        <v/>
      </c>
      <c r="AB418" s="4">
        <f>G418-R418</f>
        <v/>
      </c>
      <c r="AC418" s="33" t="n"/>
    </row>
    <row r="419" ht="18.75" customHeight="1">
      <c r="A419" s="35">
        <f>SUBTOTAL(103,$B$24:B419)</f>
        <v/>
      </c>
      <c r="B419" s="36" t="inlineStr">
        <is>
          <t xml:space="preserve">Виделка транжирна </t>
        </is>
      </c>
      <c r="C419" s="37" t="inlineStr">
        <is>
          <t>шт.</t>
        </is>
      </c>
      <c r="D419" s="33" t="n"/>
      <c r="E419" s="33" t="n"/>
      <c r="F419" s="33">
        <f>E419*0.05</f>
        <v/>
      </c>
      <c r="G419" s="33">
        <f>E419+F419</f>
        <v/>
      </c>
      <c r="H419" s="33" t="n"/>
      <c r="I419" s="33" t="n"/>
      <c r="J419" s="33" t="n"/>
      <c r="K419" s="33">
        <f>L419+M419+N419</f>
        <v/>
      </c>
      <c r="L419" s="33" t="n"/>
      <c r="M419" s="33" t="n"/>
      <c r="N419" s="33" t="n"/>
      <c r="O419" s="33">
        <f>P419+Q419</f>
        <v/>
      </c>
      <c r="P419" s="33" t="n"/>
      <c r="Q419" s="33" t="n"/>
      <c r="R419" s="33">
        <f>H419+K419-O419</f>
        <v/>
      </c>
      <c r="S419" s="33" t="n"/>
      <c r="T419" s="33" t="n"/>
      <c r="U419" s="33" t="n"/>
      <c r="V419" s="33" t="n"/>
      <c r="W419" s="33" t="n"/>
      <c r="X419" s="33" t="n"/>
      <c r="Y419" s="33" t="n"/>
      <c r="Z419" s="33" t="n"/>
      <c r="AA419" s="4">
        <f>R419-G419</f>
        <v/>
      </c>
      <c r="AB419" s="4">
        <f>G419-R419</f>
        <v/>
      </c>
      <c r="AC419" s="33" t="n"/>
    </row>
    <row r="420" ht="18.75" customHeight="1">
      <c r="A420" s="35">
        <f>SUBTOTAL(103,$B$24:B420)</f>
        <v/>
      </c>
      <c r="B420" s="36" t="inlineStr">
        <is>
          <t xml:space="preserve">Банки (бачки) для твердих жирів </t>
        </is>
      </c>
      <c r="C420" s="37" t="inlineStr">
        <is>
          <t>шт.</t>
        </is>
      </c>
      <c r="D420" s="33" t="n"/>
      <c r="E420" s="33" t="n"/>
      <c r="F420" s="33">
        <f>E420*0.05</f>
        <v/>
      </c>
      <c r="G420" s="33">
        <f>E420+F420</f>
        <v/>
      </c>
      <c r="H420" s="33" t="n"/>
      <c r="I420" s="33" t="n"/>
      <c r="J420" s="33" t="n"/>
      <c r="K420" s="33">
        <f>L420+M420+N420</f>
        <v/>
      </c>
      <c r="L420" s="33" t="n"/>
      <c r="M420" s="33" t="n"/>
      <c r="N420" s="33" t="n"/>
      <c r="O420" s="33">
        <f>P420+Q420</f>
        <v/>
      </c>
      <c r="P420" s="33" t="n"/>
      <c r="Q420" s="33" t="n"/>
      <c r="R420" s="33">
        <f>H420+K420-O420</f>
        <v/>
      </c>
      <c r="S420" s="33" t="n"/>
      <c r="T420" s="33" t="n"/>
      <c r="U420" s="33" t="n"/>
      <c r="V420" s="33" t="n"/>
      <c r="W420" s="33" t="n"/>
      <c r="X420" s="33" t="n"/>
      <c r="Y420" s="33" t="n"/>
      <c r="Z420" s="33" t="n"/>
      <c r="AA420" s="4">
        <f>R420-G420</f>
        <v/>
      </c>
      <c r="AB420" s="4">
        <f>G420-R420</f>
        <v/>
      </c>
      <c r="AC420" s="33" t="n"/>
    </row>
    <row r="421" ht="18.75" customHeight="1">
      <c r="A421" s="35">
        <f>SUBTOTAL(103,$B$24:B421)</f>
        <v/>
      </c>
      <c r="B421" s="36" t="inlineStr">
        <is>
          <t xml:space="preserve">Фляга для молока </t>
        </is>
      </c>
      <c r="C421" s="37" t="inlineStr">
        <is>
          <t>шт.</t>
        </is>
      </c>
      <c r="D421" s="33" t="n"/>
      <c r="E421" s="33" t="n"/>
      <c r="F421" s="33">
        <f>E421*0.05</f>
        <v/>
      </c>
      <c r="G421" s="33">
        <f>E421+F421</f>
        <v/>
      </c>
      <c r="H421" s="33" t="n"/>
      <c r="I421" s="33" t="n"/>
      <c r="J421" s="33" t="n"/>
      <c r="K421" s="33">
        <f>L421+M421+N421</f>
        <v/>
      </c>
      <c r="L421" s="33" t="n"/>
      <c r="M421" s="33" t="n"/>
      <c r="N421" s="33" t="n"/>
      <c r="O421" s="33">
        <f>P421+Q421</f>
        <v/>
      </c>
      <c r="P421" s="33" t="n"/>
      <c r="Q421" s="33" t="n"/>
      <c r="R421" s="33">
        <f>H421+K421-O421</f>
        <v/>
      </c>
      <c r="S421" s="33" t="n"/>
      <c r="T421" s="33" t="n"/>
      <c r="U421" s="33" t="n"/>
      <c r="V421" s="33" t="n"/>
      <c r="W421" s="33" t="n"/>
      <c r="X421" s="33" t="n"/>
      <c r="Y421" s="33" t="n"/>
      <c r="Z421" s="33" t="n"/>
      <c r="AA421" s="4">
        <f>R421-G421</f>
        <v/>
      </c>
      <c r="AB421" s="4">
        <f>G421-R421</f>
        <v/>
      </c>
      <c r="AC421" s="33" t="n"/>
    </row>
    <row r="422" ht="18.75" customHeight="1">
      <c r="A422" s="35">
        <f>SUBTOTAL(103,$B$24:B422)</f>
        <v/>
      </c>
      <c r="B422" s="36" t="inlineStr">
        <is>
          <t xml:space="preserve">Фляга для олії </t>
        </is>
      </c>
      <c r="C422" s="37" t="inlineStr">
        <is>
          <t>шт.</t>
        </is>
      </c>
      <c r="D422" s="33" t="n"/>
      <c r="E422" s="33" t="n"/>
      <c r="F422" s="33">
        <f>E422*0.05</f>
        <v/>
      </c>
      <c r="G422" s="33">
        <f>E422+F422</f>
        <v/>
      </c>
      <c r="H422" s="33" t="n"/>
      <c r="I422" s="33" t="n"/>
      <c r="J422" s="33" t="n"/>
      <c r="K422" s="33">
        <f>L422+M422+N422</f>
        <v/>
      </c>
      <c r="L422" s="33" t="n"/>
      <c r="M422" s="33" t="n"/>
      <c r="N422" s="33" t="n"/>
      <c r="O422" s="33">
        <f>P422+Q422</f>
        <v/>
      </c>
      <c r="P422" s="33" t="n"/>
      <c r="Q422" s="33" t="n"/>
      <c r="R422" s="33">
        <f>H422+K422-O422</f>
        <v/>
      </c>
      <c r="S422" s="33" t="n"/>
      <c r="T422" s="33" t="n"/>
      <c r="U422" s="33" t="n"/>
      <c r="V422" s="33" t="n"/>
      <c r="W422" s="33" t="n"/>
      <c r="X422" s="33" t="n"/>
      <c r="Y422" s="33" t="n"/>
      <c r="Z422" s="33" t="n"/>
      <c r="AA422" s="4">
        <f>R422-G422</f>
        <v/>
      </c>
      <c r="AB422" s="4">
        <f>G422-R422</f>
        <v/>
      </c>
      <c r="AC422" s="33" t="n"/>
    </row>
    <row r="423" ht="18.75" customHeight="1">
      <c r="A423" s="35">
        <f>SUBTOTAL(103,$B$24:B423)</f>
        <v/>
      </c>
      <c r="B423" s="36" t="inlineStr">
        <is>
          <t xml:space="preserve">Бак для харчових відходів </t>
        </is>
      </c>
      <c r="C423" s="37" t="inlineStr">
        <is>
          <t>шт.</t>
        </is>
      </c>
      <c r="D423" s="33" t="n"/>
      <c r="E423" s="33" t="n"/>
      <c r="F423" s="33">
        <f>E423*0.05</f>
        <v/>
      </c>
      <c r="G423" s="33">
        <f>E423+F423</f>
        <v/>
      </c>
      <c r="H423" s="33" t="n"/>
      <c r="I423" s="33" t="n"/>
      <c r="J423" s="33" t="n"/>
      <c r="K423" s="33">
        <f>L423+M423+N423</f>
        <v/>
      </c>
      <c r="L423" s="33" t="n"/>
      <c r="M423" s="33" t="n"/>
      <c r="N423" s="33" t="n"/>
      <c r="O423" s="33">
        <f>P423+Q423</f>
        <v/>
      </c>
      <c r="P423" s="33" t="n"/>
      <c r="Q423" s="33" t="n"/>
      <c r="R423" s="33">
        <f>H423+K423-O423</f>
        <v/>
      </c>
      <c r="S423" s="33" t="n"/>
      <c r="T423" s="33" t="n"/>
      <c r="U423" s="33" t="n"/>
      <c r="V423" s="33" t="n"/>
      <c r="W423" s="33" t="n"/>
      <c r="X423" s="33" t="n"/>
      <c r="Y423" s="33" t="n"/>
      <c r="Z423" s="33" t="n"/>
      <c r="AA423" s="4">
        <f>R423-G423</f>
        <v/>
      </c>
      <c r="AB423" s="4">
        <f>G423-R423</f>
        <v/>
      </c>
      <c r="AC423" s="33" t="n"/>
    </row>
    <row r="424" ht="18.75" customHeight="1">
      <c r="A424" s="35">
        <f>SUBTOTAL(103,$B$24:B424)</f>
        <v/>
      </c>
      <c r="B424" s="36" t="inlineStr">
        <is>
          <t>Екстрактор для зварювання чаю</t>
        </is>
      </c>
      <c r="C424" s="37" t="inlineStr">
        <is>
          <t>шт.</t>
        </is>
      </c>
      <c r="D424" s="33" t="n"/>
      <c r="E424" s="33" t="n"/>
      <c r="F424" s="33">
        <f>E424*0.05</f>
        <v/>
      </c>
      <c r="G424" s="33">
        <f>E424+F424</f>
        <v/>
      </c>
      <c r="H424" s="33" t="n"/>
      <c r="I424" s="33" t="n"/>
      <c r="J424" s="33" t="n"/>
      <c r="K424" s="33">
        <f>L424+M424+N424</f>
        <v/>
      </c>
      <c r="L424" s="33" t="n"/>
      <c r="M424" s="33" t="n"/>
      <c r="N424" s="33" t="n"/>
      <c r="O424" s="33">
        <f>P424+Q424</f>
        <v/>
      </c>
      <c r="P424" s="33" t="n"/>
      <c r="Q424" s="33" t="n"/>
      <c r="R424" s="33">
        <f>H424+K424-O424</f>
        <v/>
      </c>
      <c r="S424" s="33" t="n"/>
      <c r="T424" s="33" t="n"/>
      <c r="U424" s="33" t="n"/>
      <c r="V424" s="33" t="n"/>
      <c r="W424" s="33" t="n"/>
      <c r="X424" s="33" t="n"/>
      <c r="Y424" s="33" t="n"/>
      <c r="Z424" s="33" t="n"/>
      <c r="AA424" s="4">
        <f>R424-G424</f>
        <v/>
      </c>
      <c r="AB424" s="4">
        <f>G424-R424</f>
        <v/>
      </c>
      <c r="AC424" s="33" t="n"/>
    </row>
    <row r="425" ht="18.75" customHeight="1">
      <c r="A425" s="35">
        <f>SUBTOTAL(103,$B$24:B425)</f>
        <v/>
      </c>
      <c r="B425" s="36" t="inlineStr">
        <is>
          <t xml:space="preserve">Деко </t>
        </is>
      </c>
      <c r="C425" s="37" t="inlineStr">
        <is>
          <t>шт.</t>
        </is>
      </c>
      <c r="D425" s="33" t="n"/>
      <c r="E425" s="33" t="n"/>
      <c r="F425" s="33">
        <f>E425*0.05</f>
        <v/>
      </c>
      <c r="G425" s="33">
        <f>E425+F425</f>
        <v/>
      </c>
      <c r="H425" s="33" t="n"/>
      <c r="I425" s="33" t="n"/>
      <c r="J425" s="33" t="n"/>
      <c r="K425" s="33">
        <f>L425+M425+N425</f>
        <v/>
      </c>
      <c r="L425" s="33" t="n"/>
      <c r="M425" s="33" t="n"/>
      <c r="N425" s="33" t="n"/>
      <c r="O425" s="33">
        <f>P425+Q425</f>
        <v/>
      </c>
      <c r="P425" s="33" t="n"/>
      <c r="Q425" s="33" t="n"/>
      <c r="R425" s="33">
        <f>H425+K425-O425</f>
        <v/>
      </c>
      <c r="S425" s="33" t="n"/>
      <c r="T425" s="33" t="n"/>
      <c r="U425" s="33" t="n"/>
      <c r="V425" s="33" t="n"/>
      <c r="W425" s="33" t="n"/>
      <c r="X425" s="33" t="n"/>
      <c r="Y425" s="33" t="n"/>
      <c r="Z425" s="33" t="n"/>
      <c r="AA425" s="4">
        <f>R425-G425</f>
        <v/>
      </c>
      <c r="AB425" s="4">
        <f>G425-R425</f>
        <v/>
      </c>
      <c r="AC425" s="33" t="n"/>
    </row>
    <row r="426" ht="18.75" customHeight="1">
      <c r="A426" s="35">
        <f>SUBTOTAL(103,$B$24:B426)</f>
        <v/>
      </c>
      <c r="B426" s="36" t="inlineStr">
        <is>
          <t>Деко металеве</t>
        </is>
      </c>
      <c r="C426" s="37" t="inlineStr">
        <is>
          <t>шт.</t>
        </is>
      </c>
      <c r="D426" s="33" t="n"/>
      <c r="E426" s="33" t="n"/>
      <c r="F426" s="33">
        <f>E426*0.05</f>
        <v/>
      </c>
      <c r="G426" s="33">
        <f>E426+F426</f>
        <v/>
      </c>
      <c r="H426" s="33" t="n"/>
      <c r="I426" s="33" t="n"/>
      <c r="J426" s="33" t="n"/>
      <c r="K426" s="33">
        <f>L426+M426+N426</f>
        <v/>
      </c>
      <c r="L426" s="33" t="n"/>
      <c r="M426" s="33" t="n"/>
      <c r="N426" s="33" t="n"/>
      <c r="O426" s="33">
        <f>P426+Q426</f>
        <v/>
      </c>
      <c r="P426" s="33" t="n"/>
      <c r="Q426" s="33" t="n"/>
      <c r="R426" s="33">
        <f>H426+K426-O426</f>
        <v/>
      </c>
      <c r="S426" s="33" t="n"/>
      <c r="T426" s="33" t="n"/>
      <c r="U426" s="33" t="n"/>
      <c r="V426" s="33" t="n"/>
      <c r="W426" s="33" t="n"/>
      <c r="X426" s="33" t="n"/>
      <c r="Y426" s="33" t="n"/>
      <c r="Z426" s="33" t="n"/>
      <c r="AA426" s="4">
        <f>R426-G426</f>
        <v/>
      </c>
      <c r="AB426" s="4">
        <f>G426-R426</f>
        <v/>
      </c>
      <c r="AC426" s="33" t="n"/>
    </row>
    <row r="427" ht="18.75" customHeight="1">
      <c r="A427" s="35">
        <f>SUBTOTAL(103,$B$24:B427)</f>
        <v/>
      </c>
      <c r="B427" s="36" t="inlineStr">
        <is>
          <t xml:space="preserve">Жаровня </t>
        </is>
      </c>
      <c r="C427" s="37" t="inlineStr">
        <is>
          <t>шт.</t>
        </is>
      </c>
      <c r="D427" s="33" t="n"/>
      <c r="E427" s="33" t="n"/>
      <c r="F427" s="33">
        <f>E427*0.05</f>
        <v/>
      </c>
      <c r="G427" s="33">
        <f>E427+F427</f>
        <v/>
      </c>
      <c r="H427" s="33" t="n"/>
      <c r="I427" s="33" t="n"/>
      <c r="J427" s="33" t="n"/>
      <c r="K427" s="33">
        <f>L427+M427+N427</f>
        <v/>
      </c>
      <c r="L427" s="33" t="n"/>
      <c r="M427" s="33" t="n"/>
      <c r="N427" s="33" t="n"/>
      <c r="O427" s="33">
        <f>P427+Q427</f>
        <v/>
      </c>
      <c r="P427" s="33" t="n"/>
      <c r="Q427" s="33" t="n"/>
      <c r="R427" s="33">
        <f>H427+K427-O427</f>
        <v/>
      </c>
      <c r="S427" s="33" t="n"/>
      <c r="T427" s="33" t="n"/>
      <c r="U427" s="33" t="n"/>
      <c r="V427" s="33" t="n"/>
      <c r="W427" s="33" t="n"/>
      <c r="X427" s="33" t="n"/>
      <c r="Y427" s="33" t="n"/>
      <c r="Z427" s="33" t="n"/>
      <c r="AA427" s="4">
        <f>R427-G427</f>
        <v/>
      </c>
      <c r="AB427" s="4">
        <f>G427-R427</f>
        <v/>
      </c>
      <c r="AC427" s="33" t="n"/>
    </row>
    <row r="428" ht="18.75" customHeight="1">
      <c r="A428" s="35">
        <f>SUBTOTAL(103,$B$24:B428)</f>
        <v/>
      </c>
      <c r="B428" s="36" t="inlineStr">
        <is>
          <t>Жаровня чавунна</t>
        </is>
      </c>
      <c r="C428" s="37" t="inlineStr">
        <is>
          <t>шт.</t>
        </is>
      </c>
      <c r="D428" s="33" t="n"/>
      <c r="E428" s="33" t="n"/>
      <c r="F428" s="33">
        <f>E428*0.05</f>
        <v/>
      </c>
      <c r="G428" s="33">
        <f>E428+F428</f>
        <v/>
      </c>
      <c r="H428" s="33" t="n"/>
      <c r="I428" s="33" t="n"/>
      <c r="J428" s="33" t="n"/>
      <c r="K428" s="33">
        <f>L428+M428+N428</f>
        <v/>
      </c>
      <c r="L428" s="33" t="n"/>
      <c r="M428" s="33" t="n"/>
      <c r="N428" s="33" t="n"/>
      <c r="O428" s="33">
        <f>P428+Q428</f>
        <v/>
      </c>
      <c r="P428" s="33" t="n"/>
      <c r="Q428" s="33" t="n"/>
      <c r="R428" s="33">
        <f>H428+K428-O428</f>
        <v/>
      </c>
      <c r="S428" s="33" t="n"/>
      <c r="T428" s="33" t="n"/>
      <c r="U428" s="33" t="n"/>
      <c r="V428" s="33" t="n"/>
      <c r="W428" s="33" t="n"/>
      <c r="X428" s="33" t="n"/>
      <c r="Y428" s="33" t="n"/>
      <c r="Z428" s="33" t="n"/>
      <c r="AA428" s="4">
        <f>R428-G428</f>
        <v/>
      </c>
      <c r="AB428" s="4">
        <f>G428-R428</f>
        <v/>
      </c>
      <c r="AC428" s="33" t="n"/>
    </row>
    <row r="429" ht="18.75" customHeight="1">
      <c r="A429" s="35">
        <f>SUBTOTAL(103,$B$24:B429)</f>
        <v/>
      </c>
      <c r="B429" s="36" t="inlineStr">
        <is>
          <t xml:space="preserve">Лист кондитерський </t>
        </is>
      </c>
      <c r="C429" s="37" t="inlineStr">
        <is>
          <t>шт.</t>
        </is>
      </c>
      <c r="D429" s="33" t="n"/>
      <c r="E429" s="33" t="n"/>
      <c r="F429" s="33">
        <f>E429*0.05</f>
        <v/>
      </c>
      <c r="G429" s="33">
        <f>E429+F429</f>
        <v/>
      </c>
      <c r="H429" s="33" t="n"/>
      <c r="I429" s="33" t="n"/>
      <c r="J429" s="33" t="n"/>
      <c r="K429" s="33">
        <f>L429+M429+N429</f>
        <v/>
      </c>
      <c r="L429" s="33" t="n"/>
      <c r="M429" s="33" t="n"/>
      <c r="N429" s="33" t="n"/>
      <c r="O429" s="33">
        <f>P429+Q429</f>
        <v/>
      </c>
      <c r="P429" s="33" t="n"/>
      <c r="Q429" s="33" t="n"/>
      <c r="R429" s="33">
        <f>H429+K429-O429</f>
        <v/>
      </c>
      <c r="S429" s="33" t="n"/>
      <c r="T429" s="33" t="n"/>
      <c r="U429" s="33" t="n"/>
      <c r="V429" s="33" t="n"/>
      <c r="W429" s="33" t="n"/>
      <c r="X429" s="33" t="n"/>
      <c r="Y429" s="33" t="n"/>
      <c r="Z429" s="33" t="n"/>
      <c r="AA429" s="4">
        <f>R429-G429</f>
        <v/>
      </c>
      <c r="AB429" s="4">
        <f>G429-R429</f>
        <v/>
      </c>
      <c r="AC429" s="33" t="n"/>
    </row>
    <row r="430" ht="18.75" customHeight="1">
      <c r="A430" s="35">
        <f>SUBTOTAL(103,$B$24:B430)</f>
        <v/>
      </c>
      <c r="B430" s="36" t="inlineStr">
        <is>
          <t>Лист кондитерський алюмінієвий</t>
        </is>
      </c>
      <c r="C430" s="37" t="inlineStr">
        <is>
          <t>шт.</t>
        </is>
      </c>
      <c r="D430" s="33" t="n"/>
      <c r="E430" s="33" t="n"/>
      <c r="F430" s="33">
        <f>E430*0.05</f>
        <v/>
      </c>
      <c r="G430" s="33">
        <f>E430+F430</f>
        <v/>
      </c>
      <c r="H430" s="33" t="n"/>
      <c r="I430" s="33" t="n"/>
      <c r="J430" s="33" t="n"/>
      <c r="K430" s="33">
        <f>L430+M430+N430</f>
        <v/>
      </c>
      <c r="L430" s="33" t="n"/>
      <c r="M430" s="33" t="n"/>
      <c r="N430" s="33" t="n"/>
      <c r="O430" s="33">
        <f>P430+Q430</f>
        <v/>
      </c>
      <c r="P430" s="33" t="n"/>
      <c r="Q430" s="33" t="n"/>
      <c r="R430" s="33">
        <f>H430+K430-O430</f>
        <v/>
      </c>
      <c r="S430" s="33" t="n"/>
      <c r="T430" s="33" t="n"/>
      <c r="U430" s="33" t="n"/>
      <c r="V430" s="33" t="n"/>
      <c r="W430" s="33" t="n"/>
      <c r="X430" s="33" t="n"/>
      <c r="Y430" s="33" t="n"/>
      <c r="Z430" s="33" t="n"/>
      <c r="AA430" s="4">
        <f>R430-G430</f>
        <v/>
      </c>
      <c r="AB430" s="4">
        <f>G430-R430</f>
        <v/>
      </c>
      <c r="AC430" s="33" t="n"/>
    </row>
    <row r="431" ht="18.75" customHeight="1">
      <c r="A431" s="35">
        <f>SUBTOTAL(103,$B$24:B431)</f>
        <v/>
      </c>
      <c r="B431" s="36" t="inlineStr">
        <is>
          <t xml:space="preserve">Форма кондитерська </t>
        </is>
      </c>
      <c r="C431" s="37" t="inlineStr">
        <is>
          <t>шт.</t>
        </is>
      </c>
      <c r="D431" s="33" t="n"/>
      <c r="E431" s="33" t="n"/>
      <c r="F431" s="33">
        <f>E431*0.05</f>
        <v/>
      </c>
      <c r="G431" s="33">
        <f>E431+F431</f>
        <v/>
      </c>
      <c r="H431" s="33" t="n"/>
      <c r="I431" s="33" t="n"/>
      <c r="J431" s="33" t="n"/>
      <c r="K431" s="33">
        <f>L431+M431+N431</f>
        <v/>
      </c>
      <c r="L431" s="33" t="n"/>
      <c r="M431" s="33" t="n"/>
      <c r="N431" s="33" t="n"/>
      <c r="O431" s="33">
        <f>P431+Q431</f>
        <v/>
      </c>
      <c r="P431" s="33" t="n"/>
      <c r="Q431" s="33" t="n"/>
      <c r="R431" s="33">
        <f>H431+K431-O431</f>
        <v/>
      </c>
      <c r="S431" s="33" t="n"/>
      <c r="T431" s="33" t="n"/>
      <c r="U431" s="33" t="n"/>
      <c r="V431" s="33" t="n"/>
      <c r="W431" s="33" t="n"/>
      <c r="X431" s="33" t="n"/>
      <c r="Y431" s="33" t="n"/>
      <c r="Z431" s="33" t="n"/>
      <c r="AA431" s="4">
        <f>R431-G431</f>
        <v/>
      </c>
      <c r="AB431" s="4">
        <f>G431-R431</f>
        <v/>
      </c>
      <c r="AC431" s="33" t="n"/>
    </row>
    <row r="432" ht="18.75" customHeight="1">
      <c r="A432" s="35">
        <f>SUBTOTAL(103,$B$24:B432)</f>
        <v/>
      </c>
      <c r="B432" s="36" t="inlineStr">
        <is>
          <t>Форма кондитерська алюмінієва</t>
        </is>
      </c>
      <c r="C432" s="37" t="inlineStr">
        <is>
          <t>шт.</t>
        </is>
      </c>
      <c r="D432" s="33" t="n"/>
      <c r="E432" s="33" t="n"/>
      <c r="F432" s="33">
        <f>E432*0.05</f>
        <v/>
      </c>
      <c r="G432" s="33">
        <f>E432+F432</f>
        <v/>
      </c>
      <c r="H432" s="33" t="n"/>
      <c r="I432" s="33" t="n"/>
      <c r="J432" s="33" t="n"/>
      <c r="K432" s="33">
        <f>L432+M432+N432</f>
        <v/>
      </c>
      <c r="L432" s="33" t="n"/>
      <c r="M432" s="33" t="n"/>
      <c r="N432" s="33" t="n"/>
      <c r="O432" s="33">
        <f>P432+Q432</f>
        <v/>
      </c>
      <c r="P432" s="33" t="n"/>
      <c r="Q432" s="33" t="n"/>
      <c r="R432" s="33">
        <f>H432+K432-O432</f>
        <v/>
      </c>
      <c r="S432" s="33" t="n"/>
      <c r="T432" s="33" t="n"/>
      <c r="U432" s="33" t="n"/>
      <c r="V432" s="33" t="n"/>
      <c r="W432" s="33" t="n"/>
      <c r="X432" s="33" t="n"/>
      <c r="Y432" s="33" t="n"/>
      <c r="Z432" s="33" t="n"/>
      <c r="AA432" s="4">
        <f>R432-G432</f>
        <v/>
      </c>
      <c r="AB432" s="4">
        <f>G432-R432</f>
        <v/>
      </c>
      <c r="AC432" s="33" t="n"/>
    </row>
    <row r="433" ht="18.75" customHeight="1">
      <c r="A433" s="35">
        <f>SUBTOTAL(103,$B$24:B433)</f>
        <v/>
      </c>
      <c r="B433" s="36" t="inlineStr">
        <is>
          <t>Пензлик кондитерський силіконовий</t>
        </is>
      </c>
      <c r="C433" s="37" t="inlineStr">
        <is>
          <t>шт.</t>
        </is>
      </c>
      <c r="D433" s="33" t="n"/>
      <c r="E433" s="33" t="n"/>
      <c r="F433" s="33">
        <f>E433*0.05</f>
        <v/>
      </c>
      <c r="G433" s="33">
        <f>E433+F433</f>
        <v/>
      </c>
      <c r="H433" s="33" t="n"/>
      <c r="I433" s="33" t="n"/>
      <c r="J433" s="33" t="n"/>
      <c r="K433" s="33">
        <f>L433+M433+N433</f>
        <v/>
      </c>
      <c r="L433" s="33" t="n"/>
      <c r="M433" s="33" t="n"/>
      <c r="N433" s="33" t="n"/>
      <c r="O433" s="33">
        <f>P433+Q433</f>
        <v/>
      </c>
      <c r="P433" s="33" t="n"/>
      <c r="Q433" s="33" t="n"/>
      <c r="R433" s="33">
        <f>H433+K433-O433</f>
        <v/>
      </c>
      <c r="S433" s="33" t="n"/>
      <c r="T433" s="33" t="n"/>
      <c r="U433" s="33" t="n"/>
      <c r="V433" s="33" t="n"/>
      <c r="W433" s="33" t="n"/>
      <c r="X433" s="33" t="n"/>
      <c r="Y433" s="33" t="n"/>
      <c r="Z433" s="33" t="n"/>
      <c r="AA433" s="4">
        <f>R433-G433</f>
        <v/>
      </c>
      <c r="AB433" s="4">
        <f>G433-R433</f>
        <v/>
      </c>
      <c r="AC433" s="33" t="n"/>
    </row>
    <row r="434" ht="18.75" customHeight="1">
      <c r="A434" s="35">
        <f>SUBTOTAL(103,$B$24:B434)</f>
        <v/>
      </c>
      <c r="B434" s="36" t="inlineStr">
        <is>
          <t>Форма хлібна</t>
        </is>
      </c>
      <c r="C434" s="37" t="inlineStr">
        <is>
          <t>шт.</t>
        </is>
      </c>
      <c r="D434" s="33" t="n"/>
      <c r="E434" s="33" t="n"/>
      <c r="F434" s="33">
        <f>E434*0.05</f>
        <v/>
      </c>
      <c r="G434" s="33">
        <f>E434+F434</f>
        <v/>
      </c>
      <c r="H434" s="33" t="n"/>
      <c r="I434" s="33" t="n"/>
      <c r="J434" s="33" t="n"/>
      <c r="K434" s="33">
        <f>L434+M434+N434</f>
        <v/>
      </c>
      <c r="L434" s="33" t="n"/>
      <c r="M434" s="33" t="n"/>
      <c r="N434" s="33" t="n"/>
      <c r="O434" s="33">
        <f>P434+Q434</f>
        <v/>
      </c>
      <c r="P434" s="33" t="n"/>
      <c r="Q434" s="33" t="n"/>
      <c r="R434" s="33">
        <f>H434+K434-O434</f>
        <v/>
      </c>
      <c r="S434" s="33" t="n"/>
      <c r="T434" s="33" t="n"/>
      <c r="U434" s="33" t="n"/>
      <c r="V434" s="33" t="n"/>
      <c r="W434" s="33" t="n"/>
      <c r="X434" s="33" t="n"/>
      <c r="Y434" s="33" t="n"/>
      <c r="Z434" s="33" t="n"/>
      <c r="AA434" s="4">
        <f>R434-G434</f>
        <v/>
      </c>
      <c r="AB434" s="4">
        <f>G434-R434</f>
        <v/>
      </c>
      <c r="AC434" s="33" t="n"/>
    </row>
    <row r="435" ht="18.75" customHeight="1">
      <c r="A435" s="35">
        <f>SUBTOTAL(103,$B$24:B435)</f>
        <v/>
      </c>
      <c r="B435" s="36" t="inlineStr">
        <is>
          <t>Совок</t>
        </is>
      </c>
      <c r="C435" s="37" t="inlineStr">
        <is>
          <t>шт.</t>
        </is>
      </c>
      <c r="D435" s="33" t="n"/>
      <c r="E435" s="33" t="n"/>
      <c r="F435" s="33">
        <f>E435*0.05</f>
        <v/>
      </c>
      <c r="G435" s="33">
        <f>E435+F435</f>
        <v/>
      </c>
      <c r="H435" s="33" t="n"/>
      <c r="I435" s="33" t="n"/>
      <c r="J435" s="33" t="n"/>
      <c r="K435" s="33">
        <f>L435+M435+N435</f>
        <v/>
      </c>
      <c r="L435" s="33" t="n"/>
      <c r="M435" s="33" t="n"/>
      <c r="N435" s="33" t="n"/>
      <c r="O435" s="33">
        <f>P435+Q435</f>
        <v/>
      </c>
      <c r="P435" s="33" t="n"/>
      <c r="Q435" s="33" t="n"/>
      <c r="R435" s="33">
        <f>H435+K435-O435</f>
        <v/>
      </c>
      <c r="S435" s="33" t="n"/>
      <c r="T435" s="33" t="n"/>
      <c r="U435" s="33" t="n"/>
      <c r="V435" s="33" t="n"/>
      <c r="W435" s="33" t="n"/>
      <c r="X435" s="33" t="n"/>
      <c r="Y435" s="33" t="n"/>
      <c r="Z435" s="33" t="n"/>
      <c r="AA435" s="4">
        <f>R435-G435</f>
        <v/>
      </c>
      <c r="AB435" s="4">
        <f>G435-R435</f>
        <v/>
      </c>
      <c r="AC435" s="33" t="n"/>
    </row>
    <row r="436" ht="18.75" customHeight="1">
      <c r="A436" s="35">
        <f>SUBTOTAL(103,$B$24:B436)</f>
        <v/>
      </c>
      <c r="B436" s="36" t="inlineStr">
        <is>
          <t>Тертушка</t>
        </is>
      </c>
      <c r="C436" s="37" t="inlineStr">
        <is>
          <t>шт.</t>
        </is>
      </c>
      <c r="D436" s="33" t="n"/>
      <c r="E436" s="33" t="n"/>
      <c r="F436" s="33">
        <f>E436*0.05</f>
        <v/>
      </c>
      <c r="G436" s="33">
        <f>E436+F436</f>
        <v/>
      </c>
      <c r="H436" s="33" t="n"/>
      <c r="I436" s="33" t="n"/>
      <c r="J436" s="33" t="n"/>
      <c r="K436" s="33">
        <f>L436+M436+N436</f>
        <v/>
      </c>
      <c r="L436" s="33" t="n"/>
      <c r="M436" s="33" t="n"/>
      <c r="N436" s="33" t="n"/>
      <c r="O436" s="33">
        <f>P436+Q436</f>
        <v/>
      </c>
      <c r="P436" s="33" t="n"/>
      <c r="Q436" s="33" t="n"/>
      <c r="R436" s="33">
        <f>H436+K436-O436</f>
        <v/>
      </c>
      <c r="S436" s="33" t="n"/>
      <c r="T436" s="33" t="n"/>
      <c r="U436" s="33" t="n"/>
      <c r="V436" s="33" t="n"/>
      <c r="W436" s="33" t="n"/>
      <c r="X436" s="33" t="n"/>
      <c r="Y436" s="33" t="n"/>
      <c r="Z436" s="33" t="n"/>
      <c r="AA436" s="4">
        <f>R436-G436</f>
        <v/>
      </c>
      <c r="AB436" s="4">
        <f>G436-R436</f>
        <v/>
      </c>
      <c r="AC436" s="33" t="n"/>
    </row>
    <row r="437" ht="18.75" customHeight="1">
      <c r="A437" s="35">
        <f>SUBTOTAL(103,$B$24:B437)</f>
        <v/>
      </c>
      <c r="B437" s="36" t="inlineStr">
        <is>
          <t>Прес для часнику</t>
        </is>
      </c>
      <c r="C437" s="37" t="inlineStr">
        <is>
          <t>шт.</t>
        </is>
      </c>
      <c r="D437" s="33" t="n"/>
      <c r="E437" s="33" t="n"/>
      <c r="F437" s="33">
        <f>E437*0.05</f>
        <v/>
      </c>
      <c r="G437" s="33">
        <f>E437+F437</f>
        <v/>
      </c>
      <c r="H437" s="33" t="n"/>
      <c r="I437" s="33" t="n"/>
      <c r="J437" s="33" t="n"/>
      <c r="K437" s="33">
        <f>L437+M437+N437</f>
        <v/>
      </c>
      <c r="L437" s="33" t="n"/>
      <c r="M437" s="33" t="n"/>
      <c r="N437" s="33" t="n"/>
      <c r="O437" s="33">
        <f>P437+Q437</f>
        <v/>
      </c>
      <c r="P437" s="33" t="n"/>
      <c r="Q437" s="33" t="n"/>
      <c r="R437" s="33">
        <f>H437+K437-O437</f>
        <v/>
      </c>
      <c r="S437" s="33" t="n"/>
      <c r="T437" s="33" t="n"/>
      <c r="U437" s="33" t="n"/>
      <c r="V437" s="33" t="n"/>
      <c r="W437" s="33" t="n"/>
      <c r="X437" s="33" t="n"/>
      <c r="Y437" s="33" t="n"/>
      <c r="Z437" s="33" t="n"/>
      <c r="AA437" s="4">
        <f>R437-G437</f>
        <v/>
      </c>
      <c r="AB437" s="4">
        <f>G437-R437</f>
        <v/>
      </c>
      <c r="AC437" s="33" t="n"/>
    </row>
    <row r="438" ht="18.75" customHeight="1">
      <c r="A438" s="35">
        <f>SUBTOTAL(103,$B$24:B438)</f>
        <v/>
      </c>
      <c r="B438" s="36" t="inlineStr">
        <is>
          <t>Молоток для відбивання мяса</t>
        </is>
      </c>
      <c r="C438" s="37" t="inlineStr">
        <is>
          <t>шт.</t>
        </is>
      </c>
      <c r="D438" s="33" t="n"/>
      <c r="E438" s="33" t="n"/>
      <c r="F438" s="33">
        <f>E438*0.05</f>
        <v/>
      </c>
      <c r="G438" s="33">
        <f>E438+F438</f>
        <v/>
      </c>
      <c r="H438" s="33" t="n"/>
      <c r="I438" s="33" t="n"/>
      <c r="J438" s="33" t="n"/>
      <c r="K438" s="33">
        <f>L438+M438+N438</f>
        <v/>
      </c>
      <c r="L438" s="33" t="n"/>
      <c r="M438" s="33" t="n"/>
      <c r="N438" s="33" t="n"/>
      <c r="O438" s="33">
        <f>P438+Q438</f>
        <v/>
      </c>
      <c r="P438" s="33" t="n"/>
      <c r="Q438" s="33" t="n"/>
      <c r="R438" s="33">
        <f>H438+K438-O438</f>
        <v/>
      </c>
      <c r="S438" s="33" t="n"/>
      <c r="T438" s="33" t="n"/>
      <c r="U438" s="33" t="n"/>
      <c r="V438" s="33" t="n"/>
      <c r="W438" s="33" t="n"/>
      <c r="X438" s="33" t="n"/>
      <c r="Y438" s="33" t="n"/>
      <c r="Z438" s="33" t="n"/>
      <c r="AA438" s="4">
        <f>R438-G438</f>
        <v/>
      </c>
      <c r="AB438" s="4">
        <f>G438-R438</f>
        <v/>
      </c>
      <c r="AC438" s="33" t="n"/>
    </row>
    <row r="439" ht="18.75" customHeight="1">
      <c r="A439" s="35">
        <f>SUBTOTAL(103,$B$24:B439)</f>
        <v/>
      </c>
      <c r="B439" s="36" t="inlineStr">
        <is>
          <t xml:space="preserve">Лопатка кухарська </t>
        </is>
      </c>
      <c r="C439" s="37" t="inlineStr">
        <is>
          <t>шт.</t>
        </is>
      </c>
      <c r="D439" s="33" t="n"/>
      <c r="E439" s="33" t="n"/>
      <c r="F439" s="33">
        <f>E439*0.05</f>
        <v/>
      </c>
      <c r="G439" s="33">
        <f>E439+F439</f>
        <v/>
      </c>
      <c r="H439" s="33" t="n"/>
      <c r="I439" s="33" t="n"/>
      <c r="J439" s="33" t="n"/>
      <c r="K439" s="33">
        <f>L439+M439+N439</f>
        <v/>
      </c>
      <c r="L439" s="33" t="n"/>
      <c r="M439" s="33" t="n"/>
      <c r="N439" s="33" t="n"/>
      <c r="O439" s="33">
        <f>P439+Q439</f>
        <v/>
      </c>
      <c r="P439" s="33" t="n"/>
      <c r="Q439" s="33" t="n"/>
      <c r="R439" s="33">
        <f>H439+K439-O439</f>
        <v/>
      </c>
      <c r="S439" s="33" t="n"/>
      <c r="T439" s="33" t="n"/>
      <c r="U439" s="33" t="n"/>
      <c r="V439" s="33" t="n"/>
      <c r="W439" s="33" t="n"/>
      <c r="X439" s="33" t="n"/>
      <c r="Y439" s="33" t="n"/>
      <c r="Z439" s="33" t="n"/>
      <c r="AA439" s="4">
        <f>R439-G439</f>
        <v/>
      </c>
      <c r="AB439" s="4">
        <f>G439-R439</f>
        <v/>
      </c>
      <c r="AC439" s="33" t="n"/>
    </row>
    <row r="440" ht="18.75" customHeight="1">
      <c r="A440" s="35">
        <f>SUBTOTAL(103,$B$24:B440)</f>
        <v/>
      </c>
      <c r="B440" s="36" t="inlineStr">
        <is>
          <t>Лопатка кухарська дерев'янна</t>
        </is>
      </c>
      <c r="C440" s="37" t="inlineStr">
        <is>
          <t>шт.</t>
        </is>
      </c>
      <c r="D440" s="33" t="n"/>
      <c r="E440" s="33" t="n"/>
      <c r="F440" s="33">
        <f>E440*0.05</f>
        <v/>
      </c>
      <c r="G440" s="33">
        <f>E440+F440</f>
        <v/>
      </c>
      <c r="H440" s="33" t="n"/>
      <c r="I440" s="33" t="n"/>
      <c r="J440" s="33" t="n"/>
      <c r="K440" s="33">
        <f>L440+M440+N440</f>
        <v/>
      </c>
      <c r="L440" s="33" t="n"/>
      <c r="M440" s="33" t="n"/>
      <c r="N440" s="33" t="n"/>
      <c r="O440" s="33">
        <f>P440+Q440</f>
        <v/>
      </c>
      <c r="P440" s="33" t="n"/>
      <c r="Q440" s="33" t="n"/>
      <c r="R440" s="33">
        <f>H440+K440-O440</f>
        <v/>
      </c>
      <c r="S440" s="33" t="n"/>
      <c r="T440" s="33" t="n"/>
      <c r="U440" s="33" t="n"/>
      <c r="V440" s="33" t="n"/>
      <c r="W440" s="33" t="n"/>
      <c r="X440" s="33" t="n"/>
      <c r="Y440" s="33" t="n"/>
      <c r="Z440" s="33" t="n"/>
      <c r="AA440" s="4">
        <f>R440-G440</f>
        <v/>
      </c>
      <c r="AB440" s="4">
        <f>G440-R440</f>
        <v/>
      </c>
      <c r="AC440" s="33" t="n"/>
    </row>
    <row r="441" ht="18.75" customHeight="1">
      <c r="A441" s="35">
        <f>SUBTOTAL(103,$B$24:B441)</f>
        <v/>
      </c>
      <c r="B441" s="36" t="inlineStr">
        <is>
          <t xml:space="preserve">Лопатка для твердих жирів </t>
        </is>
      </c>
      <c r="C441" s="37" t="inlineStr">
        <is>
          <t>шт.</t>
        </is>
      </c>
      <c r="D441" s="33" t="n"/>
      <c r="E441" s="33" t="n"/>
      <c r="F441" s="33">
        <f>E441*0.05</f>
        <v/>
      </c>
      <c r="G441" s="33">
        <f>E441+F441</f>
        <v/>
      </c>
      <c r="H441" s="33" t="n"/>
      <c r="I441" s="33" t="n"/>
      <c r="J441" s="33" t="n"/>
      <c r="K441" s="33">
        <f>L441+M441+N441</f>
        <v/>
      </c>
      <c r="L441" s="33" t="n"/>
      <c r="M441" s="33" t="n"/>
      <c r="N441" s="33" t="n"/>
      <c r="O441" s="33">
        <f>P441+Q441</f>
        <v/>
      </c>
      <c r="P441" s="33" t="n"/>
      <c r="Q441" s="33" t="n"/>
      <c r="R441" s="33">
        <f>H441+K441-O441</f>
        <v/>
      </c>
      <c r="S441" s="33" t="n"/>
      <c r="T441" s="33" t="n"/>
      <c r="U441" s="33" t="n"/>
      <c r="V441" s="33" t="n"/>
      <c r="W441" s="33" t="n"/>
      <c r="X441" s="33" t="n"/>
      <c r="Y441" s="33" t="n"/>
      <c r="Z441" s="33" t="n"/>
      <c r="AA441" s="4">
        <f>R441-G441</f>
        <v/>
      </c>
      <c r="AB441" s="4">
        <f>G441-R441</f>
        <v/>
      </c>
      <c r="AC441" s="33" t="n"/>
    </row>
    <row r="442" ht="18.75" customHeight="1">
      <c r="A442" s="35">
        <f>SUBTOTAL(103,$B$24:B442)</f>
        <v/>
      </c>
      <c r="B442" s="36" t="inlineStr">
        <is>
          <t xml:space="preserve">Дошка для розробки продуктів </t>
        </is>
      </c>
      <c r="C442" s="37" t="inlineStr">
        <is>
          <t>шт.</t>
        </is>
      </c>
      <c r="D442" s="33" t="n"/>
      <c r="E442" s="33" t="n"/>
      <c r="F442" s="33">
        <f>E442*0.05</f>
        <v/>
      </c>
      <c r="G442" s="33">
        <f>E442+F442</f>
        <v/>
      </c>
      <c r="H442" s="33" t="n"/>
      <c r="I442" s="33" t="n"/>
      <c r="J442" s="33" t="n"/>
      <c r="K442" s="33">
        <f>L442+M442+N442</f>
        <v/>
      </c>
      <c r="L442" s="33" t="n"/>
      <c r="M442" s="33" t="n"/>
      <c r="N442" s="33" t="n"/>
      <c r="O442" s="33">
        <f>P442+Q442</f>
        <v/>
      </c>
      <c r="P442" s="33" t="n"/>
      <c r="Q442" s="33" t="n"/>
      <c r="R442" s="33">
        <f>H442+K442-O442</f>
        <v/>
      </c>
      <c r="S442" s="33" t="n"/>
      <c r="T442" s="33" t="n"/>
      <c r="U442" s="33" t="n"/>
      <c r="V442" s="33" t="n"/>
      <c r="W442" s="33" t="n"/>
      <c r="X442" s="33" t="n"/>
      <c r="Y442" s="33" t="n"/>
      <c r="Z442" s="33" t="n"/>
      <c r="AA442" s="4">
        <f>R442-G442</f>
        <v/>
      </c>
      <c r="AB442" s="4">
        <f>G442-R442</f>
        <v/>
      </c>
      <c r="AC442" s="33" t="n"/>
    </row>
    <row r="443" ht="18.75" customHeight="1">
      <c r="A443" s="35">
        <f>SUBTOTAL(103,$B$24:B443)</f>
        <v/>
      </c>
      <c r="B443" s="36" t="inlineStr">
        <is>
          <t>Підставка (дошка) під гарячі предмети</t>
        </is>
      </c>
      <c r="C443" s="37" t="inlineStr">
        <is>
          <t>шт.</t>
        </is>
      </c>
      <c r="D443" s="33" t="n"/>
      <c r="E443" s="33" t="n"/>
      <c r="F443" s="33">
        <f>E443*0.05</f>
        <v/>
      </c>
      <c r="G443" s="33">
        <f>E443+F443</f>
        <v/>
      </c>
      <c r="H443" s="33" t="n"/>
      <c r="I443" s="33" t="n"/>
      <c r="J443" s="33" t="n"/>
      <c r="K443" s="33">
        <f>L443+M443+N443</f>
        <v/>
      </c>
      <c r="L443" s="33" t="n"/>
      <c r="M443" s="33" t="n"/>
      <c r="N443" s="33" t="n"/>
      <c r="O443" s="33">
        <f>P443+Q443</f>
        <v/>
      </c>
      <c r="P443" s="33" t="n"/>
      <c r="Q443" s="33" t="n"/>
      <c r="R443" s="33">
        <f>H443+K443-O443</f>
        <v/>
      </c>
      <c r="S443" s="33" t="n"/>
      <c r="T443" s="33" t="n"/>
      <c r="U443" s="33" t="n"/>
      <c r="V443" s="33" t="n"/>
      <c r="W443" s="33" t="n"/>
      <c r="X443" s="33" t="n"/>
      <c r="Y443" s="33" t="n"/>
      <c r="Z443" s="33" t="n"/>
      <c r="AA443" s="4">
        <f>R443-G443</f>
        <v/>
      </c>
      <c r="AB443" s="4">
        <f>G443-R443</f>
        <v/>
      </c>
      <c r="AC443" s="33" t="n"/>
    </row>
    <row r="444" ht="18.75" customHeight="1">
      <c r="A444" s="35">
        <f>SUBTOTAL(103,$B$24:B444)</f>
        <v/>
      </c>
      <c r="B444" s="36" t="inlineStr">
        <is>
          <t xml:space="preserve">Котломір </t>
        </is>
      </c>
      <c r="C444" s="37" t="inlineStr">
        <is>
          <t>шт.</t>
        </is>
      </c>
      <c r="D444" s="33" t="n"/>
      <c r="E444" s="33" t="n"/>
      <c r="F444" s="33">
        <f>E444*0.05</f>
        <v/>
      </c>
      <c r="G444" s="33">
        <f>E444+F444</f>
        <v/>
      </c>
      <c r="H444" s="33" t="n"/>
      <c r="I444" s="33" t="n"/>
      <c r="J444" s="33" t="n"/>
      <c r="K444" s="33">
        <f>L444+M444+N444</f>
        <v/>
      </c>
      <c r="L444" s="33" t="n"/>
      <c r="M444" s="33" t="n"/>
      <c r="N444" s="33" t="n"/>
      <c r="O444" s="33">
        <f>P444+Q444</f>
        <v/>
      </c>
      <c r="P444" s="33" t="n"/>
      <c r="Q444" s="33" t="n"/>
      <c r="R444" s="33">
        <f>H444+K444-O444</f>
        <v/>
      </c>
      <c r="S444" s="33" t="n"/>
      <c r="T444" s="33" t="n"/>
      <c r="U444" s="33" t="n"/>
      <c r="V444" s="33" t="n"/>
      <c r="W444" s="33" t="n"/>
      <c r="X444" s="33" t="n"/>
      <c r="Y444" s="33" t="n"/>
      <c r="Z444" s="33" t="n"/>
      <c r="AA444" s="4">
        <f>R444-G444</f>
        <v/>
      </c>
      <c r="AB444" s="4">
        <f>G444-R444</f>
        <v/>
      </c>
      <c r="AC444" s="33" t="n"/>
    </row>
    <row r="445" ht="18.75" customHeight="1">
      <c r="A445" s="35">
        <f>SUBTOTAL(103,$B$24:B445)</f>
        <v/>
      </c>
      <c r="B445" s="36" t="inlineStr">
        <is>
          <t>Качалка</t>
        </is>
      </c>
      <c r="C445" s="37" t="inlineStr">
        <is>
          <t>шт.</t>
        </is>
      </c>
      <c r="D445" s="33" t="n"/>
      <c r="E445" s="33" t="n"/>
      <c r="F445" s="33">
        <f>E445*0.05</f>
        <v/>
      </c>
      <c r="G445" s="33">
        <f>E445+F445</f>
        <v/>
      </c>
      <c r="H445" s="33" t="n"/>
      <c r="I445" s="33" t="n"/>
      <c r="J445" s="33" t="n"/>
      <c r="K445" s="33">
        <f>L445+M445+N445</f>
        <v/>
      </c>
      <c r="L445" s="33" t="n"/>
      <c r="M445" s="33" t="n"/>
      <c r="N445" s="33" t="n"/>
      <c r="O445" s="33">
        <f>P445+Q445</f>
        <v/>
      </c>
      <c r="P445" s="33" t="n"/>
      <c r="Q445" s="33" t="n"/>
      <c r="R445" s="33">
        <f>H445+K445-O445</f>
        <v/>
      </c>
      <c r="S445" s="33" t="n"/>
      <c r="T445" s="33" t="n"/>
      <c r="U445" s="33" t="n"/>
      <c r="V445" s="33" t="n"/>
      <c r="W445" s="33" t="n"/>
      <c r="X445" s="33" t="n"/>
      <c r="Y445" s="33" t="n"/>
      <c r="Z445" s="33" t="n"/>
      <c r="AA445" s="4">
        <f>R445-G445</f>
        <v/>
      </c>
      <c r="AB445" s="4">
        <f>G445-R445</f>
        <v/>
      </c>
      <c r="AC445" s="33" t="n"/>
    </row>
    <row r="446" ht="18.75" customHeight="1">
      <c r="A446" s="35">
        <f>SUBTOTAL(103,$B$24:B446)</f>
        <v/>
      </c>
      <c r="B446" s="36" t="inlineStr">
        <is>
          <t>Веселка</t>
        </is>
      </c>
      <c r="C446" s="37" t="inlineStr">
        <is>
          <t>шт.</t>
        </is>
      </c>
      <c r="D446" s="33" t="n"/>
      <c r="E446" s="33" t="n"/>
      <c r="F446" s="33">
        <f>E446*0.05</f>
        <v/>
      </c>
      <c r="G446" s="33">
        <f>E446+F446</f>
        <v/>
      </c>
      <c r="H446" s="33" t="n"/>
      <c r="I446" s="33" t="n"/>
      <c r="J446" s="33" t="n"/>
      <c r="K446" s="33">
        <f>L446+M446+N446</f>
        <v/>
      </c>
      <c r="L446" s="33" t="n"/>
      <c r="M446" s="33" t="n"/>
      <c r="N446" s="33" t="n"/>
      <c r="O446" s="33">
        <f>P446+Q446</f>
        <v/>
      </c>
      <c r="P446" s="33" t="n"/>
      <c r="Q446" s="33" t="n"/>
      <c r="R446" s="33">
        <f>H446+K446-O446</f>
        <v/>
      </c>
      <c r="S446" s="33" t="n"/>
      <c r="T446" s="33" t="n"/>
      <c r="U446" s="33" t="n"/>
      <c r="V446" s="33" t="n"/>
      <c r="W446" s="33" t="n"/>
      <c r="X446" s="33" t="n"/>
      <c r="Y446" s="33" t="n"/>
      <c r="Z446" s="33" t="n"/>
      <c r="AA446" s="4">
        <f>R446-G446</f>
        <v/>
      </c>
      <c r="AB446" s="4">
        <f>G446-R446</f>
        <v/>
      </c>
      <c r="AC446" s="33" t="n"/>
    </row>
    <row r="447" ht="18.75" customHeight="1">
      <c r="A447" s="35">
        <f>SUBTOTAL(103,$B$24:B447)</f>
        <v/>
      </c>
      <c r="B447" s="36" t="inlineStr">
        <is>
          <t>Вінчик</t>
        </is>
      </c>
      <c r="C447" s="37" t="inlineStr">
        <is>
          <t>шт.</t>
        </is>
      </c>
      <c r="D447" s="33" t="n"/>
      <c r="E447" s="33" t="n"/>
      <c r="F447" s="33">
        <f>E447*0.05</f>
        <v/>
      </c>
      <c r="G447" s="33">
        <f>E447+F447</f>
        <v/>
      </c>
      <c r="H447" s="33" t="n"/>
      <c r="I447" s="33" t="n"/>
      <c r="J447" s="33" t="n"/>
      <c r="K447" s="33">
        <f>L447+M447+N447</f>
        <v/>
      </c>
      <c r="L447" s="33" t="n"/>
      <c r="M447" s="33" t="n"/>
      <c r="N447" s="33" t="n"/>
      <c r="O447" s="33">
        <f>P447+Q447</f>
        <v/>
      </c>
      <c r="P447" s="33" t="n"/>
      <c r="Q447" s="33" t="n"/>
      <c r="R447" s="33">
        <f>H447+K447-O447</f>
        <v/>
      </c>
      <c r="S447" s="33" t="n"/>
      <c r="T447" s="33" t="n"/>
      <c r="U447" s="33" t="n"/>
      <c r="V447" s="33" t="n"/>
      <c r="W447" s="33" t="n"/>
      <c r="X447" s="33" t="n"/>
      <c r="Y447" s="33" t="n"/>
      <c r="Z447" s="33" t="n"/>
      <c r="AA447" s="4">
        <f>R447-G447</f>
        <v/>
      </c>
      <c r="AB447" s="4">
        <f>G447-R447</f>
        <v/>
      </c>
      <c r="AC447" s="33" t="n"/>
    </row>
    <row r="448" ht="18.75" customHeight="1">
      <c r="A448" s="35">
        <f>SUBTOTAL(103,$B$24:B448)</f>
        <v/>
      </c>
      <c r="B448" s="36" t="inlineStr">
        <is>
          <t>Сито</t>
        </is>
      </c>
      <c r="C448" s="37" t="inlineStr">
        <is>
          <t>шт.</t>
        </is>
      </c>
      <c r="D448" s="33" t="n"/>
      <c r="E448" s="33" t="n"/>
      <c r="F448" s="33">
        <f>E448*0.05</f>
        <v/>
      </c>
      <c r="G448" s="33">
        <f>E448+F448</f>
        <v/>
      </c>
      <c r="H448" s="33" t="n"/>
      <c r="I448" s="33" t="n"/>
      <c r="J448" s="33" t="n"/>
      <c r="K448" s="33">
        <f>L448+M448+N448</f>
        <v/>
      </c>
      <c r="L448" s="33" t="n"/>
      <c r="M448" s="33" t="n"/>
      <c r="N448" s="33" t="n"/>
      <c r="O448" s="33">
        <f>P448+Q448</f>
        <v/>
      </c>
      <c r="P448" s="33" t="n"/>
      <c r="Q448" s="33" t="n"/>
      <c r="R448" s="33">
        <f>H448+K448-O448</f>
        <v/>
      </c>
      <c r="S448" s="33" t="n"/>
      <c r="T448" s="33" t="n"/>
      <c r="U448" s="33" t="n"/>
      <c r="V448" s="33" t="n"/>
      <c r="W448" s="33" t="n"/>
      <c r="X448" s="33" t="n"/>
      <c r="Y448" s="33" t="n"/>
      <c r="Z448" s="33" t="n"/>
      <c r="AA448" s="4">
        <f>R448-G448</f>
        <v/>
      </c>
      <c r="AB448" s="4">
        <f>G448-R448</f>
        <v/>
      </c>
      <c r="AC448" s="33" t="n"/>
    </row>
    <row r="449" ht="18.75" customHeight="1">
      <c r="A449" s="35">
        <f>SUBTOTAL(103,$B$24:B449)</f>
        <v/>
      </c>
      <c r="B449" s="36" t="inlineStr">
        <is>
          <t>Бідони емальовані 3 л.</t>
        </is>
      </c>
      <c r="C449" s="37" t="inlineStr">
        <is>
          <t>шт.</t>
        </is>
      </c>
      <c r="D449" s="33" t="n"/>
      <c r="E449" s="33" t="n"/>
      <c r="F449" s="33">
        <f>E449*0.05</f>
        <v/>
      </c>
      <c r="G449" s="33">
        <f>E449+F449</f>
        <v/>
      </c>
      <c r="H449" s="33" t="n"/>
      <c r="I449" s="33" t="n"/>
      <c r="J449" s="33" t="n"/>
      <c r="K449" s="33">
        <f>L449+M449+N449</f>
        <v/>
      </c>
      <c r="L449" s="33" t="n"/>
      <c r="M449" s="33" t="n"/>
      <c r="N449" s="33" t="n"/>
      <c r="O449" s="33">
        <f>P449+Q449</f>
        <v/>
      </c>
      <c r="P449" s="33" t="n"/>
      <c r="Q449" s="33" t="n"/>
      <c r="R449" s="33">
        <f>H449+K449-O449</f>
        <v/>
      </c>
      <c r="S449" s="33" t="n"/>
      <c r="T449" s="33" t="n"/>
      <c r="U449" s="33" t="n"/>
      <c r="V449" s="33" t="n"/>
      <c r="W449" s="33" t="n"/>
      <c r="X449" s="33" t="n"/>
      <c r="Y449" s="33" t="n"/>
      <c r="Z449" s="33" t="n"/>
      <c r="AA449" s="4">
        <f>R449-G449</f>
        <v/>
      </c>
      <c r="AB449" s="4">
        <f>G449-R449</f>
        <v/>
      </c>
      <c r="AC449" s="33" t="n"/>
    </row>
    <row r="450" ht="18.75" customHeight="1">
      <c r="A450" s="35">
        <f>SUBTOTAL(103,$B$24:B450)</f>
        <v/>
      </c>
      <c r="B450" s="36" t="inlineStr">
        <is>
          <t>Бідон для масла</t>
        </is>
      </c>
      <c r="C450" s="37" t="inlineStr">
        <is>
          <t>шт.</t>
        </is>
      </c>
      <c r="D450" s="33" t="n"/>
      <c r="E450" s="33" t="n"/>
      <c r="F450" s="33">
        <f>E450*0.05</f>
        <v/>
      </c>
      <c r="G450" s="33">
        <f>E450+F450</f>
        <v/>
      </c>
      <c r="H450" s="33" t="n"/>
      <c r="I450" s="33" t="n"/>
      <c r="J450" s="33" t="n"/>
      <c r="K450" s="33">
        <f>L450+M450+N450</f>
        <v/>
      </c>
      <c r="L450" s="33" t="n"/>
      <c r="M450" s="33" t="n"/>
      <c r="N450" s="33" t="n"/>
      <c r="O450" s="33">
        <f>P450+Q450</f>
        <v/>
      </c>
      <c r="P450" s="33" t="n"/>
      <c r="Q450" s="33" t="n"/>
      <c r="R450" s="33">
        <f>H450+K450-O450</f>
        <v/>
      </c>
      <c r="S450" s="33" t="n"/>
      <c r="T450" s="33" t="n"/>
      <c r="U450" s="33" t="n"/>
      <c r="V450" s="33" t="n"/>
      <c r="W450" s="33" t="n"/>
      <c r="X450" s="33" t="n"/>
      <c r="Y450" s="33" t="n"/>
      <c r="Z450" s="33" t="n"/>
      <c r="AA450" s="4">
        <f>R450-G450</f>
        <v/>
      </c>
      <c r="AB450" s="4">
        <f>G450-R450</f>
        <v/>
      </c>
      <c r="AC450" s="33" t="n"/>
    </row>
    <row r="451" ht="18.75" customHeight="1">
      <c r="A451" s="35">
        <f>SUBTOTAL(103,$B$24:B451)</f>
        <v/>
      </c>
      <c r="B451" s="36" t="inlineStr">
        <is>
          <t>Бідон для олії 10-20 л</t>
        </is>
      </c>
      <c r="C451" s="37" t="inlineStr">
        <is>
          <t>шт.</t>
        </is>
      </c>
      <c r="D451" s="33" t="n"/>
      <c r="E451" s="33" t="n"/>
      <c r="F451" s="33">
        <f>E451*0.05</f>
        <v/>
      </c>
      <c r="G451" s="33">
        <f>E451+F451</f>
        <v/>
      </c>
      <c r="H451" s="33" t="n"/>
      <c r="I451" s="33" t="n"/>
      <c r="J451" s="33" t="n"/>
      <c r="K451" s="33">
        <f>L451+M451+N451</f>
        <v/>
      </c>
      <c r="L451" s="33" t="n"/>
      <c r="M451" s="33" t="n"/>
      <c r="N451" s="33" t="n"/>
      <c r="O451" s="33">
        <f>P451+Q451</f>
        <v/>
      </c>
      <c r="P451" s="33" t="n"/>
      <c r="Q451" s="33" t="n"/>
      <c r="R451" s="33">
        <f>H451+K451-O451</f>
        <v/>
      </c>
      <c r="S451" s="33" t="n"/>
      <c r="T451" s="33" t="n"/>
      <c r="U451" s="33" t="n"/>
      <c r="V451" s="33" t="n"/>
      <c r="W451" s="33" t="n"/>
      <c r="X451" s="33" t="n"/>
      <c r="Y451" s="33" t="n"/>
      <c r="Z451" s="33" t="n"/>
      <c r="AA451" s="4">
        <f>R451-G451</f>
        <v/>
      </c>
      <c r="AB451" s="4">
        <f>G451-R451</f>
        <v/>
      </c>
      <c r="AC451" s="33" t="n"/>
    </row>
    <row r="452" ht="18.75" customHeight="1">
      <c r="A452" s="35">
        <f>SUBTOTAL(103,$B$24:B452)</f>
        <v/>
      </c>
      <c r="B452" s="36" t="inlineStr">
        <is>
          <t>Бідони для води 20 л</t>
        </is>
      </c>
      <c r="C452" s="37" t="inlineStr">
        <is>
          <t>шт.</t>
        </is>
      </c>
      <c r="D452" s="33" t="n"/>
      <c r="E452" s="33" t="n"/>
      <c r="F452" s="33">
        <f>E452*0.05</f>
        <v/>
      </c>
      <c r="G452" s="33">
        <f>E452+F452</f>
        <v/>
      </c>
      <c r="H452" s="33" t="n"/>
      <c r="I452" s="33" t="n"/>
      <c r="J452" s="33" t="n"/>
      <c r="K452" s="33">
        <f>L452+M452+N452</f>
        <v/>
      </c>
      <c r="L452" s="33" t="n"/>
      <c r="M452" s="33" t="n"/>
      <c r="N452" s="33" t="n"/>
      <c r="O452" s="33">
        <f>P452+Q452</f>
        <v/>
      </c>
      <c r="P452" s="33" t="n"/>
      <c r="Q452" s="33" t="n"/>
      <c r="R452" s="33">
        <f>H452+K452-O452</f>
        <v/>
      </c>
      <c r="S452" s="33" t="n"/>
      <c r="T452" s="33" t="n"/>
      <c r="U452" s="33" t="n"/>
      <c r="V452" s="33" t="n"/>
      <c r="W452" s="33" t="n"/>
      <c r="X452" s="33" t="n"/>
      <c r="Y452" s="33" t="n"/>
      <c r="Z452" s="33" t="n"/>
      <c r="AA452" s="4">
        <f>R452-G452</f>
        <v/>
      </c>
      <c r="AB452" s="4">
        <f>G452-R452</f>
        <v/>
      </c>
      <c r="AC452" s="33" t="n"/>
    </row>
    <row r="453" ht="18.75" customHeight="1">
      <c r="A453" s="35">
        <f>SUBTOTAL(103,$B$24:B453)</f>
        <v/>
      </c>
      <c r="B453" s="36" t="inlineStr">
        <is>
          <t>Бідон з ручками 40 л.</t>
        </is>
      </c>
      <c r="C453" s="37" t="inlineStr">
        <is>
          <t>шт.</t>
        </is>
      </c>
      <c r="D453" s="33" t="n"/>
      <c r="E453" s="33" t="n"/>
      <c r="F453" s="33">
        <f>E453*0.05</f>
        <v/>
      </c>
      <c r="G453" s="33">
        <f>E453+F453</f>
        <v/>
      </c>
      <c r="H453" s="33" t="n"/>
      <c r="I453" s="33" t="n"/>
      <c r="J453" s="33" t="n"/>
      <c r="K453" s="33">
        <f>L453+M453+N453</f>
        <v/>
      </c>
      <c r="L453" s="33" t="n"/>
      <c r="M453" s="33" t="n"/>
      <c r="N453" s="33" t="n"/>
      <c r="O453" s="33">
        <f>P453+Q453</f>
        <v/>
      </c>
      <c r="P453" s="33" t="n"/>
      <c r="Q453" s="33" t="n"/>
      <c r="R453" s="33">
        <f>H453+K453-O453</f>
        <v/>
      </c>
      <c r="S453" s="33" t="n"/>
      <c r="T453" s="33" t="n"/>
      <c r="U453" s="33" t="n"/>
      <c r="V453" s="33" t="n"/>
      <c r="W453" s="33" t="n"/>
      <c r="X453" s="33" t="n"/>
      <c r="Y453" s="33" t="n"/>
      <c r="Z453" s="33" t="n"/>
      <c r="AA453" s="4">
        <f>R453-G453</f>
        <v/>
      </c>
      <c r="AB453" s="4">
        <f>G453-R453</f>
        <v/>
      </c>
      <c r="AC453" s="33" t="n"/>
    </row>
    <row r="454" ht="18.75" customHeight="1">
      <c r="A454" s="35">
        <f>SUBTOTAL(103,$B$24:B454)</f>
        <v/>
      </c>
      <c r="B454" s="36" t="inlineStr">
        <is>
          <t>Бідон 40 л.</t>
        </is>
      </c>
      <c r="C454" s="37" t="inlineStr">
        <is>
          <t>шт.</t>
        </is>
      </c>
      <c r="D454" s="33" t="n"/>
      <c r="E454" s="33" t="n"/>
      <c r="F454" s="33">
        <f>E454*0.05</f>
        <v/>
      </c>
      <c r="G454" s="33">
        <f>E454+F454</f>
        <v/>
      </c>
      <c r="H454" s="33" t="n"/>
      <c r="I454" s="33" t="n"/>
      <c r="J454" s="33" t="n"/>
      <c r="K454" s="33">
        <f>L454+M454+N454</f>
        <v/>
      </c>
      <c r="L454" s="33" t="n"/>
      <c r="M454" s="33" t="n"/>
      <c r="N454" s="33" t="n"/>
      <c r="O454" s="33">
        <f>P454+Q454</f>
        <v/>
      </c>
      <c r="P454" s="33" t="n"/>
      <c r="Q454" s="33" t="n"/>
      <c r="R454" s="33">
        <f>H454+K454-O454</f>
        <v/>
      </c>
      <c r="S454" s="33" t="n"/>
      <c r="T454" s="33" t="n"/>
      <c r="U454" s="33" t="n"/>
      <c r="V454" s="33" t="n"/>
      <c r="W454" s="33" t="n"/>
      <c r="X454" s="33" t="n"/>
      <c r="Y454" s="33" t="n"/>
      <c r="Z454" s="33" t="n"/>
      <c r="AA454" s="4">
        <f>R454-G454</f>
        <v/>
      </c>
      <c r="AB454" s="4">
        <f>G454-R454</f>
        <v/>
      </c>
      <c r="AC454" s="33" t="n"/>
    </row>
    <row r="455" ht="18.75" customHeight="1">
      <c r="A455" s="35">
        <f>SUBTOTAL(103,$B$24:B455)</f>
        <v/>
      </c>
      <c r="B455" s="36" t="inlineStr">
        <is>
          <t>Бідон 50 л.</t>
        </is>
      </c>
      <c r="C455" s="37" t="inlineStr">
        <is>
          <t>шт.</t>
        </is>
      </c>
      <c r="D455" s="33" t="n"/>
      <c r="E455" s="33" t="n"/>
      <c r="F455" s="33">
        <f>E455*0.05</f>
        <v/>
      </c>
      <c r="G455" s="33">
        <f>E455+F455</f>
        <v/>
      </c>
      <c r="H455" s="33" t="n"/>
      <c r="I455" s="33" t="n"/>
      <c r="J455" s="33" t="n"/>
      <c r="K455" s="33">
        <f>L455+M455+N455</f>
        <v/>
      </c>
      <c r="L455" s="33" t="n"/>
      <c r="M455" s="33" t="n"/>
      <c r="N455" s="33" t="n"/>
      <c r="O455" s="33">
        <f>P455+Q455</f>
        <v/>
      </c>
      <c r="P455" s="33" t="n"/>
      <c r="Q455" s="33" t="n"/>
      <c r="R455" s="33">
        <f>H455+K455-O455</f>
        <v/>
      </c>
      <c r="S455" s="33" t="n"/>
      <c r="T455" s="33" t="n"/>
      <c r="U455" s="33" t="n"/>
      <c r="V455" s="33" t="n"/>
      <c r="W455" s="33" t="n"/>
      <c r="X455" s="33" t="n"/>
      <c r="Y455" s="33" t="n"/>
      <c r="Z455" s="33" t="n"/>
      <c r="AA455" s="4">
        <f>R455-G455</f>
        <v/>
      </c>
      <c r="AB455" s="4">
        <f>G455-R455</f>
        <v/>
      </c>
      <c r="AC455" s="33" t="n"/>
    </row>
    <row r="456" ht="18.75" customHeight="1">
      <c r="A456" s="35">
        <f>SUBTOTAL(103,$B$24:B456)</f>
        <v/>
      </c>
      <c r="B456" s="36" t="inlineStr">
        <is>
          <t>Каністра 20 л</t>
        </is>
      </c>
      <c r="C456" s="37" t="inlineStr">
        <is>
          <t>шт.</t>
        </is>
      </c>
      <c r="D456" s="33" t="n"/>
      <c r="E456" s="33" t="n"/>
      <c r="F456" s="33">
        <f>E456*0.05</f>
        <v/>
      </c>
      <c r="G456" s="33">
        <f>E456+F456</f>
        <v/>
      </c>
      <c r="H456" s="33" t="n"/>
      <c r="I456" s="33" t="n"/>
      <c r="J456" s="33" t="n"/>
      <c r="K456" s="33">
        <f>L456+M456+N456</f>
        <v/>
      </c>
      <c r="L456" s="33" t="n"/>
      <c r="M456" s="33" t="n"/>
      <c r="N456" s="33" t="n"/>
      <c r="O456" s="33">
        <f>P456+Q456</f>
        <v/>
      </c>
      <c r="P456" s="33" t="n"/>
      <c r="Q456" s="33" t="n"/>
      <c r="R456" s="33">
        <f>H456+K456-O456</f>
        <v/>
      </c>
      <c r="S456" s="33" t="n"/>
      <c r="T456" s="33" t="n"/>
      <c r="U456" s="33" t="n"/>
      <c r="V456" s="33" t="n"/>
      <c r="W456" s="33" t="n"/>
      <c r="X456" s="33" t="n"/>
      <c r="Y456" s="33" t="n"/>
      <c r="Z456" s="33" t="n"/>
      <c r="AA456" s="4">
        <f>R456-G456</f>
        <v/>
      </c>
      <c r="AB456" s="4">
        <f>G456-R456</f>
        <v/>
      </c>
      <c r="AC456" s="33" t="n"/>
    </row>
    <row r="457" ht="18.75" customHeight="1">
      <c r="A457" s="35">
        <f>SUBTOTAL(103,$B$24:B457)</f>
        <v/>
      </c>
      <c r="B457" s="36" t="inlineStr">
        <is>
          <t>Каністра 15 л</t>
        </is>
      </c>
      <c r="C457" s="37" t="inlineStr">
        <is>
          <t>шт.</t>
        </is>
      </c>
      <c r="D457" s="33" t="n"/>
      <c r="E457" s="33" t="n"/>
      <c r="F457" s="33">
        <f>E457*0.05</f>
        <v/>
      </c>
      <c r="G457" s="33">
        <f>E457+F457</f>
        <v/>
      </c>
      <c r="H457" s="33" t="n"/>
      <c r="I457" s="33" t="n"/>
      <c r="J457" s="33" t="n"/>
      <c r="K457" s="33">
        <f>L457+M457+N457</f>
        <v/>
      </c>
      <c r="L457" s="33" t="n"/>
      <c r="M457" s="33" t="n"/>
      <c r="N457" s="33" t="n"/>
      <c r="O457" s="33">
        <f>P457+Q457</f>
        <v/>
      </c>
      <c r="P457" s="33" t="n"/>
      <c r="Q457" s="33" t="n"/>
      <c r="R457" s="33">
        <f>H457+K457-O457</f>
        <v/>
      </c>
      <c r="S457" s="33" t="n"/>
      <c r="T457" s="33" t="n"/>
      <c r="U457" s="33" t="n"/>
      <c r="V457" s="33" t="n"/>
      <c r="W457" s="33" t="n"/>
      <c r="X457" s="33" t="n"/>
      <c r="Y457" s="33" t="n"/>
      <c r="Z457" s="33" t="n"/>
      <c r="AA457" s="4">
        <f>R457-G457</f>
        <v/>
      </c>
      <c r="AB457" s="4">
        <f>G457-R457</f>
        <v/>
      </c>
      <c r="AC457" s="33" t="n"/>
    </row>
    <row r="458" ht="18.75" customHeight="1">
      <c r="A458" s="35">
        <f>SUBTOTAL(103,$B$24:B458)</f>
        <v/>
      </c>
      <c r="B458" s="36" t="inlineStr">
        <is>
          <t>Каністра 10 л</t>
        </is>
      </c>
      <c r="C458" s="37" t="inlineStr">
        <is>
          <t>шт.</t>
        </is>
      </c>
      <c r="D458" s="33" t="n"/>
      <c r="E458" s="33" t="n"/>
      <c r="F458" s="33">
        <f>E458*0.05</f>
        <v/>
      </c>
      <c r="G458" s="33">
        <f>E458+F458</f>
        <v/>
      </c>
      <c r="H458" s="33" t="n"/>
      <c r="I458" s="33" t="n"/>
      <c r="J458" s="33" t="n"/>
      <c r="K458" s="33">
        <f>L458+M458+N458</f>
        <v/>
      </c>
      <c r="L458" s="33" t="n"/>
      <c r="M458" s="33" t="n"/>
      <c r="N458" s="33" t="n"/>
      <c r="O458" s="33">
        <f>P458+Q458</f>
        <v/>
      </c>
      <c r="P458" s="33" t="n"/>
      <c r="Q458" s="33" t="n"/>
      <c r="R458" s="33">
        <f>H458+K458-O458</f>
        <v/>
      </c>
      <c r="S458" s="33" t="n"/>
      <c r="T458" s="33" t="n"/>
      <c r="U458" s="33" t="n"/>
      <c r="V458" s="33" t="n"/>
      <c r="W458" s="33" t="n"/>
      <c r="X458" s="33" t="n"/>
      <c r="Y458" s="33" t="n"/>
      <c r="Z458" s="33" t="n"/>
      <c r="AA458" s="4">
        <f>R458-G458</f>
        <v/>
      </c>
      <c r="AB458" s="4">
        <f>G458-R458</f>
        <v/>
      </c>
      <c r="AC458" s="33" t="n"/>
    </row>
    <row r="459" ht="18.75" customHeight="1">
      <c r="A459" s="35">
        <f>SUBTOTAL(103,$B$24:B459)</f>
        <v/>
      </c>
      <c r="B459" s="36" t="inlineStr">
        <is>
          <t>Каністра 5 л</t>
        </is>
      </c>
      <c r="C459" s="37" t="inlineStr">
        <is>
          <t>шт.</t>
        </is>
      </c>
      <c r="D459" s="33" t="n"/>
      <c r="E459" s="33" t="n"/>
      <c r="F459" s="33">
        <f>E459*0.05</f>
        <v/>
      </c>
      <c r="G459" s="33">
        <f>E459+F459</f>
        <v/>
      </c>
      <c r="H459" s="33" t="n"/>
      <c r="I459" s="33" t="n"/>
      <c r="J459" s="33" t="n"/>
      <c r="K459" s="33">
        <f>L459+M459+N459</f>
        <v/>
      </c>
      <c r="L459" s="33" t="n"/>
      <c r="M459" s="33" t="n"/>
      <c r="N459" s="33" t="n"/>
      <c r="O459" s="33">
        <f>P459+Q459</f>
        <v/>
      </c>
      <c r="P459" s="33" t="n"/>
      <c r="Q459" s="33" t="n"/>
      <c r="R459" s="33">
        <f>H459+K459-O459</f>
        <v/>
      </c>
      <c r="S459" s="33" t="n"/>
      <c r="T459" s="33" t="n"/>
      <c r="U459" s="33" t="n"/>
      <c r="V459" s="33" t="n"/>
      <c r="W459" s="33" t="n"/>
      <c r="X459" s="33" t="n"/>
      <c r="Y459" s="33" t="n"/>
      <c r="Z459" s="33" t="n"/>
      <c r="AA459" s="4">
        <f>R459-G459</f>
        <v/>
      </c>
      <c r="AB459" s="4">
        <f>G459-R459</f>
        <v/>
      </c>
      <c r="AC459" s="33" t="n"/>
    </row>
    <row r="460" ht="18.75" customHeight="1">
      <c r="A460" s="35">
        <f>SUBTOTAL(103,$B$24:B460)</f>
        <v/>
      </c>
      <c r="B460" s="36" t="inlineStr">
        <is>
          <t xml:space="preserve">Щіпці кондитерські </t>
        </is>
      </c>
      <c r="C460" s="37" t="inlineStr">
        <is>
          <t>шт.</t>
        </is>
      </c>
      <c r="D460" s="33" t="n"/>
      <c r="E460" s="33" t="n"/>
      <c r="F460" s="33">
        <f>E460*0.05</f>
        <v/>
      </c>
      <c r="G460" s="33">
        <f>E460+F460</f>
        <v/>
      </c>
      <c r="H460" s="33" t="n"/>
      <c r="I460" s="33" t="n"/>
      <c r="J460" s="33" t="n"/>
      <c r="K460" s="33">
        <f>L460+M460+N460</f>
        <v/>
      </c>
      <c r="L460" s="33" t="n"/>
      <c r="M460" s="33" t="n"/>
      <c r="N460" s="33" t="n"/>
      <c r="O460" s="33">
        <f>P460+Q460</f>
        <v/>
      </c>
      <c r="P460" s="33" t="n"/>
      <c r="Q460" s="33" t="n"/>
      <c r="R460" s="33">
        <f>H460+K460-O460</f>
        <v/>
      </c>
      <c r="S460" s="33" t="n"/>
      <c r="T460" s="33" t="n"/>
      <c r="U460" s="33" t="n"/>
      <c r="V460" s="33" t="n"/>
      <c r="W460" s="33" t="n"/>
      <c r="X460" s="33" t="n"/>
      <c r="Y460" s="33" t="n"/>
      <c r="Z460" s="33" t="n"/>
      <c r="AA460" s="4">
        <f>R460-G460</f>
        <v/>
      </c>
      <c r="AB460" s="4">
        <f>G460-R460</f>
        <v/>
      </c>
      <c r="AC460" s="33" t="n"/>
    </row>
    <row r="461" ht="18.75" customHeight="1">
      <c r="A461" s="35">
        <f>SUBTOTAL(103,$B$24:B461)</f>
        <v/>
      </c>
      <c r="B461" s="36" t="inlineStr">
        <is>
          <t>Щипці універсальні</t>
        </is>
      </c>
      <c r="C461" s="37" t="inlineStr">
        <is>
          <t>шт.</t>
        </is>
      </c>
      <c r="D461" s="33" t="n"/>
      <c r="E461" s="33" t="n"/>
      <c r="F461" s="33">
        <f>E461*0.05</f>
        <v/>
      </c>
      <c r="G461" s="33">
        <f>E461+F461</f>
        <v/>
      </c>
      <c r="H461" s="33" t="n"/>
      <c r="I461" s="33" t="n"/>
      <c r="J461" s="33" t="n"/>
      <c r="K461" s="33">
        <f>L461+M461+N461</f>
        <v/>
      </c>
      <c r="L461" s="33" t="n"/>
      <c r="M461" s="33" t="n"/>
      <c r="N461" s="33" t="n"/>
      <c r="O461" s="33">
        <f>P461+Q461</f>
        <v/>
      </c>
      <c r="P461" s="33" t="n"/>
      <c r="Q461" s="33" t="n"/>
      <c r="R461" s="33">
        <f>H461+K461-O461</f>
        <v/>
      </c>
      <c r="S461" s="33" t="n"/>
      <c r="T461" s="33" t="n"/>
      <c r="U461" s="33" t="n"/>
      <c r="V461" s="33" t="n"/>
      <c r="W461" s="33" t="n"/>
      <c r="X461" s="33" t="n"/>
      <c r="Y461" s="33" t="n"/>
      <c r="Z461" s="33" t="n"/>
      <c r="AA461" s="4">
        <f>R461-G461</f>
        <v/>
      </c>
      <c r="AB461" s="4">
        <f>G461-R461</f>
        <v/>
      </c>
      <c r="AC461" s="33" t="n"/>
    </row>
    <row r="462" ht="18.75" customHeight="1">
      <c r="A462" s="35">
        <f>SUBTOTAL(103,$B$24:B462)</f>
        <v/>
      </c>
      <c r="B462" s="43" t="inlineStr">
        <is>
          <t>Щіпці для колки цукру</t>
        </is>
      </c>
      <c r="C462" s="37" t="inlineStr">
        <is>
          <t>шт.</t>
        </is>
      </c>
      <c r="D462" s="33" t="n"/>
      <c r="E462" s="33" t="n"/>
      <c r="F462" s="33">
        <f>E462*0.05</f>
        <v/>
      </c>
      <c r="G462" s="33">
        <f>E462+F462</f>
        <v/>
      </c>
      <c r="H462" s="33" t="n"/>
      <c r="I462" s="33" t="n"/>
      <c r="J462" s="33" t="n"/>
      <c r="K462" s="33">
        <f>L462+M462+N462</f>
        <v/>
      </c>
      <c r="L462" s="33" t="n"/>
      <c r="M462" s="33" t="n"/>
      <c r="N462" s="33" t="n"/>
      <c r="O462" s="33">
        <f>P462+Q462</f>
        <v/>
      </c>
      <c r="P462" s="33" t="n"/>
      <c r="Q462" s="33" t="n"/>
      <c r="R462" s="33">
        <f>H462+K462-O462</f>
        <v/>
      </c>
      <c r="S462" s="33" t="n"/>
      <c r="T462" s="33" t="n"/>
      <c r="U462" s="33" t="n"/>
      <c r="V462" s="33" t="n"/>
      <c r="W462" s="33" t="n"/>
      <c r="X462" s="33" t="n"/>
      <c r="Y462" s="33" t="n"/>
      <c r="Z462" s="33" t="n"/>
      <c r="AA462" s="4">
        <f>R462-G462</f>
        <v/>
      </c>
      <c r="AB462" s="4">
        <f>G462-R462</f>
        <v/>
      </c>
      <c r="AC462" s="33" t="n"/>
    </row>
    <row r="463" ht="18.75" customHeight="1">
      <c r="A463" s="35">
        <f>SUBTOTAL(103,$B$24:B463)</f>
        <v/>
      </c>
      <c r="B463" s="36" t="inlineStr">
        <is>
          <t>Ступка з пестиком</t>
        </is>
      </c>
      <c r="C463" s="37" t="inlineStr">
        <is>
          <t>шт.</t>
        </is>
      </c>
      <c r="D463" s="33" t="n"/>
      <c r="E463" s="33" t="n"/>
      <c r="F463" s="33">
        <f>E463*0.05</f>
        <v/>
      </c>
      <c r="G463" s="33">
        <f>E463+F463</f>
        <v/>
      </c>
      <c r="H463" s="33" t="n"/>
      <c r="I463" s="33" t="n"/>
      <c r="J463" s="33" t="n"/>
      <c r="K463" s="33">
        <f>L463+M463+N463</f>
        <v/>
      </c>
      <c r="L463" s="33" t="n"/>
      <c r="M463" s="33" t="n"/>
      <c r="N463" s="33" t="n"/>
      <c r="O463" s="33">
        <f>P463+Q463</f>
        <v/>
      </c>
      <c r="P463" s="33" t="n"/>
      <c r="Q463" s="33" t="n"/>
      <c r="R463" s="33">
        <f>H463+K463-O463</f>
        <v/>
      </c>
      <c r="S463" s="33" t="n"/>
      <c r="T463" s="33" t="n"/>
      <c r="U463" s="33" t="n"/>
      <c r="V463" s="33" t="n"/>
      <c r="W463" s="33" t="n"/>
      <c r="X463" s="33" t="n"/>
      <c r="Y463" s="33" t="n"/>
      <c r="Z463" s="33" t="n"/>
      <c r="AA463" s="4">
        <f>R463-G463</f>
        <v/>
      </c>
      <c r="AB463" s="4">
        <f>G463-R463</f>
        <v/>
      </c>
      <c r="AC463" s="33" t="n"/>
    </row>
    <row r="464" ht="18.75" customHeight="1">
      <c r="A464" s="35">
        <f>SUBTOTAL(103,$B$24:B464)</f>
        <v/>
      </c>
      <c r="B464" s="36" t="inlineStr">
        <is>
          <t xml:space="preserve">Банкотримач </t>
        </is>
      </c>
      <c r="C464" s="37" t="inlineStr">
        <is>
          <t>шт.</t>
        </is>
      </c>
      <c r="D464" s="33" t="n"/>
      <c r="E464" s="33" t="n"/>
      <c r="F464" s="33">
        <f>E464*0.05</f>
        <v/>
      </c>
      <c r="G464" s="33">
        <f>E464+F464</f>
        <v/>
      </c>
      <c r="H464" s="33" t="n"/>
      <c r="I464" s="33" t="n"/>
      <c r="J464" s="33" t="n"/>
      <c r="K464" s="33">
        <f>L464+M464+N464</f>
        <v/>
      </c>
      <c r="L464" s="33" t="n"/>
      <c r="M464" s="33" t="n"/>
      <c r="N464" s="33" t="n"/>
      <c r="O464" s="33">
        <f>P464+Q464</f>
        <v/>
      </c>
      <c r="P464" s="33" t="n"/>
      <c r="Q464" s="33" t="n"/>
      <c r="R464" s="33">
        <f>H464+K464-O464</f>
        <v/>
      </c>
      <c r="S464" s="33" t="n"/>
      <c r="T464" s="33" t="n"/>
      <c r="U464" s="33" t="n"/>
      <c r="V464" s="33" t="n"/>
      <c r="W464" s="33" t="n"/>
      <c r="X464" s="33" t="n"/>
      <c r="Y464" s="33" t="n"/>
      <c r="Z464" s="33" t="n"/>
      <c r="AA464" s="4">
        <f>R464-G464</f>
        <v/>
      </c>
      <c r="AB464" s="4">
        <f>G464-R464</f>
        <v/>
      </c>
      <c r="AC464" s="33" t="n"/>
    </row>
    <row r="465" ht="18.75" customHeight="1">
      <c r="A465" s="35">
        <f>SUBTOTAL(103,$B$24:B465)</f>
        <v/>
      </c>
      <c r="B465" s="36" t="inlineStr">
        <is>
          <t xml:space="preserve">Банковідкривач </t>
        </is>
      </c>
      <c r="C465" s="37" t="inlineStr">
        <is>
          <t>шт.</t>
        </is>
      </c>
      <c r="D465" s="33" t="n"/>
      <c r="E465" s="33" t="n"/>
      <c r="F465" s="33">
        <f>E465*0.05</f>
        <v/>
      </c>
      <c r="G465" s="33">
        <f>E465+F465</f>
        <v/>
      </c>
      <c r="H465" s="33" t="n"/>
      <c r="I465" s="33" t="n"/>
      <c r="J465" s="33" t="n"/>
      <c r="K465" s="33">
        <f>L465+M465+N465</f>
        <v/>
      </c>
      <c r="L465" s="33" t="n"/>
      <c r="M465" s="33" t="n"/>
      <c r="N465" s="33" t="n"/>
      <c r="O465" s="33">
        <f>P465+Q465</f>
        <v/>
      </c>
      <c r="P465" s="33" t="n"/>
      <c r="Q465" s="33" t="n"/>
      <c r="R465" s="33">
        <f>H465+K465-O465</f>
        <v/>
      </c>
      <c r="S465" s="33" t="n"/>
      <c r="T465" s="33" t="n"/>
      <c r="U465" s="33" t="n"/>
      <c r="V465" s="33" t="n"/>
      <c r="W465" s="33" t="n"/>
      <c r="X465" s="33" t="n"/>
      <c r="Y465" s="33" t="n"/>
      <c r="Z465" s="33" t="n"/>
      <c r="AA465" s="4">
        <f>R465-G465</f>
        <v/>
      </c>
      <c r="AB465" s="4">
        <f>G465-R465</f>
        <v/>
      </c>
      <c r="AC465" s="33" t="n"/>
    </row>
    <row r="466" ht="18.75" customHeight="1">
      <c r="A466" s="35">
        <f>SUBTOTAL(103,$B$24:B466)</f>
        <v/>
      </c>
      <c r="B466" s="36" t="inlineStr">
        <is>
          <t>Лійка</t>
        </is>
      </c>
      <c r="C466" s="37" t="inlineStr">
        <is>
          <t>шт.</t>
        </is>
      </c>
      <c r="D466" s="33" t="n"/>
      <c r="E466" s="33" t="n"/>
      <c r="F466" s="33">
        <f>E466*0.05</f>
        <v/>
      </c>
      <c r="G466" s="33">
        <f>E466+F466</f>
        <v/>
      </c>
      <c r="H466" s="33" t="n"/>
      <c r="I466" s="33" t="n"/>
      <c r="J466" s="33" t="n"/>
      <c r="K466" s="33">
        <f>L466+M466+N466</f>
        <v/>
      </c>
      <c r="L466" s="33" t="n"/>
      <c r="M466" s="33" t="n"/>
      <c r="N466" s="33" t="n"/>
      <c r="O466" s="33">
        <f>P466+Q466</f>
        <v/>
      </c>
      <c r="P466" s="33" t="n"/>
      <c r="Q466" s="33" t="n"/>
      <c r="R466" s="33">
        <f>H466+K466-O466</f>
        <v/>
      </c>
      <c r="S466" s="33" t="n"/>
      <c r="T466" s="33" t="n"/>
      <c r="U466" s="33" t="n"/>
      <c r="V466" s="33" t="n"/>
      <c r="W466" s="33" t="n"/>
      <c r="X466" s="33" t="n"/>
      <c r="Y466" s="33" t="n"/>
      <c r="Z466" s="33" t="n"/>
      <c r="AA466" s="4">
        <f>R466-G466</f>
        <v/>
      </c>
      <c r="AB466" s="4">
        <f>G466-R466</f>
        <v/>
      </c>
      <c r="AC466" s="33" t="n"/>
    </row>
    <row r="467" ht="18.75" customHeight="1">
      <c r="A467" s="35">
        <f>SUBTOTAL(103,$B$24:B467)</f>
        <v/>
      </c>
      <c r="B467" s="36" t="inlineStr">
        <is>
          <t>Овочечистка ручна вертикальна</t>
        </is>
      </c>
      <c r="C467" s="37" t="inlineStr">
        <is>
          <t>шт.</t>
        </is>
      </c>
      <c r="D467" s="33" t="n"/>
      <c r="E467" s="33" t="n"/>
      <c r="F467" s="33">
        <f>E467*0.05</f>
        <v/>
      </c>
      <c r="G467" s="33">
        <f>E467+F467</f>
        <v/>
      </c>
      <c r="H467" s="33" t="n"/>
      <c r="I467" s="33" t="n"/>
      <c r="J467" s="33" t="n"/>
      <c r="K467" s="33">
        <f>L467+M467+N467</f>
        <v/>
      </c>
      <c r="L467" s="33" t="n"/>
      <c r="M467" s="33" t="n"/>
      <c r="N467" s="33" t="n"/>
      <c r="O467" s="33">
        <f>P467+Q467</f>
        <v/>
      </c>
      <c r="P467" s="33" t="n"/>
      <c r="Q467" s="33" t="n"/>
      <c r="R467" s="33">
        <f>H467+K467-O467</f>
        <v/>
      </c>
      <c r="S467" s="33" t="n"/>
      <c r="T467" s="33" t="n"/>
      <c r="U467" s="33" t="n"/>
      <c r="V467" s="33" t="n"/>
      <c r="W467" s="33" t="n"/>
      <c r="X467" s="33" t="n"/>
      <c r="Y467" s="33" t="n"/>
      <c r="Z467" s="33" t="n"/>
      <c r="AA467" s="4">
        <f>R467-G467</f>
        <v/>
      </c>
      <c r="AB467" s="4">
        <f>G467-R467</f>
        <v/>
      </c>
      <c r="AC467" s="33" t="n"/>
    </row>
    <row r="468" ht="18.75" customHeight="1">
      <c r="A468" s="35">
        <f>SUBTOTAL(103,$B$24:B468)</f>
        <v/>
      </c>
      <c r="B468" s="36" t="inlineStr">
        <is>
          <t>Овочечистка ручна з рухомим лезом</t>
        </is>
      </c>
      <c r="C468" s="37" t="inlineStr">
        <is>
          <t>шт.</t>
        </is>
      </c>
      <c r="D468" s="33" t="n"/>
      <c r="E468" s="33" t="n"/>
      <c r="F468" s="33">
        <f>E468*0.05</f>
        <v/>
      </c>
      <c r="G468" s="33">
        <f>E468+F468</f>
        <v/>
      </c>
      <c r="H468" s="33" t="n"/>
      <c r="I468" s="33" t="n"/>
      <c r="J468" s="33" t="n"/>
      <c r="K468" s="33">
        <f>L468+M468+N468</f>
        <v/>
      </c>
      <c r="L468" s="33" t="n"/>
      <c r="M468" s="33" t="n"/>
      <c r="N468" s="33" t="n"/>
      <c r="O468" s="33">
        <f>P468+Q468</f>
        <v/>
      </c>
      <c r="P468" s="33" t="n"/>
      <c r="Q468" s="33" t="n"/>
      <c r="R468" s="33">
        <f>H468+K468-O468</f>
        <v/>
      </c>
      <c r="S468" s="33" t="n"/>
      <c r="T468" s="33" t="n"/>
      <c r="U468" s="33" t="n"/>
      <c r="V468" s="33" t="n"/>
      <c r="W468" s="33" t="n"/>
      <c r="X468" s="33" t="n"/>
      <c r="Y468" s="33" t="n"/>
      <c r="Z468" s="33" t="n"/>
      <c r="AA468" s="4">
        <f>R468-G468</f>
        <v/>
      </c>
      <c r="AB468" s="4">
        <f>G468-R468</f>
        <v/>
      </c>
      <c r="AC468" s="33" t="n"/>
    </row>
    <row r="469" ht="18.75" customHeight="1">
      <c r="A469" s="35">
        <f>SUBTOTAL(103,$B$24:B469)</f>
        <v/>
      </c>
      <c r="B469" s="36" t="inlineStr">
        <is>
          <t>Скребок</t>
        </is>
      </c>
      <c r="C469" s="37" t="inlineStr">
        <is>
          <t>шт.</t>
        </is>
      </c>
      <c r="D469" s="33" t="n"/>
      <c r="E469" s="33" t="n"/>
      <c r="F469" s="33">
        <f>E469*0.05</f>
        <v/>
      </c>
      <c r="G469" s="33">
        <f>E469+F469</f>
        <v/>
      </c>
      <c r="H469" s="33" t="n"/>
      <c r="I469" s="33" t="n"/>
      <c r="J469" s="33" t="n"/>
      <c r="K469" s="33">
        <f>L469+M469+N469</f>
        <v/>
      </c>
      <c r="L469" s="33" t="n"/>
      <c r="M469" s="33" t="n"/>
      <c r="N469" s="33" t="n"/>
      <c r="O469" s="33">
        <f>P469+Q469</f>
        <v/>
      </c>
      <c r="P469" s="33" t="n"/>
      <c r="Q469" s="33" t="n"/>
      <c r="R469" s="33">
        <f>H469+K469-O469</f>
        <v/>
      </c>
      <c r="S469" s="33" t="n"/>
      <c r="T469" s="33" t="n"/>
      <c r="U469" s="33" t="n"/>
      <c r="V469" s="33" t="n"/>
      <c r="W469" s="33" t="n"/>
      <c r="X469" s="33" t="n"/>
      <c r="Y469" s="33" t="n"/>
      <c r="Z469" s="33" t="n"/>
      <c r="AA469" s="4">
        <f>R469-G469</f>
        <v/>
      </c>
      <c r="AB469" s="4">
        <f>G469-R469</f>
        <v/>
      </c>
      <c r="AC469" s="33" t="n"/>
    </row>
    <row r="470" ht="18.75" customHeight="1">
      <c r="A470" s="35">
        <f>SUBTOTAL(103,$B$24:B470)</f>
        <v/>
      </c>
      <c r="B470" s="36" t="inlineStr">
        <is>
          <t xml:space="preserve">Щітка для миття казанів </t>
        </is>
      </c>
      <c r="C470" s="37" t="inlineStr">
        <is>
          <t>шт.</t>
        </is>
      </c>
      <c r="D470" s="33" t="n"/>
      <c r="E470" s="33" t="n"/>
      <c r="F470" s="33">
        <f>E470*0.05</f>
        <v/>
      </c>
      <c r="G470" s="33">
        <f>E470+F470</f>
        <v/>
      </c>
      <c r="H470" s="33" t="n"/>
      <c r="I470" s="33" t="n"/>
      <c r="J470" s="33" t="n"/>
      <c r="K470" s="33">
        <f>L470+M470+N470</f>
        <v/>
      </c>
      <c r="L470" s="33" t="n"/>
      <c r="M470" s="33" t="n"/>
      <c r="N470" s="33" t="n"/>
      <c r="O470" s="33">
        <f>P470+Q470</f>
        <v/>
      </c>
      <c r="P470" s="33" t="n"/>
      <c r="Q470" s="33" t="n"/>
      <c r="R470" s="33">
        <f>H470+K470-O470</f>
        <v/>
      </c>
      <c r="S470" s="33" t="n"/>
      <c r="T470" s="33" t="n"/>
      <c r="U470" s="33" t="n"/>
      <c r="V470" s="33" t="n"/>
      <c r="W470" s="33" t="n"/>
      <c r="X470" s="33" t="n"/>
      <c r="Y470" s="33" t="n"/>
      <c r="Z470" s="33" t="n"/>
      <c r="AA470" s="4">
        <f>R470-G470</f>
        <v/>
      </c>
      <c r="AB470" s="4">
        <f>G470-R470</f>
        <v/>
      </c>
      <c r="AC470" s="33" t="n"/>
    </row>
    <row r="471" ht="18.75" customHeight="1">
      <c r="A471" s="35">
        <f>SUBTOTAL(103,$B$24:B471)</f>
        <v/>
      </c>
      <c r="B471" s="44" t="inlineStr">
        <is>
          <t>НЕМЕХАНІЧНЕ ОБЛАДНАННЯ</t>
        </is>
      </c>
      <c r="C471" s="37" t="n"/>
      <c r="D471" s="33" t="n"/>
      <c r="E471" s="33" t="n"/>
      <c r="F471" s="33">
        <f>E471*0.05</f>
        <v/>
      </c>
      <c r="G471" s="33">
        <f>E471+F471</f>
        <v/>
      </c>
      <c r="H471" s="33" t="n"/>
      <c r="I471" s="33" t="n"/>
      <c r="J471" s="33" t="n"/>
      <c r="K471" s="33">
        <f>L471+M471+N471</f>
        <v/>
      </c>
      <c r="L471" s="33" t="n"/>
      <c r="M471" s="33" t="n"/>
      <c r="N471" s="33" t="n"/>
      <c r="O471" s="33">
        <f>P471+Q471</f>
        <v/>
      </c>
      <c r="P471" s="33" t="n"/>
      <c r="Q471" s="33" t="n"/>
      <c r="R471" s="33">
        <f>H471+K471-O471</f>
        <v/>
      </c>
      <c r="S471" s="33" t="n"/>
      <c r="T471" s="33" t="n"/>
      <c r="U471" s="33" t="n"/>
      <c r="V471" s="33" t="n"/>
      <c r="W471" s="33" t="n"/>
      <c r="X471" s="33" t="n"/>
      <c r="Y471" s="33" t="n"/>
      <c r="Z471" s="33" t="n"/>
      <c r="AA471" s="4">
        <f>R471-G471</f>
        <v/>
      </c>
      <c r="AB471" s="4">
        <f>G471-R471</f>
        <v/>
      </c>
      <c r="AC471" s="33" t="n"/>
    </row>
    <row r="472" ht="18.75" customHeight="1">
      <c r="A472" s="35">
        <f>SUBTOTAL(103,$B$24:B472)</f>
        <v/>
      </c>
      <c r="B472" s="39" t="inlineStr">
        <is>
          <t>СТОЛИ</t>
        </is>
      </c>
      <c r="C472" s="37" t="n"/>
      <c r="D472" s="33" t="n"/>
      <c r="E472" s="33" t="n"/>
      <c r="F472" s="33">
        <f>E472*0.05</f>
        <v/>
      </c>
      <c r="G472" s="33">
        <f>E472+F472</f>
        <v/>
      </c>
      <c r="H472" s="33" t="n"/>
      <c r="I472" s="33" t="n"/>
      <c r="J472" s="33" t="n"/>
      <c r="K472" s="33">
        <f>L472+M472+N472</f>
        <v/>
      </c>
      <c r="L472" s="33" t="n"/>
      <c r="M472" s="33" t="n"/>
      <c r="N472" s="33" t="n"/>
      <c r="O472" s="33">
        <f>P472+Q472</f>
        <v/>
      </c>
      <c r="P472" s="33" t="n"/>
      <c r="Q472" s="33" t="n"/>
      <c r="R472" s="33">
        <f>H472+K472-O472</f>
        <v/>
      </c>
      <c r="S472" s="33" t="n"/>
      <c r="T472" s="33" t="n"/>
      <c r="U472" s="33" t="n"/>
      <c r="V472" s="33" t="n"/>
      <c r="W472" s="33" t="n"/>
      <c r="X472" s="33" t="n"/>
      <c r="Y472" s="33" t="n"/>
      <c r="Z472" s="33" t="n"/>
      <c r="AA472" s="4">
        <f>R472-G472</f>
        <v/>
      </c>
      <c r="AB472" s="4">
        <f>G472-R472</f>
        <v/>
      </c>
      <c r="AC472" s="33" t="n"/>
    </row>
    <row r="473" ht="18.75" customHeight="1">
      <c r="A473" s="35">
        <f>SUBTOTAL(103,$B$24:B473)</f>
        <v/>
      </c>
      <c r="B473" s="36" t="inlineStr">
        <is>
          <t xml:space="preserve">Стіл виробничий </t>
        </is>
      </c>
      <c r="C473" s="37" t="inlineStr">
        <is>
          <t>шт.</t>
        </is>
      </c>
      <c r="D473" s="33" t="n"/>
      <c r="E473" s="33" t="n"/>
      <c r="F473" s="33">
        <f>E473*0.05</f>
        <v/>
      </c>
      <c r="G473" s="33">
        <f>E473+F473</f>
        <v/>
      </c>
      <c r="H473" s="33" t="n"/>
      <c r="I473" s="33" t="n"/>
      <c r="J473" s="33" t="n"/>
      <c r="K473" s="33">
        <f>L473+M473+N473</f>
        <v/>
      </c>
      <c r="L473" s="33" t="n"/>
      <c r="M473" s="33" t="n"/>
      <c r="N473" s="33" t="n"/>
      <c r="O473" s="33">
        <f>P473+Q473</f>
        <v/>
      </c>
      <c r="P473" s="33" t="n"/>
      <c r="Q473" s="33" t="n"/>
      <c r="R473" s="33">
        <f>H473+K473-O473</f>
        <v/>
      </c>
      <c r="S473" s="33" t="n"/>
      <c r="T473" s="33" t="n"/>
      <c r="U473" s="33" t="n"/>
      <c r="V473" s="33" t="n"/>
      <c r="W473" s="33" t="n"/>
      <c r="X473" s="33" t="n"/>
      <c r="Y473" s="33" t="n"/>
      <c r="Z473" s="33" t="n"/>
      <c r="AA473" s="4">
        <f>R473-G473</f>
        <v/>
      </c>
      <c r="AB473" s="4">
        <f>G473-R473</f>
        <v/>
      </c>
      <c r="AC473" s="33" t="n"/>
    </row>
    <row r="474" ht="18.75" customHeight="1">
      <c r="A474" s="35">
        <f>SUBTOTAL(103,$B$24:B474)</f>
        <v/>
      </c>
      <c r="B474" s="36" t="inlineStr">
        <is>
          <t xml:space="preserve">Стіл виродничий алюмінієвий </t>
        </is>
      </c>
      <c r="C474" s="37" t="inlineStr">
        <is>
          <t>шт.</t>
        </is>
      </c>
      <c r="D474" s="33" t="n"/>
      <c r="E474" s="33" t="n"/>
      <c r="F474" s="33">
        <f>E474*0.05</f>
        <v/>
      </c>
      <c r="G474" s="33">
        <f>E474+F474</f>
        <v/>
      </c>
      <c r="H474" s="33" t="n"/>
      <c r="I474" s="33" t="n"/>
      <c r="J474" s="33" t="n"/>
      <c r="K474" s="33">
        <f>L474+M474+N474</f>
        <v/>
      </c>
      <c r="L474" s="33" t="n"/>
      <c r="M474" s="33" t="n"/>
      <c r="N474" s="33" t="n"/>
      <c r="O474" s="33">
        <f>P474+Q474</f>
        <v/>
      </c>
      <c r="P474" s="33" t="n"/>
      <c r="Q474" s="33" t="n"/>
      <c r="R474" s="33">
        <f>H474+K474-O474</f>
        <v/>
      </c>
      <c r="S474" s="33" t="n"/>
      <c r="T474" s="33" t="n"/>
      <c r="U474" s="33" t="n"/>
      <c r="V474" s="33" t="n"/>
      <c r="W474" s="33" t="n"/>
      <c r="X474" s="33" t="n"/>
      <c r="Y474" s="33" t="n"/>
      <c r="Z474" s="33" t="n"/>
      <c r="AA474" s="4">
        <f>R474-G474</f>
        <v/>
      </c>
      <c r="AB474" s="4">
        <f>G474-R474</f>
        <v/>
      </c>
      <c r="AC474" s="33" t="n"/>
    </row>
    <row r="475" ht="37.5" customHeight="1">
      <c r="A475" s="35">
        <f>SUBTOTAL(103,$B$24:B475)</f>
        <v/>
      </c>
      <c r="B475" s="36" t="inlineStr">
        <is>
          <t>Стіл н/ст 1200*600*850 з ванною 450*450</t>
        </is>
      </c>
      <c r="C475" s="37" t="inlineStr">
        <is>
          <t>шт.</t>
        </is>
      </c>
      <c r="D475" s="33" t="n"/>
      <c r="E475" s="33" t="n"/>
      <c r="F475" s="33">
        <f>E475*0.05</f>
        <v/>
      </c>
      <c r="G475" s="33">
        <f>E475+F475</f>
        <v/>
      </c>
      <c r="H475" s="33" t="n"/>
      <c r="I475" s="33" t="n"/>
      <c r="J475" s="33" t="n"/>
      <c r="K475" s="33">
        <f>L475+M475+N475</f>
        <v/>
      </c>
      <c r="L475" s="33" t="n"/>
      <c r="M475" s="33" t="n"/>
      <c r="N475" s="33" t="n"/>
      <c r="O475" s="33">
        <f>P475+Q475</f>
        <v/>
      </c>
      <c r="P475" s="33" t="n"/>
      <c r="Q475" s="33" t="n"/>
      <c r="R475" s="33">
        <f>H475+K475-O475</f>
        <v/>
      </c>
      <c r="S475" s="33" t="n"/>
      <c r="T475" s="33" t="n"/>
      <c r="U475" s="33" t="n"/>
      <c r="V475" s="33" t="n"/>
      <c r="W475" s="33" t="n"/>
      <c r="X475" s="33" t="n"/>
      <c r="Y475" s="33" t="n"/>
      <c r="Z475" s="33" t="n"/>
      <c r="AA475" s="4">
        <f>R475-G475</f>
        <v/>
      </c>
      <c r="AB475" s="4">
        <f>G475-R475</f>
        <v/>
      </c>
      <c r="AC475" s="33" t="n"/>
    </row>
    <row r="476" ht="18.75" customHeight="1">
      <c r="A476" s="35">
        <f>SUBTOTAL(103,$B$24:B476)</f>
        <v/>
      </c>
      <c r="B476" s="36" t="inlineStr">
        <is>
          <t>Стіл виробничий В-6 100*60*85</t>
        </is>
      </c>
      <c r="C476" s="37" t="inlineStr">
        <is>
          <t>шт.</t>
        </is>
      </c>
      <c r="D476" s="33" t="n"/>
      <c r="E476" s="33" t="n"/>
      <c r="F476" s="33">
        <f>E476*0.05</f>
        <v/>
      </c>
      <c r="G476" s="33">
        <f>E476+F476</f>
        <v/>
      </c>
      <c r="H476" s="33" t="n"/>
      <c r="I476" s="33" t="n"/>
      <c r="J476" s="33" t="n"/>
      <c r="K476" s="33">
        <f>L476+M476+N476</f>
        <v/>
      </c>
      <c r="L476" s="33" t="n"/>
      <c r="M476" s="33" t="n"/>
      <c r="N476" s="33" t="n"/>
      <c r="O476" s="33">
        <f>P476+Q476</f>
        <v/>
      </c>
      <c r="P476" s="33" t="n"/>
      <c r="Q476" s="33" t="n"/>
      <c r="R476" s="33">
        <f>H476+K476-O476</f>
        <v/>
      </c>
      <c r="S476" s="33" t="n"/>
      <c r="T476" s="33" t="n"/>
      <c r="U476" s="33" t="n"/>
      <c r="V476" s="33" t="n"/>
      <c r="W476" s="33" t="n"/>
      <c r="X476" s="33" t="n"/>
      <c r="Y476" s="33" t="n"/>
      <c r="Z476" s="33" t="n"/>
      <c r="AA476" s="4">
        <f>R476-G476</f>
        <v/>
      </c>
      <c r="AB476" s="4">
        <f>G476-R476</f>
        <v/>
      </c>
      <c r="AC476" s="33" t="n"/>
    </row>
    <row r="477" ht="37.5" customHeight="1">
      <c r="A477" s="35">
        <f>SUBTOTAL(103,$B$24:B477)</f>
        <v/>
      </c>
      <c r="B477" s="36" t="inlineStr">
        <is>
          <t>Столи виробничі з нержавіючої сталі 2000*700*850</t>
        </is>
      </c>
      <c r="C477" s="37" t="inlineStr">
        <is>
          <t>шт.</t>
        </is>
      </c>
      <c r="D477" s="33" t="n"/>
      <c r="E477" s="33" t="n"/>
      <c r="F477" s="33">
        <f>E477*0.05</f>
        <v/>
      </c>
      <c r="G477" s="33">
        <f>E477+F477</f>
        <v/>
      </c>
      <c r="H477" s="33" t="n"/>
      <c r="I477" s="33" t="n"/>
      <c r="J477" s="33" t="n"/>
      <c r="K477" s="33">
        <f>L477+M477+N477</f>
        <v/>
      </c>
      <c r="L477" s="33" t="n"/>
      <c r="M477" s="33" t="n"/>
      <c r="N477" s="33" t="n"/>
      <c r="O477" s="33">
        <f>P477+Q477</f>
        <v/>
      </c>
      <c r="P477" s="33" t="n"/>
      <c r="Q477" s="33" t="n"/>
      <c r="R477" s="33">
        <f>H477+K477-O477</f>
        <v/>
      </c>
      <c r="S477" s="33" t="n"/>
      <c r="T477" s="33" t="n"/>
      <c r="U477" s="33" t="n"/>
      <c r="V477" s="33" t="n"/>
      <c r="W477" s="33" t="n"/>
      <c r="X477" s="33" t="n"/>
      <c r="Y477" s="33" t="n"/>
      <c r="Z477" s="33" t="n"/>
      <c r="AA477" s="4">
        <f>R477-G477</f>
        <v/>
      </c>
      <c r="AB477" s="4">
        <f>G477-R477</f>
        <v/>
      </c>
      <c r="AC477" s="33" t="n"/>
    </row>
    <row r="478" ht="18.75" customHeight="1">
      <c r="A478" s="35">
        <f>SUBTOTAL(103,$B$24:B478)</f>
        <v/>
      </c>
      <c r="B478" s="36" t="inlineStr">
        <is>
          <t>Столи виробничі з н/ст 1200*700*850</t>
        </is>
      </c>
      <c r="C478" s="37" t="inlineStr">
        <is>
          <t>шт.</t>
        </is>
      </c>
      <c r="D478" s="33" t="n"/>
      <c r="E478" s="33" t="n"/>
      <c r="F478" s="33">
        <f>E478*0.05</f>
        <v/>
      </c>
      <c r="G478" s="33">
        <f>E478+F478</f>
        <v/>
      </c>
      <c r="H478" s="33" t="n"/>
      <c r="I478" s="33" t="n"/>
      <c r="J478" s="33" t="n"/>
      <c r="K478" s="33">
        <f>L478+M478+N478</f>
        <v/>
      </c>
      <c r="L478" s="33" t="n"/>
      <c r="M478" s="33" t="n"/>
      <c r="N478" s="33" t="n"/>
      <c r="O478" s="33">
        <f>P478+Q478</f>
        <v/>
      </c>
      <c r="P478" s="33" t="n"/>
      <c r="Q478" s="33" t="n"/>
      <c r="R478" s="33">
        <f>H478+K478-O478</f>
        <v/>
      </c>
      <c r="S478" s="33" t="n"/>
      <c r="T478" s="33" t="n"/>
      <c r="U478" s="33" t="n"/>
      <c r="V478" s="33" t="n"/>
      <c r="W478" s="33" t="n"/>
      <c r="X478" s="33" t="n"/>
      <c r="Y478" s="33" t="n"/>
      <c r="Z478" s="33" t="n"/>
      <c r="AA478" s="4">
        <f>R478-G478</f>
        <v/>
      </c>
      <c r="AB478" s="4">
        <f>G478-R478</f>
        <v/>
      </c>
      <c r="AC478" s="33" t="n"/>
    </row>
    <row r="479" ht="37.5" customHeight="1">
      <c r="A479" s="35">
        <f>SUBTOTAL(103,$B$24:B479)</f>
        <v/>
      </c>
      <c r="B479" s="36" t="inlineStr">
        <is>
          <t>Столи виробничі з нержавіючої сталі 1600*700*850</t>
        </is>
      </c>
      <c r="C479" s="37" t="inlineStr">
        <is>
          <t>шт.</t>
        </is>
      </c>
      <c r="D479" s="33" t="n"/>
      <c r="E479" s="33" t="n"/>
      <c r="F479" s="33">
        <f>E479*0.05</f>
        <v/>
      </c>
      <c r="G479" s="33">
        <f>E479+F479</f>
        <v/>
      </c>
      <c r="H479" s="33" t="n"/>
      <c r="I479" s="33" t="n"/>
      <c r="J479" s="33" t="n"/>
      <c r="K479" s="33">
        <f>L479+M479+N479</f>
        <v/>
      </c>
      <c r="L479" s="33" t="n"/>
      <c r="M479" s="33" t="n"/>
      <c r="N479" s="33" t="n"/>
      <c r="O479" s="33">
        <f>P479+Q479</f>
        <v/>
      </c>
      <c r="P479" s="33" t="n"/>
      <c r="Q479" s="33" t="n"/>
      <c r="R479" s="33">
        <f>H479+K479-O479</f>
        <v/>
      </c>
      <c r="S479" s="33" t="n"/>
      <c r="T479" s="33" t="n"/>
      <c r="U479" s="33" t="n"/>
      <c r="V479" s="33" t="n"/>
      <c r="W479" s="33" t="n"/>
      <c r="X479" s="33" t="n"/>
      <c r="Y479" s="33" t="n"/>
      <c r="Z479" s="33" t="n"/>
      <c r="AA479" s="4">
        <f>R479-G479</f>
        <v/>
      </c>
      <c r="AB479" s="4">
        <f>G479-R479</f>
        <v/>
      </c>
      <c r="AC479" s="33" t="n"/>
    </row>
    <row r="480" ht="18.75" customHeight="1">
      <c r="A480" s="35">
        <f>SUBTOTAL(103,$B$24:B480)</f>
        <v/>
      </c>
      <c r="B480" s="36" t="inlineStr">
        <is>
          <t>Стіл виробн. з бортом і полицею д-1100</t>
        </is>
      </c>
      <c r="C480" s="37" t="inlineStr">
        <is>
          <t>шт.</t>
        </is>
      </c>
      <c r="D480" s="33" t="n"/>
      <c r="E480" s="33" t="n"/>
      <c r="F480" s="33">
        <f>E480*0.05</f>
        <v/>
      </c>
      <c r="G480" s="33">
        <f>E480+F480</f>
        <v/>
      </c>
      <c r="H480" s="33" t="n"/>
      <c r="I480" s="33" t="n"/>
      <c r="J480" s="33" t="n"/>
      <c r="K480" s="33">
        <f>L480+M480+N480</f>
        <v/>
      </c>
      <c r="L480" s="33" t="n"/>
      <c r="M480" s="33" t="n"/>
      <c r="N480" s="33" t="n"/>
      <c r="O480" s="33">
        <f>P480+Q480</f>
        <v/>
      </c>
      <c r="P480" s="33" t="n"/>
      <c r="Q480" s="33" t="n"/>
      <c r="R480" s="33">
        <f>H480+K480-O480</f>
        <v/>
      </c>
      <c r="S480" s="33" t="n"/>
      <c r="T480" s="33" t="n"/>
      <c r="U480" s="33" t="n"/>
      <c r="V480" s="33" t="n"/>
      <c r="W480" s="33" t="n"/>
      <c r="X480" s="33" t="n"/>
      <c r="Y480" s="33" t="n"/>
      <c r="Z480" s="33" t="n"/>
      <c r="AA480" s="4">
        <f>R480-G480</f>
        <v/>
      </c>
      <c r="AB480" s="4">
        <f>G480-R480</f>
        <v/>
      </c>
      <c r="AC480" s="33" t="n"/>
    </row>
    <row r="481" ht="18.75" customHeight="1">
      <c r="A481" s="35">
        <f>SUBTOTAL(103,$B$24:B481)</f>
        <v/>
      </c>
      <c r="B481" s="36" t="inlineStr">
        <is>
          <t>Стіл виробн. з бортом і полицею д-1200</t>
        </is>
      </c>
      <c r="C481" s="37" t="inlineStr">
        <is>
          <t>шт.</t>
        </is>
      </c>
      <c r="D481" s="33" t="n"/>
      <c r="E481" s="33" t="n"/>
      <c r="F481" s="33">
        <f>E481*0.05</f>
        <v/>
      </c>
      <c r="G481" s="33">
        <f>E481+F481</f>
        <v/>
      </c>
      <c r="H481" s="33" t="n"/>
      <c r="I481" s="33" t="n"/>
      <c r="J481" s="33" t="n"/>
      <c r="K481" s="33">
        <f>L481+M481+N481</f>
        <v/>
      </c>
      <c r="L481" s="33" t="n"/>
      <c r="M481" s="33" t="n"/>
      <c r="N481" s="33" t="n"/>
      <c r="O481" s="33">
        <f>P481+Q481</f>
        <v/>
      </c>
      <c r="P481" s="33" t="n"/>
      <c r="Q481" s="33" t="n"/>
      <c r="R481" s="33">
        <f>H481+K481-O481</f>
        <v/>
      </c>
      <c r="S481" s="33" t="n"/>
      <c r="T481" s="33" t="n"/>
      <c r="U481" s="33" t="n"/>
      <c r="V481" s="33" t="n"/>
      <c r="W481" s="33" t="n"/>
      <c r="X481" s="33" t="n"/>
      <c r="Y481" s="33" t="n"/>
      <c r="Z481" s="33" t="n"/>
      <c r="AA481" s="4">
        <f>R481-G481</f>
        <v/>
      </c>
      <c r="AB481" s="4">
        <f>G481-R481</f>
        <v/>
      </c>
      <c r="AC481" s="33" t="n"/>
    </row>
    <row r="482" ht="18.75" customHeight="1">
      <c r="A482" s="35">
        <f>SUBTOTAL(103,$B$24:B482)</f>
        <v/>
      </c>
      <c r="B482" s="36" t="inlineStr">
        <is>
          <t>Стіл виробн. з бортом і полицею д-1600</t>
        </is>
      </c>
      <c r="C482" s="37" t="inlineStr">
        <is>
          <t>шт.</t>
        </is>
      </c>
      <c r="D482" s="33" t="n"/>
      <c r="E482" s="33" t="n"/>
      <c r="F482" s="33">
        <f>E482*0.05</f>
        <v/>
      </c>
      <c r="G482" s="33">
        <f>E482+F482</f>
        <v/>
      </c>
      <c r="H482" s="33" t="n"/>
      <c r="I482" s="33" t="n"/>
      <c r="J482" s="33" t="n"/>
      <c r="K482" s="33">
        <f>L482+M482+N482</f>
        <v/>
      </c>
      <c r="L482" s="33" t="n"/>
      <c r="M482" s="33" t="n"/>
      <c r="N482" s="33" t="n"/>
      <c r="O482" s="33">
        <f>P482+Q482</f>
        <v/>
      </c>
      <c r="P482" s="33" t="n"/>
      <c r="Q482" s="33" t="n"/>
      <c r="R482" s="33">
        <f>H482+K482-O482</f>
        <v/>
      </c>
      <c r="S482" s="33" t="n"/>
      <c r="T482" s="33" t="n"/>
      <c r="U482" s="33" t="n"/>
      <c r="V482" s="33" t="n"/>
      <c r="W482" s="33" t="n"/>
      <c r="X482" s="33" t="n"/>
      <c r="Y482" s="33" t="n"/>
      <c r="Z482" s="33" t="n"/>
      <c r="AA482" s="4">
        <f>R482-G482</f>
        <v/>
      </c>
      <c r="AB482" s="4">
        <f>G482-R482</f>
        <v/>
      </c>
      <c r="AC482" s="33" t="n"/>
    </row>
    <row r="483" ht="18.75" customHeight="1">
      <c r="A483" s="35">
        <f>SUBTOTAL(103,$B$24:B483)</f>
        <v/>
      </c>
      <c r="B483" s="36" t="inlineStr">
        <is>
          <t>Стіл виробн. з бортом і полицею д-2000</t>
        </is>
      </c>
      <c r="C483" s="37" t="inlineStr">
        <is>
          <t>шт.</t>
        </is>
      </c>
      <c r="D483" s="33" t="n"/>
      <c r="E483" s="33" t="n"/>
      <c r="F483" s="33">
        <f>E483*0.05</f>
        <v/>
      </c>
      <c r="G483" s="33">
        <f>E483+F483</f>
        <v/>
      </c>
      <c r="H483" s="33" t="n"/>
      <c r="I483" s="33" t="n"/>
      <c r="J483" s="33" t="n"/>
      <c r="K483" s="33">
        <f>L483+M483+N483</f>
        <v/>
      </c>
      <c r="L483" s="33" t="n"/>
      <c r="M483" s="33" t="n"/>
      <c r="N483" s="33" t="n"/>
      <c r="O483" s="33">
        <f>P483+Q483</f>
        <v/>
      </c>
      <c r="P483" s="33" t="n"/>
      <c r="Q483" s="33" t="n"/>
      <c r="R483" s="33">
        <f>H483+K483-O483</f>
        <v/>
      </c>
      <c r="S483" s="33" t="n"/>
      <c r="T483" s="33" t="n"/>
      <c r="U483" s="33" t="n"/>
      <c r="V483" s="33" t="n"/>
      <c r="W483" s="33" t="n"/>
      <c r="X483" s="33" t="n"/>
      <c r="Y483" s="33" t="n"/>
      <c r="Z483" s="33" t="n"/>
      <c r="AA483" s="4">
        <f>R483-G483</f>
        <v/>
      </c>
      <c r="AB483" s="4">
        <f>G483-R483</f>
        <v/>
      </c>
      <c r="AC483" s="33" t="n"/>
    </row>
    <row r="484" ht="18.75" customHeight="1">
      <c r="A484" s="35">
        <f>SUBTOTAL(103,$B$24:B484)</f>
        <v/>
      </c>
      <c r="B484" s="36" t="inlineStr">
        <is>
          <t>Стіл СММСМ</t>
        </is>
      </c>
      <c r="C484" s="37" t="inlineStr">
        <is>
          <t>шт.</t>
        </is>
      </c>
      <c r="D484" s="33" t="n"/>
      <c r="E484" s="33" t="n"/>
      <c r="F484" s="33">
        <f>E484*0.05</f>
        <v/>
      </c>
      <c r="G484" s="33">
        <f>E484+F484</f>
        <v/>
      </c>
      <c r="H484" s="33" t="n"/>
      <c r="I484" s="33" t="n"/>
      <c r="J484" s="33" t="n"/>
      <c r="K484" s="33">
        <f>L484+M484+N484</f>
        <v/>
      </c>
      <c r="L484" s="33" t="n"/>
      <c r="M484" s="33" t="n"/>
      <c r="N484" s="33" t="n"/>
      <c r="O484" s="33">
        <f>P484+Q484</f>
        <v/>
      </c>
      <c r="P484" s="33" t="n"/>
      <c r="Q484" s="33" t="n"/>
      <c r="R484" s="33">
        <f>H484+K484-O484</f>
        <v/>
      </c>
      <c r="S484" s="33" t="n"/>
      <c r="T484" s="33" t="n"/>
      <c r="U484" s="33" t="n"/>
      <c r="V484" s="33" t="n"/>
      <c r="W484" s="33" t="n"/>
      <c r="X484" s="33" t="n"/>
      <c r="Y484" s="33" t="n"/>
      <c r="Z484" s="33" t="n"/>
      <c r="AA484" s="4">
        <f>R484-G484</f>
        <v/>
      </c>
      <c r="AB484" s="4">
        <f>G484-R484</f>
        <v/>
      </c>
      <c r="AC484" s="33" t="n"/>
    </row>
    <row r="485" ht="18.75" customHeight="1">
      <c r="A485" s="35">
        <f>SUBTOTAL(103,$B$24:B485)</f>
        <v/>
      </c>
      <c r="B485" s="36" t="inlineStr">
        <is>
          <t>Секція-стіл СОЕСМ-2</t>
        </is>
      </c>
      <c r="C485" s="37" t="inlineStr">
        <is>
          <t>шт.</t>
        </is>
      </c>
      <c r="D485" s="33" t="n"/>
      <c r="E485" s="33" t="n"/>
      <c r="F485" s="33">
        <f>E485*0.05</f>
        <v/>
      </c>
      <c r="G485" s="33">
        <f>E485+F485</f>
        <v/>
      </c>
      <c r="H485" s="33" t="n"/>
      <c r="I485" s="33" t="n"/>
      <c r="J485" s="33" t="n"/>
      <c r="K485" s="33">
        <f>L485+M485+N485</f>
        <v/>
      </c>
      <c r="L485" s="33" t="n"/>
      <c r="M485" s="33" t="n"/>
      <c r="N485" s="33" t="n"/>
      <c r="O485" s="33">
        <f>P485+Q485</f>
        <v/>
      </c>
      <c r="P485" s="33" t="n"/>
      <c r="Q485" s="33" t="n"/>
      <c r="R485" s="33">
        <f>H485+K485-O485</f>
        <v/>
      </c>
      <c r="S485" s="33" t="n"/>
      <c r="T485" s="33" t="n"/>
      <c r="U485" s="33" t="n"/>
      <c r="V485" s="33" t="n"/>
      <c r="W485" s="33" t="n"/>
      <c r="X485" s="33" t="n"/>
      <c r="Y485" s="33" t="n"/>
      <c r="Z485" s="33" t="n"/>
      <c r="AA485" s="4">
        <f>R485-G485</f>
        <v/>
      </c>
      <c r="AB485" s="4">
        <f>G485-R485</f>
        <v/>
      </c>
      <c r="AC485" s="33" t="n"/>
    </row>
    <row r="486" ht="18.75" customHeight="1">
      <c r="A486" s="35">
        <f>SUBTOTAL(103,$B$24:B486)</f>
        <v/>
      </c>
      <c r="B486" s="36" t="inlineStr">
        <is>
          <t>Секція стіл СОЕСМ-20</t>
        </is>
      </c>
      <c r="C486" s="37" t="inlineStr">
        <is>
          <t>шт.</t>
        </is>
      </c>
      <c r="D486" s="33" t="n"/>
      <c r="E486" s="33" t="n"/>
      <c r="F486" s="33">
        <f>E486*0.05</f>
        <v/>
      </c>
      <c r="G486" s="33">
        <f>E486+F486</f>
        <v/>
      </c>
      <c r="H486" s="33" t="n"/>
      <c r="I486" s="33" t="n"/>
      <c r="J486" s="33" t="n"/>
      <c r="K486" s="33">
        <f>L486+M486+N486</f>
        <v/>
      </c>
      <c r="L486" s="33" t="n"/>
      <c r="M486" s="33" t="n"/>
      <c r="N486" s="33" t="n"/>
      <c r="O486" s="33">
        <f>P486+Q486</f>
        <v/>
      </c>
      <c r="P486" s="33" t="n"/>
      <c r="Q486" s="33" t="n"/>
      <c r="R486" s="33">
        <f>H486+K486-O486</f>
        <v/>
      </c>
      <c r="S486" s="33" t="n"/>
      <c r="T486" s="33" t="n"/>
      <c r="U486" s="33" t="n"/>
      <c r="V486" s="33" t="n"/>
      <c r="W486" s="33" t="n"/>
      <c r="X486" s="33" t="n"/>
      <c r="Y486" s="33" t="n"/>
      <c r="Z486" s="33" t="n"/>
      <c r="AA486" s="4">
        <f>R486-G486</f>
        <v/>
      </c>
      <c r="AB486" s="4">
        <f>G486-R486</f>
        <v/>
      </c>
      <c r="AC486" s="33" t="n"/>
    </row>
    <row r="487" ht="18.75" customHeight="1">
      <c r="A487" s="35">
        <f>SUBTOTAL(103,$B$24:B487)</f>
        <v/>
      </c>
      <c r="B487" s="36" t="inlineStr">
        <is>
          <t>Секція - стіл з мийкою</t>
        </is>
      </c>
      <c r="C487" s="37" t="inlineStr">
        <is>
          <t>шт.</t>
        </is>
      </c>
      <c r="D487" s="33" t="n"/>
      <c r="E487" s="33" t="n"/>
      <c r="F487" s="33">
        <f>E487*0.05</f>
        <v/>
      </c>
      <c r="G487" s="33">
        <f>E487+F487</f>
        <v/>
      </c>
      <c r="H487" s="33" t="n"/>
      <c r="I487" s="33" t="n"/>
      <c r="J487" s="33" t="n"/>
      <c r="K487" s="33">
        <f>L487+M487+N487</f>
        <v/>
      </c>
      <c r="L487" s="33" t="n"/>
      <c r="M487" s="33" t="n"/>
      <c r="N487" s="33" t="n"/>
      <c r="O487" s="33">
        <f>P487+Q487</f>
        <v/>
      </c>
      <c r="P487" s="33" t="n"/>
      <c r="Q487" s="33" t="n"/>
      <c r="R487" s="33">
        <f>H487+K487-O487</f>
        <v/>
      </c>
      <c r="S487" s="33" t="n"/>
      <c r="T487" s="33" t="n"/>
      <c r="U487" s="33" t="n"/>
      <c r="V487" s="33" t="n"/>
      <c r="W487" s="33" t="n"/>
      <c r="X487" s="33" t="n"/>
      <c r="Y487" s="33" t="n"/>
      <c r="Z487" s="33" t="n"/>
      <c r="AA487" s="4">
        <f>R487-G487</f>
        <v/>
      </c>
      <c r="AB487" s="4">
        <f>G487-R487</f>
        <v/>
      </c>
      <c r="AC487" s="33" t="n"/>
    </row>
    <row r="488" ht="18.75" customHeight="1">
      <c r="A488" s="35">
        <f>SUBTOTAL(103,$B$24:B488)</f>
        <v/>
      </c>
      <c r="B488" s="36" t="inlineStr">
        <is>
          <t>Стіл для дієтичних страв</t>
        </is>
      </c>
      <c r="C488" s="37" t="inlineStr">
        <is>
          <t>шт.</t>
        </is>
      </c>
      <c r="D488" s="33" t="n"/>
      <c r="E488" s="33" t="n"/>
      <c r="F488" s="33">
        <f>E488*0.05</f>
        <v/>
      </c>
      <c r="G488" s="33">
        <f>E488+F488</f>
        <v/>
      </c>
      <c r="H488" s="33" t="n"/>
      <c r="I488" s="33" t="n"/>
      <c r="J488" s="33" t="n"/>
      <c r="K488" s="33">
        <f>L488+M488+N488</f>
        <v/>
      </c>
      <c r="L488" s="33" t="n"/>
      <c r="M488" s="33" t="n"/>
      <c r="N488" s="33" t="n"/>
      <c r="O488" s="33">
        <f>P488+Q488</f>
        <v/>
      </c>
      <c r="P488" s="33" t="n"/>
      <c r="Q488" s="33" t="n"/>
      <c r="R488" s="33">
        <f>H488+K488-O488</f>
        <v/>
      </c>
      <c r="S488" s="33" t="n"/>
      <c r="T488" s="33" t="n"/>
      <c r="U488" s="33" t="n"/>
      <c r="V488" s="33" t="n"/>
      <c r="W488" s="33" t="n"/>
      <c r="X488" s="33" t="n"/>
      <c r="Y488" s="33" t="n"/>
      <c r="Z488" s="33" t="n"/>
      <c r="AA488" s="4">
        <f>R488-G488</f>
        <v/>
      </c>
      <c r="AB488" s="4">
        <f>G488-R488</f>
        <v/>
      </c>
      <c r="AC488" s="33" t="n"/>
    </row>
    <row r="489" ht="18.75" customHeight="1">
      <c r="A489" s="35">
        <f>SUBTOTAL(103,$B$24:B489)</f>
        <v/>
      </c>
      <c r="B489" s="36" t="inlineStr">
        <is>
          <t>Стіл для перебирання круп</t>
        </is>
      </c>
      <c r="C489" s="37" t="inlineStr">
        <is>
          <t>шт.</t>
        </is>
      </c>
      <c r="D489" s="33" t="n"/>
      <c r="E489" s="33" t="n"/>
      <c r="F489" s="33">
        <f>E489*0.05</f>
        <v/>
      </c>
      <c r="G489" s="33">
        <f>E489+F489</f>
        <v/>
      </c>
      <c r="H489" s="33" t="n"/>
      <c r="I489" s="33" t="n"/>
      <c r="J489" s="33" t="n"/>
      <c r="K489" s="33">
        <f>L489+M489+N489</f>
        <v/>
      </c>
      <c r="L489" s="33" t="n"/>
      <c r="M489" s="33" t="n"/>
      <c r="N489" s="33" t="n"/>
      <c r="O489" s="33">
        <f>P489+Q489</f>
        <v/>
      </c>
      <c r="P489" s="33" t="n"/>
      <c r="Q489" s="33" t="n"/>
      <c r="R489" s="33">
        <f>H489+K489-O489</f>
        <v/>
      </c>
      <c r="S489" s="33" t="n"/>
      <c r="T489" s="33" t="n"/>
      <c r="U489" s="33" t="n"/>
      <c r="V489" s="33" t="n"/>
      <c r="W489" s="33" t="n"/>
      <c r="X489" s="33" t="n"/>
      <c r="Y489" s="33" t="n"/>
      <c r="Z489" s="33" t="n"/>
      <c r="AA489" s="4">
        <f>R489-G489</f>
        <v/>
      </c>
      <c r="AB489" s="4">
        <f>G489-R489</f>
        <v/>
      </c>
      <c r="AC489" s="33" t="n"/>
    </row>
    <row r="490" ht="18.75" customHeight="1">
      <c r="A490" s="35">
        <f>SUBTOTAL(103,$B$24:B490)</f>
        <v/>
      </c>
      <c r="B490" s="36" t="inlineStr">
        <is>
          <t>Стіл для дочищення картоплі</t>
        </is>
      </c>
      <c r="C490" s="37" t="inlineStr">
        <is>
          <t>шт.</t>
        </is>
      </c>
      <c r="D490" s="33" t="n"/>
      <c r="E490" s="33" t="n"/>
      <c r="F490" s="33">
        <f>E490*0.05</f>
        <v/>
      </c>
      <c r="G490" s="33">
        <f>E490+F490</f>
        <v/>
      </c>
      <c r="H490" s="33" t="n"/>
      <c r="I490" s="33" t="n"/>
      <c r="J490" s="33" t="n"/>
      <c r="K490" s="33">
        <f>L490+M490+N490</f>
        <v/>
      </c>
      <c r="L490" s="33" t="n"/>
      <c r="M490" s="33" t="n"/>
      <c r="N490" s="33" t="n"/>
      <c r="O490" s="33">
        <f>P490+Q490</f>
        <v/>
      </c>
      <c r="P490" s="33" t="n"/>
      <c r="Q490" s="33" t="n"/>
      <c r="R490" s="33">
        <f>H490+K490-O490</f>
        <v/>
      </c>
      <c r="S490" s="33" t="n"/>
      <c r="T490" s="33" t="n"/>
      <c r="U490" s="33" t="n"/>
      <c r="V490" s="33" t="n"/>
      <c r="W490" s="33" t="n"/>
      <c r="X490" s="33" t="n"/>
      <c r="Y490" s="33" t="n"/>
      <c r="Z490" s="33" t="n"/>
      <c r="AA490" s="4">
        <f>R490-G490</f>
        <v/>
      </c>
      <c r="AB490" s="4">
        <f>G490-R490</f>
        <v/>
      </c>
      <c r="AC490" s="33" t="n"/>
    </row>
    <row r="491" ht="18.75" customHeight="1">
      <c r="A491" s="35">
        <f>SUBTOTAL(103,$B$24:B491)</f>
        <v/>
      </c>
      <c r="B491" s="36" t="inlineStr">
        <is>
          <t>Стіл пересувний для видачі 1-2 страв</t>
        </is>
      </c>
      <c r="C491" s="37" t="inlineStr">
        <is>
          <t>шт.</t>
        </is>
      </c>
      <c r="D491" s="33" t="n"/>
      <c r="E491" s="33" t="n"/>
      <c r="F491" s="33">
        <f>E491*0.05</f>
        <v/>
      </c>
      <c r="G491" s="33">
        <f>E491+F491</f>
        <v/>
      </c>
      <c r="H491" s="33" t="n"/>
      <c r="I491" s="33" t="n"/>
      <c r="J491" s="33" t="n"/>
      <c r="K491" s="33">
        <f>L491+M491+N491</f>
        <v/>
      </c>
      <c r="L491" s="33" t="n"/>
      <c r="M491" s="33" t="n"/>
      <c r="N491" s="33" t="n"/>
      <c r="O491" s="33">
        <f>P491+Q491</f>
        <v/>
      </c>
      <c r="P491" s="33" t="n"/>
      <c r="Q491" s="33" t="n"/>
      <c r="R491" s="33">
        <f>H491+K491-O491</f>
        <v/>
      </c>
      <c r="S491" s="33" t="n"/>
      <c r="T491" s="33" t="n"/>
      <c r="U491" s="33" t="n"/>
      <c r="V491" s="33" t="n"/>
      <c r="W491" s="33" t="n"/>
      <c r="X491" s="33" t="n"/>
      <c r="Y491" s="33" t="n"/>
      <c r="Z491" s="33" t="n"/>
      <c r="AA491" s="4">
        <f>R491-G491</f>
        <v/>
      </c>
      <c r="AB491" s="4">
        <f>G491-R491</f>
        <v/>
      </c>
      <c r="AC491" s="33" t="n"/>
    </row>
    <row r="492" ht="18.75" customHeight="1">
      <c r="A492" s="35">
        <f>SUBTOTAL(103,$B$24:B492)</f>
        <v/>
      </c>
      <c r="B492" s="36" t="inlineStr">
        <is>
          <t xml:space="preserve">Стіл для збирання залишків їжі </t>
        </is>
      </c>
      <c r="C492" s="37" t="inlineStr">
        <is>
          <t>шт.</t>
        </is>
      </c>
      <c r="D492" s="33" t="n"/>
      <c r="E492" s="33" t="n"/>
      <c r="F492" s="33">
        <f>E492*0.05</f>
        <v/>
      </c>
      <c r="G492" s="33">
        <f>E492+F492</f>
        <v/>
      </c>
      <c r="H492" s="33" t="n"/>
      <c r="I492" s="33" t="n"/>
      <c r="J492" s="33" t="n"/>
      <c r="K492" s="33">
        <f>L492+M492+N492</f>
        <v/>
      </c>
      <c r="L492" s="33" t="n"/>
      <c r="M492" s="33" t="n"/>
      <c r="N492" s="33" t="n"/>
      <c r="O492" s="33">
        <f>P492+Q492</f>
        <v/>
      </c>
      <c r="P492" s="33" t="n"/>
      <c r="Q492" s="33" t="n"/>
      <c r="R492" s="33">
        <f>H492+K492-O492</f>
        <v/>
      </c>
      <c r="S492" s="33" t="n"/>
      <c r="T492" s="33" t="n"/>
      <c r="U492" s="33" t="n"/>
      <c r="V492" s="33" t="n"/>
      <c r="W492" s="33" t="n"/>
      <c r="X492" s="33" t="n"/>
      <c r="Y492" s="33" t="n"/>
      <c r="Z492" s="33" t="n"/>
      <c r="AA492" s="4">
        <f>R492-G492</f>
        <v/>
      </c>
      <c r="AB492" s="4">
        <f>G492-R492</f>
        <v/>
      </c>
      <c r="AC492" s="33" t="n"/>
    </row>
    <row r="493" ht="18.75" customHeight="1">
      <c r="A493" s="35">
        <f>SUBTOTAL(103,$B$24:B493)</f>
        <v/>
      </c>
      <c r="B493" s="36" t="inlineStr">
        <is>
          <t>Стіл для установки хліборізок</t>
        </is>
      </c>
      <c r="C493" s="37" t="inlineStr">
        <is>
          <t>шт.</t>
        </is>
      </c>
      <c r="D493" s="33" t="n"/>
      <c r="E493" s="33" t="n"/>
      <c r="F493" s="33">
        <f>E493*0.05</f>
        <v/>
      </c>
      <c r="G493" s="33">
        <f>E493+F493</f>
        <v/>
      </c>
      <c r="H493" s="33" t="n"/>
      <c r="I493" s="33" t="n"/>
      <c r="J493" s="33" t="n"/>
      <c r="K493" s="33">
        <f>L493+M493+N493</f>
        <v/>
      </c>
      <c r="L493" s="33" t="n"/>
      <c r="M493" s="33" t="n"/>
      <c r="N493" s="33" t="n"/>
      <c r="O493" s="33">
        <f>P493+Q493</f>
        <v/>
      </c>
      <c r="P493" s="33" t="n"/>
      <c r="Q493" s="33" t="n"/>
      <c r="R493" s="33">
        <f>H493+K493-O493</f>
        <v/>
      </c>
      <c r="S493" s="33" t="n"/>
      <c r="T493" s="33" t="n"/>
      <c r="U493" s="33" t="n"/>
      <c r="V493" s="33" t="n"/>
      <c r="W493" s="33" t="n"/>
      <c r="X493" s="33" t="n"/>
      <c r="Y493" s="33" t="n"/>
      <c r="Z493" s="33" t="n"/>
      <c r="AA493" s="4">
        <f>R493-G493</f>
        <v/>
      </c>
      <c r="AB493" s="4">
        <f>G493-R493</f>
        <v/>
      </c>
      <c r="AC493" s="33" t="n"/>
    </row>
    <row r="494" ht="18.75" customHeight="1">
      <c r="A494" s="35">
        <f>SUBTOTAL(103,$B$24:B494)</f>
        <v/>
      </c>
      <c r="B494" s="36" t="inlineStr">
        <is>
          <t>Стіл для брудного посуду</t>
        </is>
      </c>
      <c r="C494" s="37" t="inlineStr">
        <is>
          <t>шт.</t>
        </is>
      </c>
      <c r="D494" s="33" t="n"/>
      <c r="E494" s="33" t="n"/>
      <c r="F494" s="33">
        <f>E494*0.05</f>
        <v/>
      </c>
      <c r="G494" s="33">
        <f>E494+F494</f>
        <v/>
      </c>
      <c r="H494" s="33" t="n"/>
      <c r="I494" s="33" t="n"/>
      <c r="J494" s="33" t="n"/>
      <c r="K494" s="33">
        <f>L494+M494+N494</f>
        <v/>
      </c>
      <c r="L494" s="33" t="n"/>
      <c r="M494" s="33" t="n"/>
      <c r="N494" s="33" t="n"/>
      <c r="O494" s="33">
        <f>P494+Q494</f>
        <v/>
      </c>
      <c r="P494" s="33" t="n"/>
      <c r="Q494" s="33" t="n"/>
      <c r="R494" s="33">
        <f>H494+K494-O494</f>
        <v/>
      </c>
      <c r="S494" s="33" t="n"/>
      <c r="T494" s="33" t="n"/>
      <c r="U494" s="33" t="n"/>
      <c r="V494" s="33" t="n"/>
      <c r="W494" s="33" t="n"/>
      <c r="X494" s="33" t="n"/>
      <c r="Y494" s="33" t="n"/>
      <c r="Z494" s="33" t="n"/>
      <c r="AA494" s="4">
        <f>R494-G494</f>
        <v/>
      </c>
      <c r="AB494" s="4">
        <f>G494-R494</f>
        <v/>
      </c>
      <c r="AC494" s="33" t="n"/>
    </row>
    <row r="495" ht="18.75" customHeight="1">
      <c r="A495" s="35">
        <f>SUBTOTAL(103,$B$24:B495)</f>
        <v/>
      </c>
      <c r="B495" s="36" t="inlineStr">
        <is>
          <t>Стіл-шафа для чищення посуду</t>
        </is>
      </c>
      <c r="C495" s="37" t="inlineStr">
        <is>
          <t>шт.</t>
        </is>
      </c>
      <c r="D495" s="33" t="n"/>
      <c r="E495" s="33" t="n"/>
      <c r="F495" s="33">
        <f>E495*0.05</f>
        <v/>
      </c>
      <c r="G495" s="33">
        <f>E495+F495</f>
        <v/>
      </c>
      <c r="H495" s="33" t="n"/>
      <c r="I495" s="33" t="n"/>
      <c r="J495" s="33" t="n"/>
      <c r="K495" s="33">
        <f>L495+M495+N495</f>
        <v/>
      </c>
      <c r="L495" s="33" t="n"/>
      <c r="M495" s="33" t="n"/>
      <c r="N495" s="33" t="n"/>
      <c r="O495" s="33">
        <f>P495+Q495</f>
        <v/>
      </c>
      <c r="P495" s="33" t="n"/>
      <c r="Q495" s="33" t="n"/>
      <c r="R495" s="33">
        <f>H495+K495-O495</f>
        <v/>
      </c>
      <c r="S495" s="33" t="n"/>
      <c r="T495" s="33" t="n"/>
      <c r="U495" s="33" t="n"/>
      <c r="V495" s="33" t="n"/>
      <c r="W495" s="33" t="n"/>
      <c r="X495" s="33" t="n"/>
      <c r="Y495" s="33" t="n"/>
      <c r="Z495" s="33" t="n"/>
      <c r="AA495" s="4">
        <f>R495-G495</f>
        <v/>
      </c>
      <c r="AB495" s="4">
        <f>G495-R495</f>
        <v/>
      </c>
      <c r="AC495" s="33" t="n"/>
    </row>
    <row r="496" ht="18.75" customHeight="1">
      <c r="A496" s="35">
        <f>SUBTOTAL(103,$B$24:B496)</f>
        <v/>
      </c>
      <c r="B496" s="36" t="inlineStr">
        <is>
          <t>Стіл для розробки мяса</t>
        </is>
      </c>
      <c r="C496" s="37" t="inlineStr">
        <is>
          <t>шт.</t>
        </is>
      </c>
      <c r="D496" s="33" t="n"/>
      <c r="E496" s="33" t="n"/>
      <c r="F496" s="33">
        <f>E496*0.05</f>
        <v/>
      </c>
      <c r="G496" s="33">
        <f>E496+F496</f>
        <v/>
      </c>
      <c r="H496" s="33" t="n"/>
      <c r="I496" s="33" t="n"/>
      <c r="J496" s="33" t="n"/>
      <c r="K496" s="33">
        <f>L496+M496+N496</f>
        <v/>
      </c>
      <c r="L496" s="33" t="n"/>
      <c r="M496" s="33" t="n"/>
      <c r="N496" s="33" t="n"/>
      <c r="O496" s="33">
        <f>P496+Q496</f>
        <v/>
      </c>
      <c r="P496" s="33" t="n"/>
      <c r="Q496" s="33" t="n"/>
      <c r="R496" s="33">
        <f>H496+K496-O496</f>
        <v/>
      </c>
      <c r="S496" s="33" t="n"/>
      <c r="T496" s="33" t="n"/>
      <c r="U496" s="33" t="n"/>
      <c r="V496" s="33" t="n"/>
      <c r="W496" s="33" t="n"/>
      <c r="X496" s="33" t="n"/>
      <c r="Y496" s="33" t="n"/>
      <c r="Z496" s="33" t="n"/>
      <c r="AA496" s="4">
        <f>R496-G496</f>
        <v/>
      </c>
      <c r="AB496" s="4">
        <f>G496-R496</f>
        <v/>
      </c>
      <c r="AC496" s="33" t="n"/>
    </row>
    <row r="497" ht="18.75" customHeight="1">
      <c r="A497" s="35">
        <f>SUBTOTAL(103,$B$24:B497)</f>
        <v/>
      </c>
      <c r="B497" s="36" t="inlineStr">
        <is>
          <t>Стіл під колоду для рубки мяса</t>
        </is>
      </c>
      <c r="C497" s="37" t="inlineStr">
        <is>
          <t>шт.</t>
        </is>
      </c>
      <c r="D497" s="33" t="n"/>
      <c r="E497" s="33" t="n"/>
      <c r="F497" s="33">
        <f>E497*0.05</f>
        <v/>
      </c>
      <c r="G497" s="33">
        <f>E497+F497</f>
        <v/>
      </c>
      <c r="H497" s="33" t="n"/>
      <c r="I497" s="33" t="n"/>
      <c r="J497" s="33" t="n"/>
      <c r="K497" s="33">
        <f>L497+M497+N497</f>
        <v/>
      </c>
      <c r="L497" s="33" t="n"/>
      <c r="M497" s="33" t="n"/>
      <c r="N497" s="33" t="n"/>
      <c r="O497" s="33">
        <f>P497+Q497</f>
        <v/>
      </c>
      <c r="P497" s="33" t="n"/>
      <c r="Q497" s="33" t="n"/>
      <c r="R497" s="33">
        <f>H497+K497-O497</f>
        <v/>
      </c>
      <c r="S497" s="33" t="n"/>
      <c r="T497" s="33" t="n"/>
      <c r="U497" s="33" t="n"/>
      <c r="V497" s="33" t="n"/>
      <c r="W497" s="33" t="n"/>
      <c r="X497" s="33" t="n"/>
      <c r="Y497" s="33" t="n"/>
      <c r="Z497" s="33" t="n"/>
      <c r="AA497" s="4">
        <f>R497-G497</f>
        <v/>
      </c>
      <c r="AB497" s="4">
        <f>G497-R497</f>
        <v/>
      </c>
      <c r="AC497" s="33" t="n"/>
    </row>
    <row r="498" ht="18.75" customHeight="1">
      <c r="A498" s="35">
        <f>SUBTOTAL(103,$B$24:B498)</f>
        <v/>
      </c>
      <c r="B498" s="36" t="inlineStr">
        <is>
          <t>Стіл-накопичувач</t>
        </is>
      </c>
      <c r="C498" s="37" t="inlineStr">
        <is>
          <t>шт.</t>
        </is>
      </c>
      <c r="D498" s="33" t="n"/>
      <c r="E498" s="33" t="n"/>
      <c r="F498" s="33">
        <f>E498*0.05</f>
        <v/>
      </c>
      <c r="G498" s="33">
        <f>E498+F498</f>
        <v/>
      </c>
      <c r="H498" s="33" t="n"/>
      <c r="I498" s="33" t="n"/>
      <c r="J498" s="33" t="n"/>
      <c r="K498" s="33">
        <f>L498+M498+N498</f>
        <v/>
      </c>
      <c r="L498" s="33" t="n"/>
      <c r="M498" s="33" t="n"/>
      <c r="N498" s="33" t="n"/>
      <c r="O498" s="33">
        <f>P498+Q498</f>
        <v/>
      </c>
      <c r="P498" s="33" t="n"/>
      <c r="Q498" s="33" t="n"/>
      <c r="R498" s="33">
        <f>H498+K498-O498</f>
        <v/>
      </c>
      <c r="S498" s="33" t="n"/>
      <c r="T498" s="33" t="n"/>
      <c r="U498" s="33" t="n"/>
      <c r="V498" s="33" t="n"/>
      <c r="W498" s="33" t="n"/>
      <c r="X498" s="33" t="n"/>
      <c r="Y498" s="33" t="n"/>
      <c r="Z498" s="33" t="n"/>
      <c r="AA498" s="4">
        <f>R498-G498</f>
        <v/>
      </c>
      <c r="AB498" s="4">
        <f>G498-R498</f>
        <v/>
      </c>
      <c r="AC498" s="33" t="n"/>
    </row>
    <row r="499" ht="18.75" customHeight="1">
      <c r="A499" s="35">
        <f>SUBTOTAL(103,$B$24:B499)</f>
        <v/>
      </c>
      <c r="B499" s="36" t="inlineStr">
        <is>
          <t>Стіл під машину овочерізательну</t>
        </is>
      </c>
      <c r="C499" s="37" t="inlineStr">
        <is>
          <t>шт.</t>
        </is>
      </c>
      <c r="D499" s="33" t="n"/>
      <c r="E499" s="33" t="n"/>
      <c r="F499" s="33">
        <f>E499*0.05</f>
        <v/>
      </c>
      <c r="G499" s="33">
        <f>E499+F499</f>
        <v/>
      </c>
      <c r="H499" s="33" t="n"/>
      <c r="I499" s="33" t="n"/>
      <c r="J499" s="33" t="n"/>
      <c r="K499" s="33">
        <f>L499+M499+N499</f>
        <v/>
      </c>
      <c r="L499" s="33" t="n"/>
      <c r="M499" s="33" t="n"/>
      <c r="N499" s="33" t="n"/>
      <c r="O499" s="33">
        <f>P499+Q499</f>
        <v/>
      </c>
      <c r="P499" s="33" t="n"/>
      <c r="Q499" s="33" t="n"/>
      <c r="R499" s="33">
        <f>H499+K499-O499</f>
        <v/>
      </c>
      <c r="S499" s="33" t="n"/>
      <c r="T499" s="33" t="n"/>
      <c r="U499" s="33" t="n"/>
      <c r="V499" s="33" t="n"/>
      <c r="W499" s="33" t="n"/>
      <c r="X499" s="33" t="n"/>
      <c r="Y499" s="33" t="n"/>
      <c r="Z499" s="33" t="n"/>
      <c r="AA499" s="4">
        <f>R499-G499</f>
        <v/>
      </c>
      <c r="AB499" s="4">
        <f>G499-R499</f>
        <v/>
      </c>
      <c r="AC499" s="33" t="n"/>
    </row>
    <row r="500" ht="18.75" customHeight="1">
      <c r="A500" s="35">
        <f>SUBTOTAL(103,$B$24:B500)</f>
        <v/>
      </c>
      <c r="B500" s="36" t="inlineStr">
        <is>
          <t>Стіл для хліба</t>
        </is>
      </c>
      <c r="C500" s="37" t="inlineStr">
        <is>
          <t>шт.</t>
        </is>
      </c>
      <c r="D500" s="33" t="n"/>
      <c r="E500" s="33" t="n"/>
      <c r="F500" s="33">
        <f>E500*0.05</f>
        <v/>
      </c>
      <c r="G500" s="33">
        <f>E500+F500</f>
        <v/>
      </c>
      <c r="H500" s="33" t="n"/>
      <c r="I500" s="33" t="n"/>
      <c r="J500" s="33" t="n"/>
      <c r="K500" s="33">
        <f>L500+M500+N500</f>
        <v/>
      </c>
      <c r="L500" s="33" t="n"/>
      <c r="M500" s="33" t="n"/>
      <c r="N500" s="33" t="n"/>
      <c r="O500" s="33">
        <f>P500+Q500</f>
        <v/>
      </c>
      <c r="P500" s="33" t="n"/>
      <c r="Q500" s="33" t="n"/>
      <c r="R500" s="33">
        <f>H500+K500-O500</f>
        <v/>
      </c>
      <c r="S500" s="33" t="n"/>
      <c r="T500" s="33" t="n"/>
      <c r="U500" s="33" t="n"/>
      <c r="V500" s="33" t="n"/>
      <c r="W500" s="33" t="n"/>
      <c r="X500" s="33" t="n"/>
      <c r="Y500" s="33" t="n"/>
      <c r="Z500" s="33" t="n"/>
      <c r="AA500" s="4">
        <f>R500-G500</f>
        <v/>
      </c>
      <c r="AB500" s="4">
        <f>G500-R500</f>
        <v/>
      </c>
      <c r="AC500" s="33" t="n"/>
    </row>
    <row r="501" ht="18.75" customHeight="1">
      <c r="A501" s="35">
        <f>SUBTOTAL(103,$B$24:B501)</f>
        <v/>
      </c>
      <c r="B501" s="36" t="inlineStr">
        <is>
          <t>Стіл для тіста</t>
        </is>
      </c>
      <c r="C501" s="37" t="inlineStr">
        <is>
          <t>шт.</t>
        </is>
      </c>
      <c r="D501" s="33" t="n"/>
      <c r="E501" s="33" t="n"/>
      <c r="F501" s="33">
        <f>E501*0.05</f>
        <v/>
      </c>
      <c r="G501" s="33">
        <f>E501+F501</f>
        <v/>
      </c>
      <c r="H501" s="33" t="n"/>
      <c r="I501" s="33" t="n"/>
      <c r="J501" s="33" t="n"/>
      <c r="K501" s="33">
        <f>L501+M501+N501</f>
        <v/>
      </c>
      <c r="L501" s="33" t="n"/>
      <c r="M501" s="33" t="n"/>
      <c r="N501" s="33" t="n"/>
      <c r="O501" s="33">
        <f>P501+Q501</f>
        <v/>
      </c>
      <c r="P501" s="33" t="n"/>
      <c r="Q501" s="33" t="n"/>
      <c r="R501" s="33">
        <f>H501+K501-O501</f>
        <v/>
      </c>
      <c r="S501" s="33" t="n"/>
      <c r="T501" s="33" t="n"/>
      <c r="U501" s="33" t="n"/>
      <c r="V501" s="33" t="n"/>
      <c r="W501" s="33" t="n"/>
      <c r="X501" s="33" t="n"/>
      <c r="Y501" s="33" t="n"/>
      <c r="Z501" s="33" t="n"/>
      <c r="AA501" s="4">
        <f>R501-G501</f>
        <v/>
      </c>
      <c r="AB501" s="4">
        <f>G501-R501</f>
        <v/>
      </c>
      <c r="AC501" s="33" t="n"/>
    </row>
    <row r="502" ht="18.75" customHeight="1">
      <c r="A502" s="35">
        <f>SUBTOTAL(103,$B$24:B502)</f>
        <v/>
      </c>
      <c r="B502" s="36" t="inlineStr">
        <is>
          <t xml:space="preserve">Стіл секційний </t>
        </is>
      </c>
      <c r="C502" s="37" t="inlineStr">
        <is>
          <t>шт.</t>
        </is>
      </c>
      <c r="D502" s="33" t="n"/>
      <c r="E502" s="33" t="n"/>
      <c r="F502" s="33">
        <f>E502*0.05</f>
        <v/>
      </c>
      <c r="G502" s="33">
        <f>E502+F502</f>
        <v/>
      </c>
      <c r="H502" s="33" t="n"/>
      <c r="I502" s="33" t="n"/>
      <c r="J502" s="33" t="n"/>
      <c r="K502" s="33">
        <f>L502+M502+N502</f>
        <v/>
      </c>
      <c r="L502" s="33" t="n"/>
      <c r="M502" s="33" t="n"/>
      <c r="N502" s="33" t="n"/>
      <c r="O502" s="33">
        <f>P502+Q502</f>
        <v/>
      </c>
      <c r="P502" s="33" t="n"/>
      <c r="Q502" s="33" t="n"/>
      <c r="R502" s="33">
        <f>H502+K502-O502</f>
        <v/>
      </c>
      <c r="S502" s="33" t="n"/>
      <c r="T502" s="33" t="n"/>
      <c r="U502" s="33" t="n"/>
      <c r="V502" s="33" t="n"/>
      <c r="W502" s="33" t="n"/>
      <c r="X502" s="33" t="n"/>
      <c r="Y502" s="33" t="n"/>
      <c r="Z502" s="33" t="n"/>
      <c r="AA502" s="4">
        <f>R502-G502</f>
        <v/>
      </c>
      <c r="AB502" s="4">
        <f>G502-R502</f>
        <v/>
      </c>
      <c r="AC502" s="33" t="n"/>
    </row>
    <row r="503" ht="18.75" customHeight="1">
      <c r="A503" s="35">
        <f>SUBTOTAL(103,$B$24:B503)</f>
        <v/>
      </c>
      <c r="B503" s="36" t="inlineStr">
        <is>
          <t>Стіл гастронормований</t>
        </is>
      </c>
      <c r="C503" s="37" t="inlineStr">
        <is>
          <t>шт.</t>
        </is>
      </c>
      <c r="D503" s="33" t="n"/>
      <c r="E503" s="33" t="n"/>
      <c r="F503" s="33">
        <f>E503*0.05</f>
        <v/>
      </c>
      <c r="G503" s="33">
        <f>E503+F503</f>
        <v/>
      </c>
      <c r="H503" s="33" t="n"/>
      <c r="I503" s="33" t="n"/>
      <c r="J503" s="33" t="n"/>
      <c r="K503" s="33">
        <f>L503+M503+N503</f>
        <v/>
      </c>
      <c r="L503" s="33" t="n"/>
      <c r="M503" s="33" t="n"/>
      <c r="N503" s="33" t="n"/>
      <c r="O503" s="33">
        <f>P503+Q503</f>
        <v/>
      </c>
      <c r="P503" s="33" t="n"/>
      <c r="Q503" s="33" t="n"/>
      <c r="R503" s="33">
        <f>H503+K503-O503</f>
        <v/>
      </c>
      <c r="S503" s="33" t="n"/>
      <c r="T503" s="33" t="n"/>
      <c r="U503" s="33" t="n"/>
      <c r="V503" s="33" t="n"/>
      <c r="W503" s="33" t="n"/>
      <c r="X503" s="33" t="n"/>
      <c r="Y503" s="33" t="n"/>
      <c r="Z503" s="33" t="n"/>
      <c r="AA503" s="4">
        <f>R503-G503</f>
        <v/>
      </c>
      <c r="AB503" s="4">
        <f>G503-R503</f>
        <v/>
      </c>
      <c r="AC503" s="33" t="n"/>
    </row>
    <row r="504" ht="18.75" customHeight="1">
      <c r="A504" s="35">
        <f>SUBTOTAL(103,$B$24:B504)</f>
        <v/>
      </c>
      <c r="B504" s="36" t="inlineStr">
        <is>
          <t>Стіл для роздаточних ліній</t>
        </is>
      </c>
      <c r="C504" s="37" t="inlineStr">
        <is>
          <t>шт.</t>
        </is>
      </c>
      <c r="D504" s="33" t="n"/>
      <c r="E504" s="33" t="n"/>
      <c r="F504" s="33">
        <f>E504*0.05</f>
        <v/>
      </c>
      <c r="G504" s="33">
        <f>E504+F504</f>
        <v/>
      </c>
      <c r="H504" s="33" t="n"/>
      <c r="I504" s="33" t="n"/>
      <c r="J504" s="33" t="n"/>
      <c r="K504" s="33">
        <f>L504+M504+N504</f>
        <v/>
      </c>
      <c r="L504" s="33" t="n"/>
      <c r="M504" s="33" t="n"/>
      <c r="N504" s="33" t="n"/>
      <c r="O504" s="33">
        <f>P504+Q504</f>
        <v/>
      </c>
      <c r="P504" s="33" t="n"/>
      <c r="Q504" s="33" t="n"/>
      <c r="R504" s="33">
        <f>H504+K504-O504</f>
        <v/>
      </c>
      <c r="S504" s="33" t="n"/>
      <c r="T504" s="33" t="n"/>
      <c r="U504" s="33" t="n"/>
      <c r="V504" s="33" t="n"/>
      <c r="W504" s="33" t="n"/>
      <c r="X504" s="33" t="n"/>
      <c r="Y504" s="33" t="n"/>
      <c r="Z504" s="33" t="n"/>
      <c r="AA504" s="4">
        <f>R504-G504</f>
        <v/>
      </c>
      <c r="AB504" s="4">
        <f>G504-R504</f>
        <v/>
      </c>
      <c r="AC504" s="33" t="n"/>
    </row>
    <row r="505" ht="18.75" customHeight="1">
      <c r="A505" s="35">
        <f>SUBTOTAL(103,$B$24:B505)</f>
        <v/>
      </c>
      <c r="B505" s="36" t="inlineStr">
        <is>
          <t>Стіл лабораторний з нержавійочої сталі</t>
        </is>
      </c>
      <c r="C505" s="37" t="inlineStr">
        <is>
          <t>шт.</t>
        </is>
      </c>
      <c r="D505" s="33" t="n"/>
      <c r="E505" s="33" t="n"/>
      <c r="F505" s="33">
        <f>E505*0.05</f>
        <v/>
      </c>
      <c r="G505" s="33">
        <f>E505+F505</f>
        <v/>
      </c>
      <c r="H505" s="33" t="n"/>
      <c r="I505" s="33" t="n"/>
      <c r="J505" s="33" t="n"/>
      <c r="K505" s="33">
        <f>L505+M505+N505</f>
        <v/>
      </c>
      <c r="L505" s="33" t="n"/>
      <c r="M505" s="33" t="n"/>
      <c r="N505" s="33" t="n"/>
      <c r="O505" s="33">
        <f>P505+Q505</f>
        <v/>
      </c>
      <c r="P505" s="33" t="n"/>
      <c r="Q505" s="33" t="n"/>
      <c r="R505" s="33">
        <f>H505+K505-O505</f>
        <v/>
      </c>
      <c r="S505" s="33" t="n"/>
      <c r="T505" s="33" t="n"/>
      <c r="U505" s="33" t="n"/>
      <c r="V505" s="33" t="n"/>
      <c r="W505" s="33" t="n"/>
      <c r="X505" s="33" t="n"/>
      <c r="Y505" s="33" t="n"/>
      <c r="Z505" s="33" t="n"/>
      <c r="AA505" s="4">
        <f>R505-G505</f>
        <v/>
      </c>
      <c r="AB505" s="4">
        <f>G505-R505</f>
        <v/>
      </c>
      <c r="AC505" s="33" t="n"/>
    </row>
    <row r="506" ht="18.75" customHeight="1">
      <c r="A506" s="35">
        <f>SUBTOTAL(103,$B$24:B506)</f>
        <v/>
      </c>
      <c r="B506" s="36" t="inlineStr">
        <is>
          <t>Стіл для чищення посуду</t>
        </is>
      </c>
      <c r="C506" s="37" t="inlineStr">
        <is>
          <t>шт.</t>
        </is>
      </c>
      <c r="D506" s="33" t="n"/>
      <c r="E506" s="33" t="n"/>
      <c r="F506" s="33">
        <f>E506*0.05</f>
        <v/>
      </c>
      <c r="G506" s="33">
        <f>E506+F506</f>
        <v/>
      </c>
      <c r="H506" s="33" t="n"/>
      <c r="I506" s="33" t="n"/>
      <c r="J506" s="33" t="n"/>
      <c r="K506" s="33">
        <f>L506+M506+N506</f>
        <v/>
      </c>
      <c r="L506" s="33" t="n"/>
      <c r="M506" s="33" t="n"/>
      <c r="N506" s="33" t="n"/>
      <c r="O506" s="33">
        <f>P506+Q506</f>
        <v/>
      </c>
      <c r="P506" s="33" t="n"/>
      <c r="Q506" s="33" t="n"/>
      <c r="R506" s="33">
        <f>H506+K506-O506</f>
        <v/>
      </c>
      <c r="S506" s="33" t="n"/>
      <c r="T506" s="33" t="n"/>
      <c r="U506" s="33" t="n"/>
      <c r="V506" s="33" t="n"/>
      <c r="W506" s="33" t="n"/>
      <c r="X506" s="33" t="n"/>
      <c r="Y506" s="33" t="n"/>
      <c r="Z506" s="33" t="n"/>
      <c r="AA506" s="4">
        <f>R506-G506</f>
        <v/>
      </c>
      <c r="AB506" s="4">
        <f>G506-R506</f>
        <v/>
      </c>
      <c r="AC506" s="33" t="n"/>
    </row>
    <row r="507" ht="18.75" customHeight="1">
      <c r="A507" s="35">
        <f>SUBTOTAL(103,$B$24:B507)</f>
        <v/>
      </c>
      <c r="B507" s="36" t="inlineStr">
        <is>
          <t>Стіл складний</t>
        </is>
      </c>
      <c r="C507" s="45" t="inlineStr">
        <is>
          <t>шт.</t>
        </is>
      </c>
      <c r="D507" s="33" t="n"/>
      <c r="E507" s="33" t="n"/>
      <c r="F507" s="33">
        <f>E507*0.05</f>
        <v/>
      </c>
      <c r="G507" s="33">
        <f>E507+F507</f>
        <v/>
      </c>
      <c r="H507" s="33" t="n"/>
      <c r="I507" s="33" t="n"/>
      <c r="J507" s="33" t="n"/>
      <c r="K507" s="33">
        <f>L507+M507+N507</f>
        <v/>
      </c>
      <c r="L507" s="33" t="n"/>
      <c r="M507" s="33" t="n"/>
      <c r="N507" s="33" t="n"/>
      <c r="O507" s="33">
        <f>P507+Q507</f>
        <v/>
      </c>
      <c r="P507" s="33" t="n"/>
      <c r="Q507" s="33" t="n"/>
      <c r="R507" s="33">
        <f>H507+K507-O507</f>
        <v/>
      </c>
      <c r="S507" s="33" t="n"/>
      <c r="T507" s="33" t="n"/>
      <c r="U507" s="33" t="n"/>
      <c r="V507" s="33" t="n"/>
      <c r="W507" s="33" t="n"/>
      <c r="X507" s="33" t="n"/>
      <c r="Y507" s="33" t="n"/>
      <c r="Z507" s="33" t="n"/>
      <c r="AA507" s="4">
        <f>R507-G507</f>
        <v/>
      </c>
      <c r="AB507" s="4">
        <f>G507-R507</f>
        <v/>
      </c>
      <c r="AC507" s="33" t="n"/>
    </row>
    <row r="508" ht="18.75" customHeight="1">
      <c r="A508" s="35">
        <f>SUBTOTAL(103,$B$24:B508)</f>
        <v/>
      </c>
      <c r="B508" s="36" t="inlineStr">
        <is>
          <t>Стіл з гігієнічним покриттям</t>
        </is>
      </c>
      <c r="C508" s="45" t="inlineStr">
        <is>
          <t>шт.</t>
        </is>
      </c>
      <c r="D508" s="33" t="n"/>
      <c r="E508" s="33" t="n"/>
      <c r="F508" s="33">
        <f>E508*0.05</f>
        <v/>
      </c>
      <c r="G508" s="33">
        <f>E508+F508</f>
        <v/>
      </c>
      <c r="H508" s="33" t="n"/>
      <c r="I508" s="33" t="n"/>
      <c r="J508" s="33" t="n"/>
      <c r="K508" s="33">
        <f>L508+M508+N508</f>
        <v/>
      </c>
      <c r="L508" s="33" t="n"/>
      <c r="M508" s="33" t="n"/>
      <c r="N508" s="33" t="n"/>
      <c r="O508" s="33">
        <f>P508+Q508</f>
        <v/>
      </c>
      <c r="P508" s="33" t="n"/>
      <c r="Q508" s="33" t="n"/>
      <c r="R508" s="33">
        <f>H508+K508-O508</f>
        <v/>
      </c>
      <c r="S508" s="33" t="n"/>
      <c r="T508" s="33" t="n"/>
      <c r="U508" s="33" t="n"/>
      <c r="V508" s="33" t="n"/>
      <c r="W508" s="33" t="n"/>
      <c r="X508" s="33" t="n"/>
      <c r="Y508" s="33" t="n"/>
      <c r="Z508" s="33" t="n"/>
      <c r="AA508" s="4">
        <f>R508-G508</f>
        <v/>
      </c>
      <c r="AB508" s="4">
        <f>G508-R508</f>
        <v/>
      </c>
      <c r="AC508" s="33" t="n"/>
    </row>
    <row r="509" ht="18.75" customHeight="1">
      <c r="A509" s="35">
        <f>SUBTOTAL(103,$B$24:B509)</f>
        <v/>
      </c>
      <c r="B509" s="36" t="inlineStr">
        <is>
          <t>Стіл для миючих чаш</t>
        </is>
      </c>
      <c r="C509" s="45" t="inlineStr">
        <is>
          <t>шт.</t>
        </is>
      </c>
      <c r="D509" s="33" t="n"/>
      <c r="E509" s="33" t="n"/>
      <c r="F509" s="33">
        <f>E509*0.05</f>
        <v/>
      </c>
      <c r="G509" s="33">
        <f>E509+F509</f>
        <v/>
      </c>
      <c r="H509" s="33" t="n"/>
      <c r="I509" s="33" t="n"/>
      <c r="J509" s="33" t="n"/>
      <c r="K509" s="33">
        <f>L509+M509+N509</f>
        <v/>
      </c>
      <c r="L509" s="33" t="n"/>
      <c r="M509" s="33" t="n"/>
      <c r="N509" s="33" t="n"/>
      <c r="O509" s="33">
        <f>P509+Q509</f>
        <v/>
      </c>
      <c r="P509" s="33" t="n"/>
      <c r="Q509" s="33" t="n"/>
      <c r="R509" s="33">
        <f>H509+K509-O509</f>
        <v/>
      </c>
      <c r="S509" s="33" t="n"/>
      <c r="T509" s="33" t="n"/>
      <c r="U509" s="33" t="n"/>
      <c r="V509" s="33" t="n"/>
      <c r="W509" s="33" t="n"/>
      <c r="X509" s="33" t="n"/>
      <c r="Y509" s="33" t="n"/>
      <c r="Z509" s="33" t="n"/>
      <c r="AA509" s="4">
        <f>R509-G509</f>
        <v/>
      </c>
      <c r="AB509" s="4">
        <f>G509-R509</f>
        <v/>
      </c>
      <c r="AC509" s="33" t="n"/>
    </row>
    <row r="510" ht="18.75" customHeight="1">
      <c r="A510" s="35">
        <f>SUBTOTAL(103,$B$24:B510)</f>
        <v/>
      </c>
      <c r="B510" s="36" t="inlineStr">
        <is>
          <t>Стіл універсальний</t>
        </is>
      </c>
      <c r="C510" s="45" t="inlineStr">
        <is>
          <t>шт.</t>
        </is>
      </c>
      <c r="D510" s="33" t="n"/>
      <c r="E510" s="33" t="n"/>
      <c r="F510" s="33">
        <f>E510*0.05</f>
        <v/>
      </c>
      <c r="G510" s="33">
        <f>E510+F510</f>
        <v/>
      </c>
      <c r="H510" s="33" t="n"/>
      <c r="I510" s="33" t="n"/>
      <c r="J510" s="33" t="n"/>
      <c r="K510" s="33">
        <f>L510+M510+N510</f>
        <v/>
      </c>
      <c r="L510" s="33" t="n"/>
      <c r="M510" s="33" t="n"/>
      <c r="N510" s="33" t="n"/>
      <c r="O510" s="33">
        <f>P510+Q510</f>
        <v/>
      </c>
      <c r="P510" s="33" t="n"/>
      <c r="Q510" s="33" t="n"/>
      <c r="R510" s="33">
        <f>H510+K510-O510</f>
        <v/>
      </c>
      <c r="S510" s="33" t="n"/>
      <c r="T510" s="33" t="n"/>
      <c r="U510" s="33" t="n"/>
      <c r="V510" s="33" t="n"/>
      <c r="W510" s="33" t="n"/>
      <c r="X510" s="33" t="n"/>
      <c r="Y510" s="33" t="n"/>
      <c r="Z510" s="33" t="n"/>
      <c r="AA510" s="4">
        <f>R510-G510</f>
        <v/>
      </c>
      <c r="AB510" s="4">
        <f>G510-R510</f>
        <v/>
      </c>
      <c r="AC510" s="33" t="n"/>
    </row>
    <row r="511" ht="18.75" customHeight="1">
      <c r="A511" s="35">
        <f>SUBTOTAL(103,$B$24:B511)</f>
        <v/>
      </c>
      <c r="B511" s="36" t="inlineStr">
        <is>
          <t>Столи кухонні</t>
        </is>
      </c>
      <c r="C511" s="45" t="inlineStr">
        <is>
          <t>шт.</t>
        </is>
      </c>
      <c r="D511" s="33" t="n"/>
      <c r="E511" s="33" t="n"/>
      <c r="F511" s="33">
        <f>E511*0.05</f>
        <v/>
      </c>
      <c r="G511" s="33">
        <f>E511+F511</f>
        <v/>
      </c>
      <c r="H511" s="33" t="n"/>
      <c r="I511" s="33" t="n"/>
      <c r="J511" s="33" t="n"/>
      <c r="K511" s="33">
        <f>L511+M511+N511</f>
        <v/>
      </c>
      <c r="L511" s="33" t="n"/>
      <c r="M511" s="33" t="n"/>
      <c r="N511" s="33" t="n"/>
      <c r="O511" s="33">
        <f>P511+Q511</f>
        <v/>
      </c>
      <c r="P511" s="33" t="n"/>
      <c r="Q511" s="33" t="n"/>
      <c r="R511" s="33">
        <f>H511+K511-O511</f>
        <v/>
      </c>
      <c r="S511" s="33" t="n"/>
      <c r="T511" s="33" t="n"/>
      <c r="U511" s="33" t="n"/>
      <c r="V511" s="33" t="n"/>
      <c r="W511" s="33" t="n"/>
      <c r="X511" s="33" t="n"/>
      <c r="Y511" s="33" t="n"/>
      <c r="Z511" s="33" t="n"/>
      <c r="AA511" s="4">
        <f>R511-G511</f>
        <v/>
      </c>
      <c r="AB511" s="4">
        <f>G511-R511</f>
        <v/>
      </c>
      <c r="AC511" s="33" t="n"/>
    </row>
    <row r="512" ht="18.75" customHeight="1">
      <c r="A512" s="35">
        <f>SUBTOTAL(103,$B$24:B512)</f>
        <v/>
      </c>
      <c r="B512" s="36" t="inlineStr">
        <is>
          <t>Столи кухонні н/ст</t>
        </is>
      </c>
      <c r="C512" s="45" t="inlineStr">
        <is>
          <t>шт.</t>
        </is>
      </c>
      <c r="D512" s="33" t="n"/>
      <c r="E512" s="33" t="n"/>
      <c r="F512" s="33">
        <f>E512*0.05</f>
        <v/>
      </c>
      <c r="G512" s="33">
        <f>E512+F512</f>
        <v/>
      </c>
      <c r="H512" s="33" t="n"/>
      <c r="I512" s="33" t="n"/>
      <c r="J512" s="33" t="n"/>
      <c r="K512" s="33">
        <f>L512+M512+N512</f>
        <v/>
      </c>
      <c r="L512" s="33" t="n"/>
      <c r="M512" s="33" t="n"/>
      <c r="N512" s="33" t="n"/>
      <c r="O512" s="33">
        <f>P512+Q512</f>
        <v/>
      </c>
      <c r="P512" s="33" t="n"/>
      <c r="Q512" s="33" t="n"/>
      <c r="R512" s="33">
        <f>H512+K512-O512</f>
        <v/>
      </c>
      <c r="S512" s="33" t="n"/>
      <c r="T512" s="33" t="n"/>
      <c r="U512" s="33" t="n"/>
      <c r="V512" s="33" t="n"/>
      <c r="W512" s="33" t="n"/>
      <c r="X512" s="33" t="n"/>
      <c r="Y512" s="33" t="n"/>
      <c r="Z512" s="33" t="n"/>
      <c r="AA512" s="4">
        <f>R512-G512</f>
        <v/>
      </c>
      <c r="AB512" s="4">
        <f>G512-R512</f>
        <v/>
      </c>
      <c r="AC512" s="33" t="n"/>
    </row>
    <row r="513" ht="18.75" customHeight="1">
      <c r="A513" s="35">
        <f>SUBTOTAL(103,$B$24:B513)</f>
        <v/>
      </c>
      <c r="B513" s="36" t="inlineStr">
        <is>
          <t>Столи кухонні деревяні</t>
        </is>
      </c>
      <c r="C513" s="45" t="inlineStr">
        <is>
          <t>шт.</t>
        </is>
      </c>
      <c r="D513" s="33" t="n"/>
      <c r="E513" s="33" t="n"/>
      <c r="F513" s="33">
        <f>E513*0.05</f>
        <v/>
      </c>
      <c r="G513" s="33">
        <f>E513+F513</f>
        <v/>
      </c>
      <c r="H513" s="33" t="n"/>
      <c r="I513" s="33" t="n"/>
      <c r="J513" s="33" t="n"/>
      <c r="K513" s="33">
        <f>L513+M513+N513</f>
        <v/>
      </c>
      <c r="L513" s="33" t="n"/>
      <c r="M513" s="33" t="n"/>
      <c r="N513" s="33" t="n"/>
      <c r="O513" s="33">
        <f>P513+Q513</f>
        <v/>
      </c>
      <c r="P513" s="33" t="n"/>
      <c r="Q513" s="33" t="n"/>
      <c r="R513" s="33">
        <f>H513+K513-O513</f>
        <v/>
      </c>
      <c r="S513" s="33" t="n"/>
      <c r="T513" s="33" t="n"/>
      <c r="U513" s="33" t="n"/>
      <c r="V513" s="33" t="n"/>
      <c r="W513" s="33" t="n"/>
      <c r="X513" s="33" t="n"/>
      <c r="Y513" s="33" t="n"/>
      <c r="Z513" s="33" t="n"/>
      <c r="AA513" s="4">
        <f>R513-G513</f>
        <v/>
      </c>
      <c r="AB513" s="4">
        <f>G513-R513</f>
        <v/>
      </c>
      <c r="AC513" s="33" t="n"/>
    </row>
    <row r="514" ht="18.75" customHeight="1">
      <c r="A514" s="35">
        <f>SUBTOTAL(103,$B$24:B514)</f>
        <v/>
      </c>
      <c r="B514" s="36" t="inlineStr">
        <is>
          <t>Столи різні</t>
        </is>
      </c>
      <c r="C514" s="37" t="inlineStr">
        <is>
          <t>шт.</t>
        </is>
      </c>
      <c r="D514" s="33" t="n"/>
      <c r="E514" s="33" t="n"/>
      <c r="F514" s="33">
        <f>E514*0.05</f>
        <v/>
      </c>
      <c r="G514" s="33">
        <f>E514+F514</f>
        <v/>
      </c>
      <c r="H514" s="33" t="n"/>
      <c r="I514" s="33" t="n"/>
      <c r="J514" s="33" t="n"/>
      <c r="K514" s="33">
        <f>L514+M514+N514</f>
        <v/>
      </c>
      <c r="L514" s="33" t="n"/>
      <c r="M514" s="33" t="n"/>
      <c r="N514" s="33" t="n"/>
      <c r="O514" s="33">
        <f>P514+Q514</f>
        <v/>
      </c>
      <c r="P514" s="33" t="n"/>
      <c r="Q514" s="33" t="n"/>
      <c r="R514" s="33">
        <f>H514+K514-O514</f>
        <v/>
      </c>
      <c r="S514" s="33" t="n"/>
      <c r="T514" s="33" t="n"/>
      <c r="U514" s="33" t="n"/>
      <c r="V514" s="33" t="n"/>
      <c r="W514" s="33" t="n"/>
      <c r="X514" s="33" t="n"/>
      <c r="Y514" s="33" t="n"/>
      <c r="Z514" s="33" t="n"/>
      <c r="AA514" s="4">
        <f>R514-G514</f>
        <v/>
      </c>
      <c r="AB514" s="4">
        <f>G514-R514</f>
        <v/>
      </c>
      <c r="AC514" s="33" t="n"/>
    </row>
    <row r="515" ht="18.75" customHeight="1">
      <c r="A515" s="35">
        <f>SUBTOTAL(103,$B$24:B515)</f>
        <v/>
      </c>
      <c r="B515" s="39" t="inlineStr">
        <is>
          <t>СТЕЛАЖІ</t>
        </is>
      </c>
      <c r="C515" s="37" t="n"/>
      <c r="D515" s="33" t="n"/>
      <c r="E515" s="33" t="n"/>
      <c r="F515" s="33">
        <f>E515*0.05</f>
        <v/>
      </c>
      <c r="G515" s="33">
        <f>E515+F515</f>
        <v/>
      </c>
      <c r="H515" s="33" t="n"/>
      <c r="I515" s="33" t="n"/>
      <c r="J515" s="33" t="n"/>
      <c r="K515" s="33">
        <f>L515+M515+N515</f>
        <v/>
      </c>
      <c r="L515" s="33" t="n"/>
      <c r="M515" s="33" t="n"/>
      <c r="N515" s="33" t="n"/>
      <c r="O515" s="33">
        <f>P515+Q515</f>
        <v/>
      </c>
      <c r="P515" s="33" t="n"/>
      <c r="Q515" s="33" t="n"/>
      <c r="R515" s="33">
        <f>H515+K515-O515</f>
        <v/>
      </c>
      <c r="S515" s="33" t="n"/>
      <c r="T515" s="33" t="n"/>
      <c r="U515" s="33" t="n"/>
      <c r="V515" s="33" t="n"/>
      <c r="W515" s="33" t="n"/>
      <c r="X515" s="33" t="n"/>
      <c r="Y515" s="33" t="n"/>
      <c r="Z515" s="33" t="n"/>
      <c r="AA515" s="4">
        <f>R515-G515</f>
        <v/>
      </c>
      <c r="AB515" s="4">
        <f>G515-R515</f>
        <v/>
      </c>
      <c r="AC515" s="33" t="n"/>
    </row>
    <row r="516" ht="18.75" customHeight="1">
      <c r="A516" s="35">
        <f>SUBTOTAL(103,$B$24:B516)</f>
        <v/>
      </c>
      <c r="B516" s="36" t="inlineStr">
        <is>
          <t>Стелаж для кухоного посуду</t>
        </is>
      </c>
      <c r="C516" s="37" t="inlineStr">
        <is>
          <t>шт.</t>
        </is>
      </c>
      <c r="D516" s="33" t="n"/>
      <c r="E516" s="33" t="n"/>
      <c r="F516" s="33">
        <f>E516*0.05</f>
        <v/>
      </c>
      <c r="G516" s="33">
        <f>E516+F516</f>
        <v/>
      </c>
      <c r="H516" s="33" t="n"/>
      <c r="I516" s="33" t="n"/>
      <c r="J516" s="33" t="n"/>
      <c r="K516" s="33">
        <f>L516+M516+N516</f>
        <v/>
      </c>
      <c r="L516" s="33" t="n"/>
      <c r="M516" s="33" t="n"/>
      <c r="N516" s="33" t="n"/>
      <c r="O516" s="33">
        <f>P516+Q516</f>
        <v/>
      </c>
      <c r="P516" s="33" t="n"/>
      <c r="Q516" s="33" t="n"/>
      <c r="R516" s="33">
        <f>H516+K516-O516</f>
        <v/>
      </c>
      <c r="S516" s="33" t="n"/>
      <c r="T516" s="33" t="n"/>
      <c r="U516" s="33" t="n"/>
      <c r="V516" s="33" t="n"/>
      <c r="W516" s="33" t="n"/>
      <c r="X516" s="33" t="n"/>
      <c r="Y516" s="33" t="n"/>
      <c r="Z516" s="33" t="n"/>
      <c r="AA516" s="4">
        <f>R516-G516</f>
        <v/>
      </c>
      <c r="AB516" s="4">
        <f>G516-R516</f>
        <v/>
      </c>
      <c r="AC516" s="33" t="n"/>
    </row>
    <row r="517" ht="18.75" customHeight="1">
      <c r="A517" s="35">
        <f>SUBTOTAL(103,$B$24:B517)</f>
        <v/>
      </c>
      <c r="B517" s="36" t="inlineStr">
        <is>
          <t>Стелаж для столового посуду</t>
        </is>
      </c>
      <c r="C517" s="37" t="inlineStr">
        <is>
          <t>шт.</t>
        </is>
      </c>
      <c r="D517" s="33" t="n"/>
      <c r="E517" s="33" t="n"/>
      <c r="F517" s="33">
        <f>E517*0.05</f>
        <v/>
      </c>
      <c r="G517" s="33">
        <f>E517+F517</f>
        <v/>
      </c>
      <c r="H517" s="33" t="n"/>
      <c r="I517" s="33" t="n"/>
      <c r="J517" s="33" t="n"/>
      <c r="K517" s="33">
        <f>L517+M517+N517</f>
        <v/>
      </c>
      <c r="L517" s="33" t="n"/>
      <c r="M517" s="33" t="n"/>
      <c r="N517" s="33" t="n"/>
      <c r="O517" s="33">
        <f>P517+Q517</f>
        <v/>
      </c>
      <c r="P517" s="33" t="n"/>
      <c r="Q517" s="33" t="n"/>
      <c r="R517" s="33">
        <f>H517+K517-O517</f>
        <v/>
      </c>
      <c r="S517" s="33" t="n"/>
      <c r="T517" s="33" t="n"/>
      <c r="U517" s="33" t="n"/>
      <c r="V517" s="33" t="n"/>
      <c r="W517" s="33" t="n"/>
      <c r="X517" s="33" t="n"/>
      <c r="Y517" s="33" t="n"/>
      <c r="Z517" s="33" t="n"/>
      <c r="AA517" s="4">
        <f>R517-G517</f>
        <v/>
      </c>
      <c r="AB517" s="4">
        <f>G517-R517</f>
        <v/>
      </c>
      <c r="AC517" s="33" t="n"/>
    </row>
    <row r="518" ht="18.75" customHeight="1">
      <c r="A518" s="35">
        <f>SUBTOTAL(103,$B$24:B518)</f>
        <v/>
      </c>
      <c r="B518" s="36" t="inlineStr">
        <is>
          <t>Стелаж для хліба і цукру</t>
        </is>
      </c>
      <c r="C518" s="37" t="inlineStr">
        <is>
          <t>шт.</t>
        </is>
      </c>
      <c r="D518" s="33" t="n"/>
      <c r="E518" s="33" t="n"/>
      <c r="F518" s="33">
        <f>E518*0.05</f>
        <v/>
      </c>
      <c r="G518" s="33">
        <f>E518+F518</f>
        <v/>
      </c>
      <c r="H518" s="33" t="n"/>
      <c r="I518" s="33" t="n"/>
      <c r="J518" s="33" t="n"/>
      <c r="K518" s="33">
        <f>L518+M518+N518</f>
        <v/>
      </c>
      <c r="L518" s="33" t="n"/>
      <c r="M518" s="33" t="n"/>
      <c r="N518" s="33" t="n"/>
      <c r="O518" s="33">
        <f>P518+Q518</f>
        <v/>
      </c>
      <c r="P518" s="33" t="n"/>
      <c r="Q518" s="33" t="n"/>
      <c r="R518" s="33">
        <f>H518+K518-O518</f>
        <v/>
      </c>
      <c r="S518" s="33" t="n"/>
      <c r="T518" s="33" t="n"/>
      <c r="U518" s="33" t="n"/>
      <c r="V518" s="33" t="n"/>
      <c r="W518" s="33" t="n"/>
      <c r="X518" s="33" t="n"/>
      <c r="Y518" s="33" t="n"/>
      <c r="Z518" s="33" t="n"/>
      <c r="AA518" s="4">
        <f>R518-G518</f>
        <v/>
      </c>
      <c r="AB518" s="4">
        <f>G518-R518</f>
        <v/>
      </c>
      <c r="AC518" s="33" t="n"/>
    </row>
    <row r="519" ht="18.75" customHeight="1">
      <c r="A519" s="35">
        <f>SUBTOTAL(103,$B$24:B519)</f>
        <v/>
      </c>
      <c r="B519" s="36" t="inlineStr">
        <is>
          <t>Стелажі пересувні</t>
        </is>
      </c>
      <c r="C519" s="37" t="inlineStr">
        <is>
          <t>шт.</t>
        </is>
      </c>
      <c r="D519" s="33" t="n"/>
      <c r="E519" s="33" t="n"/>
      <c r="F519" s="33">
        <f>E519*0.05</f>
        <v/>
      </c>
      <c r="G519" s="33">
        <f>E519+F519</f>
        <v/>
      </c>
      <c r="H519" s="33" t="n"/>
      <c r="I519" s="33" t="n"/>
      <c r="J519" s="33" t="n"/>
      <c r="K519" s="33">
        <f>L519+M519+N519</f>
        <v/>
      </c>
      <c r="L519" s="33" t="n"/>
      <c r="M519" s="33" t="n"/>
      <c r="N519" s="33" t="n"/>
      <c r="O519" s="33">
        <f>P519+Q519</f>
        <v/>
      </c>
      <c r="P519" s="33" t="n"/>
      <c r="Q519" s="33" t="n"/>
      <c r="R519" s="33">
        <f>H519+K519-O519</f>
        <v/>
      </c>
      <c r="S519" s="33" t="n"/>
      <c r="T519" s="33" t="n"/>
      <c r="U519" s="33" t="n"/>
      <c r="V519" s="33" t="n"/>
      <c r="W519" s="33" t="n"/>
      <c r="X519" s="33" t="n"/>
      <c r="Y519" s="33" t="n"/>
      <c r="Z519" s="33" t="n"/>
      <c r="AA519" s="4">
        <f>R519-G519</f>
        <v/>
      </c>
      <c r="AB519" s="4">
        <f>G519-R519</f>
        <v/>
      </c>
      <c r="AC519" s="33" t="n"/>
    </row>
    <row r="520" ht="18.75" customHeight="1">
      <c r="A520" s="35">
        <f>SUBTOTAL(103,$B$24:B520)</f>
        <v/>
      </c>
      <c r="B520" s="36" t="inlineStr">
        <is>
          <t xml:space="preserve">Стелаж для продуктів </t>
        </is>
      </c>
      <c r="C520" s="37" t="inlineStr">
        <is>
          <t>шт.</t>
        </is>
      </c>
      <c r="D520" s="33" t="n"/>
      <c r="E520" s="33" t="n"/>
      <c r="F520" s="33">
        <f>E520*0.05</f>
        <v/>
      </c>
      <c r="G520" s="33">
        <f>E520+F520</f>
        <v/>
      </c>
      <c r="H520" s="33" t="n"/>
      <c r="I520" s="33" t="n"/>
      <c r="J520" s="33" t="n"/>
      <c r="K520" s="33">
        <f>L520+M520+N520</f>
        <v/>
      </c>
      <c r="L520" s="33" t="n"/>
      <c r="M520" s="33" t="n"/>
      <c r="N520" s="33" t="n"/>
      <c r="O520" s="33">
        <f>P520+Q520</f>
        <v/>
      </c>
      <c r="P520" s="33" t="n"/>
      <c r="Q520" s="33" t="n"/>
      <c r="R520" s="33">
        <f>H520+K520-O520</f>
        <v/>
      </c>
      <c r="S520" s="33" t="n"/>
      <c r="T520" s="33" t="n"/>
      <c r="U520" s="33" t="n"/>
      <c r="V520" s="33" t="n"/>
      <c r="W520" s="33" t="n"/>
      <c r="X520" s="33" t="n"/>
      <c r="Y520" s="33" t="n"/>
      <c r="Z520" s="33" t="n"/>
      <c r="AA520" s="4">
        <f>R520-G520</f>
        <v/>
      </c>
      <c r="AB520" s="4">
        <f>G520-R520</f>
        <v/>
      </c>
      <c r="AC520" s="33" t="n"/>
    </row>
    <row r="521" ht="18.75" customHeight="1">
      <c r="A521" s="35">
        <f>SUBTOTAL(103,$B$24:B521)</f>
        <v/>
      </c>
      <c r="B521" s="40" t="inlineStr">
        <is>
          <t>Стелаж для продуктів 3-х полочний</t>
        </is>
      </c>
      <c r="C521" s="37" t="inlineStr">
        <is>
          <t>шт.</t>
        </is>
      </c>
      <c r="D521" s="33" t="n"/>
      <c r="E521" s="33" t="n"/>
      <c r="F521" s="33">
        <f>E521*0.05</f>
        <v/>
      </c>
      <c r="G521" s="33">
        <f>E521+F521</f>
        <v/>
      </c>
      <c r="H521" s="33" t="n"/>
      <c r="I521" s="33" t="n"/>
      <c r="J521" s="33" t="n"/>
      <c r="K521" s="33">
        <f>L521+M521+N521</f>
        <v/>
      </c>
      <c r="L521" s="33" t="n"/>
      <c r="M521" s="33" t="n"/>
      <c r="N521" s="33" t="n"/>
      <c r="O521" s="33">
        <f>P521+Q521</f>
        <v/>
      </c>
      <c r="P521" s="33" t="n"/>
      <c r="Q521" s="33" t="n"/>
      <c r="R521" s="33">
        <f>H521+K521-O521</f>
        <v/>
      </c>
      <c r="S521" s="33" t="n"/>
      <c r="T521" s="33" t="n"/>
      <c r="U521" s="33" t="n"/>
      <c r="V521" s="33" t="n"/>
      <c r="W521" s="33" t="n"/>
      <c r="X521" s="33" t="n"/>
      <c r="Y521" s="33" t="n"/>
      <c r="Z521" s="33" t="n"/>
      <c r="AA521" s="4">
        <f>R521-G521</f>
        <v/>
      </c>
      <c r="AB521" s="4">
        <f>G521-R521</f>
        <v/>
      </c>
      <c r="AC521" s="33" t="n"/>
    </row>
    <row r="522" ht="18.75" customHeight="1">
      <c r="A522" s="35">
        <f>SUBTOTAL(103,$B$24:B522)</f>
        <v/>
      </c>
      <c r="B522" s="36" t="inlineStr">
        <is>
          <t>Стелаж для продуктів 4-х полочний</t>
        </is>
      </c>
      <c r="C522" s="37" t="inlineStr">
        <is>
          <t>шт.</t>
        </is>
      </c>
      <c r="D522" s="33" t="n"/>
      <c r="E522" s="33" t="n"/>
      <c r="F522" s="33">
        <f>E522*0.05</f>
        <v/>
      </c>
      <c r="G522" s="33">
        <f>E522+F522</f>
        <v/>
      </c>
      <c r="H522" s="33" t="n"/>
      <c r="I522" s="33" t="n"/>
      <c r="J522" s="33" t="n"/>
      <c r="K522" s="33">
        <f>L522+M522+N522</f>
        <v/>
      </c>
      <c r="L522" s="33" t="n"/>
      <c r="M522" s="33" t="n"/>
      <c r="N522" s="33" t="n"/>
      <c r="O522" s="33">
        <f>P522+Q522</f>
        <v/>
      </c>
      <c r="P522" s="33" t="n"/>
      <c r="Q522" s="33" t="n"/>
      <c r="R522" s="33">
        <f>H522+K522-O522</f>
        <v/>
      </c>
      <c r="S522" s="33" t="n"/>
      <c r="T522" s="33" t="n"/>
      <c r="U522" s="33" t="n"/>
      <c r="V522" s="33" t="n"/>
      <c r="W522" s="33" t="n"/>
      <c r="X522" s="33" t="n"/>
      <c r="Y522" s="33" t="n"/>
      <c r="Z522" s="33" t="n"/>
      <c r="AA522" s="4">
        <f>R522-G522</f>
        <v/>
      </c>
      <c r="AB522" s="4">
        <f>G522-R522</f>
        <v/>
      </c>
      <c r="AC522" s="33" t="n"/>
    </row>
    <row r="523" ht="37.5" customHeight="1">
      <c r="A523" s="35">
        <f>SUBTOTAL(103,$B$24:B523)</f>
        <v/>
      </c>
      <c r="B523" s="36" t="inlineStr">
        <is>
          <t>Стелаж виробничий з н/ст 4-х полочний 1000*400*1800</t>
        </is>
      </c>
      <c r="C523" s="37" t="inlineStr">
        <is>
          <t>шт.</t>
        </is>
      </c>
      <c r="D523" s="33" t="n"/>
      <c r="E523" s="33" t="n"/>
      <c r="F523" s="33">
        <f>E523*0.05</f>
        <v/>
      </c>
      <c r="G523" s="33">
        <f>E523+F523</f>
        <v/>
      </c>
      <c r="H523" s="33" t="n"/>
      <c r="I523" s="33" t="n"/>
      <c r="J523" s="33" t="n"/>
      <c r="K523" s="33">
        <f>L523+M523+N523</f>
        <v/>
      </c>
      <c r="L523" s="33" t="n"/>
      <c r="M523" s="33" t="n"/>
      <c r="N523" s="33" t="n"/>
      <c r="O523" s="33">
        <f>P523+Q523</f>
        <v/>
      </c>
      <c r="P523" s="33" t="n"/>
      <c r="Q523" s="33" t="n"/>
      <c r="R523" s="33">
        <f>H523+K523-O523</f>
        <v/>
      </c>
      <c r="S523" s="33" t="n"/>
      <c r="T523" s="33" t="n"/>
      <c r="U523" s="33" t="n"/>
      <c r="V523" s="33" t="n"/>
      <c r="W523" s="33" t="n"/>
      <c r="X523" s="33" t="n"/>
      <c r="Y523" s="33" t="n"/>
      <c r="Z523" s="33" t="n"/>
      <c r="AA523" s="4">
        <f>R523-G523</f>
        <v/>
      </c>
      <c r="AB523" s="4">
        <f>G523-R523</f>
        <v/>
      </c>
      <c r="AC523" s="33" t="n"/>
    </row>
    <row r="524" ht="37.5" customHeight="1">
      <c r="A524" s="35">
        <f>SUBTOTAL(103,$B$24:B524)</f>
        <v/>
      </c>
      <c r="B524" s="36" t="inlineStr">
        <is>
          <t>Стелаж виробничий з н/ст 4-х полочний 1200*500*1800</t>
        </is>
      </c>
      <c r="C524" s="37" t="inlineStr">
        <is>
          <t>шт.</t>
        </is>
      </c>
      <c r="D524" s="33" t="n"/>
      <c r="E524" s="33" t="n"/>
      <c r="F524" s="33">
        <f>E524*0.05</f>
        <v/>
      </c>
      <c r="G524" s="33">
        <f>E524+F524</f>
        <v/>
      </c>
      <c r="H524" s="33" t="n"/>
      <c r="I524" s="33" t="n"/>
      <c r="J524" s="33" t="n"/>
      <c r="K524" s="33">
        <f>L524+M524+N524</f>
        <v/>
      </c>
      <c r="L524" s="33" t="n"/>
      <c r="M524" s="33" t="n"/>
      <c r="N524" s="33" t="n"/>
      <c r="O524" s="33">
        <f>P524+Q524</f>
        <v/>
      </c>
      <c r="P524" s="33" t="n"/>
      <c r="Q524" s="33" t="n"/>
      <c r="R524" s="33">
        <f>H524+K524-O524</f>
        <v/>
      </c>
      <c r="S524" s="33" t="n"/>
      <c r="T524" s="33" t="n"/>
      <c r="U524" s="33" t="n"/>
      <c r="V524" s="33" t="n"/>
      <c r="W524" s="33" t="n"/>
      <c r="X524" s="33" t="n"/>
      <c r="Y524" s="33" t="n"/>
      <c r="Z524" s="33" t="n"/>
      <c r="AA524" s="4">
        <f>R524-G524</f>
        <v/>
      </c>
      <c r="AB524" s="4">
        <f>G524-R524</f>
        <v/>
      </c>
      <c r="AC524" s="33" t="n"/>
    </row>
    <row r="525" ht="18.75" customHeight="1">
      <c r="A525" s="35">
        <f>SUBTOTAL(103,$B$24:B525)</f>
        <v/>
      </c>
      <c r="B525" s="36" t="inlineStr">
        <is>
          <t>Стелаж для продуктів 5-х полочний</t>
        </is>
      </c>
      <c r="C525" s="37" t="inlineStr">
        <is>
          <t>шт.</t>
        </is>
      </c>
      <c r="D525" s="33" t="n"/>
      <c r="E525" s="33" t="n"/>
      <c r="F525" s="33">
        <f>E525*0.05</f>
        <v/>
      </c>
      <c r="G525" s="33">
        <f>E525+F525</f>
        <v/>
      </c>
      <c r="H525" s="33" t="n"/>
      <c r="I525" s="33" t="n"/>
      <c r="J525" s="33" t="n"/>
      <c r="K525" s="33">
        <f>L525+M525+N525</f>
        <v/>
      </c>
      <c r="L525" s="33" t="n"/>
      <c r="M525" s="33" t="n"/>
      <c r="N525" s="33" t="n"/>
      <c r="O525" s="33">
        <f>P525+Q525</f>
        <v/>
      </c>
      <c r="P525" s="33" t="n"/>
      <c r="Q525" s="33" t="n"/>
      <c r="R525" s="33">
        <f>H525+K525-O525</f>
        <v/>
      </c>
      <c r="S525" s="33" t="n"/>
      <c r="T525" s="33" t="n"/>
      <c r="U525" s="33" t="n"/>
      <c r="V525" s="33" t="n"/>
      <c r="W525" s="33" t="n"/>
      <c r="X525" s="33" t="n"/>
      <c r="Y525" s="33" t="n"/>
      <c r="Z525" s="33" t="n"/>
      <c r="AA525" s="4">
        <f>R525-G525</f>
        <v/>
      </c>
      <c r="AB525" s="4">
        <f>G525-R525</f>
        <v/>
      </c>
      <c r="AC525" s="33" t="n"/>
    </row>
    <row r="526" ht="18.75" customHeight="1">
      <c r="A526" s="35">
        <f>SUBTOTAL(103,$B$24:B526)</f>
        <v/>
      </c>
      <c r="B526" s="36" t="inlineStr">
        <is>
          <t>Стелаж для продуктів 6-х полочний</t>
        </is>
      </c>
      <c r="C526" s="37" t="inlineStr">
        <is>
          <t>шт.</t>
        </is>
      </c>
      <c r="D526" s="33" t="n"/>
      <c r="E526" s="33" t="n"/>
      <c r="F526" s="33">
        <f>E526*0.05</f>
        <v/>
      </c>
      <c r="G526" s="33">
        <f>E526+F526</f>
        <v/>
      </c>
      <c r="H526" s="33" t="n"/>
      <c r="I526" s="33" t="n"/>
      <c r="J526" s="33" t="n"/>
      <c r="K526" s="33">
        <f>L526+M526+N526</f>
        <v/>
      </c>
      <c r="L526" s="33" t="n"/>
      <c r="M526" s="33" t="n"/>
      <c r="N526" s="33" t="n"/>
      <c r="O526" s="33">
        <f>P526+Q526</f>
        <v/>
      </c>
      <c r="P526" s="33" t="n"/>
      <c r="Q526" s="33" t="n"/>
      <c r="R526" s="33">
        <f>H526+K526-O526</f>
        <v/>
      </c>
      <c r="S526" s="33" t="n"/>
      <c r="T526" s="33" t="n"/>
      <c r="U526" s="33" t="n"/>
      <c r="V526" s="33" t="n"/>
      <c r="W526" s="33" t="n"/>
      <c r="X526" s="33" t="n"/>
      <c r="Y526" s="33" t="n"/>
      <c r="Z526" s="33" t="n"/>
      <c r="AA526" s="4">
        <f>R526-G526</f>
        <v/>
      </c>
      <c r="AB526" s="4">
        <f>G526-R526</f>
        <v/>
      </c>
      <c r="AC526" s="33" t="n"/>
    </row>
    <row r="527" ht="18.75" customHeight="1">
      <c r="A527" s="35">
        <f>SUBTOTAL(103,$B$24:B527)</f>
        <v/>
      </c>
      <c r="B527" s="36" t="inlineStr">
        <is>
          <t>Стелаж для хліба без лотків</t>
        </is>
      </c>
      <c r="C527" s="37" t="inlineStr">
        <is>
          <t>шт.</t>
        </is>
      </c>
      <c r="D527" s="33" t="n"/>
      <c r="E527" s="33" t="n"/>
      <c r="F527" s="33">
        <f>E527*0.05</f>
        <v/>
      </c>
      <c r="G527" s="33">
        <f>E527+F527</f>
        <v/>
      </c>
      <c r="H527" s="33" t="n"/>
      <c r="I527" s="33" t="n"/>
      <c r="J527" s="33" t="n"/>
      <c r="K527" s="33">
        <f>L527+M527+N527</f>
        <v/>
      </c>
      <c r="L527" s="33" t="n"/>
      <c r="M527" s="33" t="n"/>
      <c r="N527" s="33" t="n"/>
      <c r="O527" s="33">
        <f>P527+Q527</f>
        <v/>
      </c>
      <c r="P527" s="33" t="n"/>
      <c r="Q527" s="33" t="n"/>
      <c r="R527" s="33">
        <f>H527+K527-O527</f>
        <v/>
      </c>
      <c r="S527" s="33" t="n"/>
      <c r="T527" s="33" t="n"/>
      <c r="U527" s="33" t="n"/>
      <c r="V527" s="33" t="n"/>
      <c r="W527" s="33" t="n"/>
      <c r="X527" s="33" t="n"/>
      <c r="Y527" s="33" t="n"/>
      <c r="Z527" s="33" t="n"/>
      <c r="AA527" s="4">
        <f>R527-G527</f>
        <v/>
      </c>
      <c r="AB527" s="4">
        <f>G527-R527</f>
        <v/>
      </c>
      <c r="AC527" s="33" t="n"/>
    </row>
    <row r="528" ht="18.75" customHeight="1">
      <c r="A528" s="35">
        <f>SUBTOTAL(103,$B$24:B528)</f>
        <v/>
      </c>
      <c r="B528" s="36" t="inlineStr">
        <is>
          <t>Стелаж для хліба в лотках</t>
        </is>
      </c>
      <c r="C528" s="37" t="inlineStr">
        <is>
          <t>шт.</t>
        </is>
      </c>
      <c r="D528" s="33" t="n"/>
      <c r="E528" s="33" t="n"/>
      <c r="F528" s="33">
        <f>E528*0.05</f>
        <v/>
      </c>
      <c r="G528" s="33">
        <f>E528+F528</f>
        <v/>
      </c>
      <c r="H528" s="33" t="n"/>
      <c r="I528" s="33" t="n"/>
      <c r="J528" s="33" t="n"/>
      <c r="K528" s="33">
        <f>L528+M528+N528</f>
        <v/>
      </c>
      <c r="L528" s="33" t="n"/>
      <c r="M528" s="33" t="n"/>
      <c r="N528" s="33" t="n"/>
      <c r="O528" s="33">
        <f>P528+Q528</f>
        <v/>
      </c>
      <c r="P528" s="33" t="n"/>
      <c r="Q528" s="33" t="n"/>
      <c r="R528" s="33">
        <f>H528+K528-O528</f>
        <v/>
      </c>
      <c r="S528" s="33" t="n"/>
      <c r="T528" s="33" t="n"/>
      <c r="U528" s="33" t="n"/>
      <c r="V528" s="33" t="n"/>
      <c r="W528" s="33" t="n"/>
      <c r="X528" s="33" t="n"/>
      <c r="Y528" s="33" t="n"/>
      <c r="Z528" s="33" t="n"/>
      <c r="AA528" s="4">
        <f>R528-G528</f>
        <v/>
      </c>
      <c r="AB528" s="4">
        <f>G528-R528</f>
        <v/>
      </c>
      <c r="AC528" s="33" t="n"/>
    </row>
    <row r="529" ht="37.5" customHeight="1">
      <c r="A529" s="35">
        <f>SUBTOTAL(103,$B$24:B529)</f>
        <v/>
      </c>
      <c r="B529" s="36" t="inlineStr">
        <is>
          <t>Стелаж для кухонного інвентарю та білизни</t>
        </is>
      </c>
      <c r="C529" s="37" t="inlineStr">
        <is>
          <t>шт.</t>
        </is>
      </c>
      <c r="D529" s="33" t="n"/>
      <c r="E529" s="33" t="n"/>
      <c r="F529" s="33">
        <f>E529*0.05</f>
        <v/>
      </c>
      <c r="G529" s="33">
        <f>E529+F529</f>
        <v/>
      </c>
      <c r="H529" s="33" t="n"/>
      <c r="I529" s="33" t="n"/>
      <c r="J529" s="33" t="n"/>
      <c r="K529" s="33">
        <f>L529+M529+N529</f>
        <v/>
      </c>
      <c r="L529" s="33" t="n"/>
      <c r="M529" s="33" t="n"/>
      <c r="N529" s="33" t="n"/>
      <c r="O529" s="33">
        <f>P529+Q529</f>
        <v/>
      </c>
      <c r="P529" s="33" t="n"/>
      <c r="Q529" s="33" t="n"/>
      <c r="R529" s="33">
        <f>H529+K529-O529</f>
        <v/>
      </c>
      <c r="S529" s="33" t="n"/>
      <c r="T529" s="33" t="n"/>
      <c r="U529" s="33" t="n"/>
      <c r="V529" s="33" t="n"/>
      <c r="W529" s="33" t="n"/>
      <c r="X529" s="33" t="n"/>
      <c r="Y529" s="33" t="n"/>
      <c r="Z529" s="33" t="n"/>
      <c r="AA529" s="4">
        <f>R529-G529</f>
        <v/>
      </c>
      <c r="AB529" s="4">
        <f>G529-R529</f>
        <v/>
      </c>
      <c r="AC529" s="33" t="n"/>
    </row>
    <row r="530" ht="37.5" customHeight="1">
      <c r="A530" s="35">
        <f>SUBTOTAL(103,$B$24:B530)</f>
        <v/>
      </c>
      <c r="B530" s="36" t="inlineStr">
        <is>
          <t>Стелаж пересувний для видачі напівфабрикатів</t>
        </is>
      </c>
      <c r="C530" s="37" t="inlineStr">
        <is>
          <t>шт.</t>
        </is>
      </c>
      <c r="D530" s="33" t="n"/>
      <c r="E530" s="33" t="n"/>
      <c r="F530" s="33">
        <f>E530*0.05</f>
        <v/>
      </c>
      <c r="G530" s="33">
        <f>E530+F530</f>
        <v/>
      </c>
      <c r="H530" s="33" t="n"/>
      <c r="I530" s="33" t="n"/>
      <c r="J530" s="33" t="n"/>
      <c r="K530" s="33">
        <f>L530+M530+N530</f>
        <v/>
      </c>
      <c r="L530" s="33" t="n"/>
      <c r="M530" s="33" t="n"/>
      <c r="N530" s="33" t="n"/>
      <c r="O530" s="33">
        <f>P530+Q530</f>
        <v/>
      </c>
      <c r="P530" s="33" t="n"/>
      <c r="Q530" s="33" t="n"/>
      <c r="R530" s="33">
        <f>H530+K530-O530</f>
        <v/>
      </c>
      <c r="S530" s="33" t="n"/>
      <c r="T530" s="33" t="n"/>
      <c r="U530" s="33" t="n"/>
      <c r="V530" s="33" t="n"/>
      <c r="W530" s="33" t="n"/>
      <c r="X530" s="33" t="n"/>
      <c r="Y530" s="33" t="n"/>
      <c r="Z530" s="33" t="n"/>
      <c r="AA530" s="4">
        <f>R530-G530</f>
        <v/>
      </c>
      <c r="AB530" s="4">
        <f>G530-R530</f>
        <v/>
      </c>
      <c r="AC530" s="33" t="n"/>
    </row>
    <row r="531" ht="18.75" customHeight="1">
      <c r="A531" s="35">
        <f>SUBTOTAL(103,$B$24:B531)</f>
        <v/>
      </c>
      <c r="B531" s="36" t="inlineStr">
        <is>
          <t xml:space="preserve">Стелаж для інвентарю </t>
        </is>
      </c>
      <c r="C531" s="37" t="inlineStr">
        <is>
          <t>шт.</t>
        </is>
      </c>
      <c r="D531" s="33" t="n"/>
      <c r="E531" s="33" t="n"/>
      <c r="F531" s="33">
        <f>E531*0.05</f>
        <v/>
      </c>
      <c r="G531" s="33">
        <f>E531+F531</f>
        <v/>
      </c>
      <c r="H531" s="33" t="n"/>
      <c r="I531" s="33" t="n"/>
      <c r="J531" s="33" t="n"/>
      <c r="K531" s="33">
        <f>L531+M531+N531</f>
        <v/>
      </c>
      <c r="L531" s="33" t="n"/>
      <c r="M531" s="33" t="n"/>
      <c r="N531" s="33" t="n"/>
      <c r="O531" s="33">
        <f>P531+Q531</f>
        <v/>
      </c>
      <c r="P531" s="33" t="n"/>
      <c r="Q531" s="33" t="n"/>
      <c r="R531" s="33">
        <f>H531+K531-O531</f>
        <v/>
      </c>
      <c r="S531" s="33" t="n"/>
      <c r="T531" s="33" t="n"/>
      <c r="U531" s="33" t="n"/>
      <c r="V531" s="33" t="n"/>
      <c r="W531" s="33" t="n"/>
      <c r="X531" s="33" t="n"/>
      <c r="Y531" s="33" t="n"/>
      <c r="Z531" s="33" t="n"/>
      <c r="AA531" s="4">
        <f>R531-G531</f>
        <v/>
      </c>
      <c r="AB531" s="4">
        <f>G531-R531</f>
        <v/>
      </c>
      <c r="AC531" s="33" t="n"/>
    </row>
    <row r="532" ht="18.75" customHeight="1">
      <c r="A532" s="35">
        <f>SUBTOTAL(103,$B$24:B532)</f>
        <v/>
      </c>
      <c r="B532" s="36" t="inlineStr">
        <is>
          <t>Стелаж для столового інвентарю</t>
        </is>
      </c>
      <c r="C532" s="37" t="inlineStr">
        <is>
          <t>шт.</t>
        </is>
      </c>
      <c r="D532" s="33" t="n"/>
      <c r="E532" s="33" t="n"/>
      <c r="F532" s="33">
        <f>E532*0.05</f>
        <v/>
      </c>
      <c r="G532" s="33">
        <f>E532+F532</f>
        <v/>
      </c>
      <c r="H532" s="33" t="n"/>
      <c r="I532" s="33" t="n"/>
      <c r="J532" s="33" t="n"/>
      <c r="K532" s="33">
        <f>L532+M532+N532</f>
        <v/>
      </c>
      <c r="L532" s="33" t="n"/>
      <c r="M532" s="33" t="n"/>
      <c r="N532" s="33" t="n"/>
      <c r="O532" s="33">
        <f>P532+Q532</f>
        <v/>
      </c>
      <c r="P532" s="33" t="n"/>
      <c r="Q532" s="33" t="n"/>
      <c r="R532" s="33">
        <f>H532+K532-O532</f>
        <v/>
      </c>
      <c r="S532" s="33" t="n"/>
      <c r="T532" s="33" t="n"/>
      <c r="U532" s="33" t="n"/>
      <c r="V532" s="33" t="n"/>
      <c r="W532" s="33" t="n"/>
      <c r="X532" s="33" t="n"/>
      <c r="Y532" s="33" t="n"/>
      <c r="Z532" s="33" t="n"/>
      <c r="AA532" s="4">
        <f>R532-G532</f>
        <v/>
      </c>
      <c r="AB532" s="4">
        <f>G532-R532</f>
        <v/>
      </c>
      <c r="AC532" s="33" t="n"/>
    </row>
    <row r="533" ht="18.75" customHeight="1">
      <c r="A533" s="35">
        <f>SUBTOTAL(103,$B$24:B533)</f>
        <v/>
      </c>
      <c r="B533" s="36" t="inlineStr">
        <is>
          <t>Стелаж кондитерський</t>
        </is>
      </c>
      <c r="C533" s="37" t="inlineStr">
        <is>
          <t>шт.</t>
        </is>
      </c>
      <c r="D533" s="33" t="n"/>
      <c r="E533" s="33" t="n"/>
      <c r="F533" s="33">
        <f>E533*0.05</f>
        <v/>
      </c>
      <c r="G533" s="33">
        <f>E533+F533</f>
        <v/>
      </c>
      <c r="H533" s="33" t="n"/>
      <c r="I533" s="33" t="n"/>
      <c r="J533" s="33" t="n"/>
      <c r="K533" s="33">
        <f>L533+M533+N533</f>
        <v/>
      </c>
      <c r="L533" s="33" t="n"/>
      <c r="M533" s="33" t="n"/>
      <c r="N533" s="33" t="n"/>
      <c r="O533" s="33">
        <f>P533+Q533</f>
        <v/>
      </c>
      <c r="P533" s="33" t="n"/>
      <c r="Q533" s="33" t="n"/>
      <c r="R533" s="33">
        <f>H533+K533-O533</f>
        <v/>
      </c>
      <c r="S533" s="33" t="n"/>
      <c r="T533" s="33" t="n"/>
      <c r="U533" s="33" t="n"/>
      <c r="V533" s="33" t="n"/>
      <c r="W533" s="33" t="n"/>
      <c r="X533" s="33" t="n"/>
      <c r="Y533" s="33" t="n"/>
      <c r="Z533" s="33" t="n"/>
      <c r="AA533" s="4">
        <f>R533-G533</f>
        <v/>
      </c>
      <c r="AB533" s="4">
        <f>G533-R533</f>
        <v/>
      </c>
      <c r="AC533" s="33" t="n"/>
    </row>
    <row r="534" ht="18.75" customHeight="1">
      <c r="A534" s="35">
        <f>SUBTOTAL(103,$B$24:B534)</f>
        <v/>
      </c>
      <c r="B534" s="36" t="inlineStr">
        <is>
          <t>Стелаж - сушка</t>
        </is>
      </c>
      <c r="C534" s="37" t="inlineStr">
        <is>
          <t>шт.</t>
        </is>
      </c>
      <c r="D534" s="33" t="n"/>
      <c r="E534" s="33" t="n"/>
      <c r="F534" s="33">
        <f>E534*0.05</f>
        <v/>
      </c>
      <c r="G534" s="33">
        <f>E534+F534</f>
        <v/>
      </c>
      <c r="H534" s="33" t="n"/>
      <c r="I534" s="33" t="n"/>
      <c r="J534" s="33" t="n"/>
      <c r="K534" s="33">
        <f>L534+M534+N534</f>
        <v/>
      </c>
      <c r="L534" s="33" t="n"/>
      <c r="M534" s="33" t="n"/>
      <c r="N534" s="33" t="n"/>
      <c r="O534" s="33">
        <f>P534+Q534</f>
        <v/>
      </c>
      <c r="P534" s="33" t="n"/>
      <c r="Q534" s="33" t="n"/>
      <c r="R534" s="33">
        <f>H534+K534-O534</f>
        <v/>
      </c>
      <c r="S534" s="33" t="n"/>
      <c r="T534" s="33" t="n"/>
      <c r="U534" s="33" t="n"/>
      <c r="V534" s="33" t="n"/>
      <c r="W534" s="33" t="n"/>
      <c r="X534" s="33" t="n"/>
      <c r="Y534" s="33" t="n"/>
      <c r="Z534" s="33" t="n"/>
      <c r="AA534" s="4">
        <f>R534-G534</f>
        <v/>
      </c>
      <c r="AB534" s="4">
        <f>G534-R534</f>
        <v/>
      </c>
      <c r="AC534" s="33" t="n"/>
    </row>
    <row r="535" ht="18.75" customHeight="1">
      <c r="A535" s="35">
        <f>SUBTOTAL(103,$B$24:B535)</f>
        <v/>
      </c>
      <c r="B535" s="36" t="inlineStr">
        <is>
          <t>Стелаж для сушки посуду</t>
        </is>
      </c>
      <c r="C535" s="37" t="inlineStr">
        <is>
          <t>шт.</t>
        </is>
      </c>
      <c r="D535" s="33" t="n"/>
      <c r="E535" s="33" t="n"/>
      <c r="F535" s="33">
        <f>E535*0.05</f>
        <v/>
      </c>
      <c r="G535" s="33">
        <f>E535+F535</f>
        <v/>
      </c>
      <c r="H535" s="33" t="n"/>
      <c r="I535" s="33" t="n"/>
      <c r="J535" s="33" t="n"/>
      <c r="K535" s="33">
        <f>L535+M535+N535</f>
        <v/>
      </c>
      <c r="L535" s="33" t="n"/>
      <c r="M535" s="33" t="n"/>
      <c r="N535" s="33" t="n"/>
      <c r="O535" s="33">
        <f>P535+Q535</f>
        <v/>
      </c>
      <c r="P535" s="33" t="n"/>
      <c r="Q535" s="33" t="n"/>
      <c r="R535" s="33">
        <f>H535+K535-O535</f>
        <v/>
      </c>
      <c r="S535" s="33" t="n"/>
      <c r="T535" s="33" t="n"/>
      <c r="U535" s="33" t="n"/>
      <c r="V535" s="33" t="n"/>
      <c r="W535" s="33" t="n"/>
      <c r="X535" s="33" t="n"/>
      <c r="Y535" s="33" t="n"/>
      <c r="Z535" s="33" t="n"/>
      <c r="AA535" s="4">
        <f>R535-G535</f>
        <v/>
      </c>
      <c r="AB535" s="4">
        <f>G535-R535</f>
        <v/>
      </c>
      <c r="AC535" s="33" t="n"/>
    </row>
    <row r="536" ht="37.5" customHeight="1">
      <c r="A536" s="35">
        <f>SUBTOTAL(103,$B$24:B536)</f>
        <v/>
      </c>
      <c r="B536" s="36" t="inlineStr">
        <is>
          <t>Стелаж для сушки столового порсуду з підігрівом</t>
        </is>
      </c>
      <c r="C536" s="37" t="inlineStr">
        <is>
          <t>шт.</t>
        </is>
      </c>
      <c r="D536" s="33" t="n"/>
      <c r="E536" s="33" t="n"/>
      <c r="F536" s="33">
        <f>E536*0.05</f>
        <v/>
      </c>
      <c r="G536" s="33">
        <f>E536+F536</f>
        <v/>
      </c>
      <c r="H536" s="33" t="n"/>
      <c r="I536" s="33" t="n"/>
      <c r="J536" s="33" t="n"/>
      <c r="K536" s="33">
        <f>L536+M536+N536</f>
        <v/>
      </c>
      <c r="L536" s="33" t="n"/>
      <c r="M536" s="33" t="n"/>
      <c r="N536" s="33" t="n"/>
      <c r="O536" s="33">
        <f>P536+Q536</f>
        <v/>
      </c>
      <c r="P536" s="33" t="n"/>
      <c r="Q536" s="33" t="n"/>
      <c r="R536" s="33">
        <f>H536+K536-O536</f>
        <v/>
      </c>
      <c r="S536" s="33" t="n"/>
      <c r="T536" s="33" t="n"/>
      <c r="U536" s="33" t="n"/>
      <c r="V536" s="33" t="n"/>
      <c r="W536" s="33" t="n"/>
      <c r="X536" s="33" t="n"/>
      <c r="Y536" s="33" t="n"/>
      <c r="Z536" s="33" t="n"/>
      <c r="AA536" s="4">
        <f>R536-G536</f>
        <v/>
      </c>
      <c r="AB536" s="4">
        <f>G536-R536</f>
        <v/>
      </c>
      <c r="AC536" s="33" t="n"/>
    </row>
    <row r="537" ht="18.75" customHeight="1">
      <c r="A537" s="35">
        <f>SUBTOTAL(103,$B$24:B537)</f>
        <v/>
      </c>
      <c r="B537" s="36" t="inlineStr">
        <is>
          <t xml:space="preserve">Стелаж для склотари </t>
        </is>
      </c>
      <c r="C537" s="37" t="inlineStr">
        <is>
          <t>шт.</t>
        </is>
      </c>
      <c r="D537" s="33" t="n"/>
      <c r="E537" s="33" t="n"/>
      <c r="F537" s="33">
        <f>E537*0.05</f>
        <v/>
      </c>
      <c r="G537" s="33">
        <f>E537+F537</f>
        <v/>
      </c>
      <c r="H537" s="33" t="n"/>
      <c r="I537" s="33" t="n"/>
      <c r="J537" s="33" t="n"/>
      <c r="K537" s="33">
        <f>L537+M537+N537</f>
        <v/>
      </c>
      <c r="L537" s="33" t="n"/>
      <c r="M537" s="33" t="n"/>
      <c r="N537" s="33" t="n"/>
      <c r="O537" s="33">
        <f>P537+Q537</f>
        <v/>
      </c>
      <c r="P537" s="33" t="n"/>
      <c r="Q537" s="33" t="n"/>
      <c r="R537" s="33">
        <f>H537+K537-O537</f>
        <v/>
      </c>
      <c r="S537" s="33" t="n"/>
      <c r="T537" s="33" t="n"/>
      <c r="U537" s="33" t="n"/>
      <c r="V537" s="33" t="n"/>
      <c r="W537" s="33" t="n"/>
      <c r="X537" s="33" t="n"/>
      <c r="Y537" s="33" t="n"/>
      <c r="Z537" s="33" t="n"/>
      <c r="AA537" s="4">
        <f>R537-G537</f>
        <v/>
      </c>
      <c r="AB537" s="4">
        <f>G537-R537</f>
        <v/>
      </c>
      <c r="AC537" s="33" t="n"/>
    </row>
    <row r="538" ht="18.75" customHeight="1">
      <c r="A538" s="35">
        <f>SUBTOTAL(103,$B$24:B538)</f>
        <v/>
      </c>
      <c r="B538" s="36" t="inlineStr">
        <is>
          <t>Стелаж виробничий</t>
        </is>
      </c>
      <c r="C538" s="37" t="inlineStr">
        <is>
          <t>шт.</t>
        </is>
      </c>
      <c r="D538" s="33" t="n"/>
      <c r="E538" s="33" t="n"/>
      <c r="F538" s="33">
        <f>E538*0.05</f>
        <v/>
      </c>
      <c r="G538" s="33">
        <f>E538+F538</f>
        <v/>
      </c>
      <c r="H538" s="33" t="n"/>
      <c r="I538" s="33" t="n"/>
      <c r="J538" s="33" t="n"/>
      <c r="K538" s="33">
        <f>L538+M538+N538</f>
        <v/>
      </c>
      <c r="L538" s="33" t="n"/>
      <c r="M538" s="33" t="n"/>
      <c r="N538" s="33" t="n"/>
      <c r="O538" s="33">
        <f>P538+Q538</f>
        <v/>
      </c>
      <c r="P538" s="33" t="n"/>
      <c r="Q538" s="33" t="n"/>
      <c r="R538" s="33">
        <f>H538+K538-O538</f>
        <v/>
      </c>
      <c r="S538" s="33" t="n"/>
      <c r="T538" s="33" t="n"/>
      <c r="U538" s="33" t="n"/>
      <c r="V538" s="33" t="n"/>
      <c r="W538" s="33" t="n"/>
      <c r="X538" s="33" t="n"/>
      <c r="Y538" s="33" t="n"/>
      <c r="Z538" s="33" t="n"/>
      <c r="AA538" s="4">
        <f>R538-G538</f>
        <v/>
      </c>
      <c r="AB538" s="4">
        <f>G538-R538</f>
        <v/>
      </c>
      <c r="AC538" s="33" t="n"/>
    </row>
    <row r="539" ht="37.5" customHeight="1">
      <c r="A539" s="35">
        <f>SUBTOTAL(103,$B$24:B539)</f>
        <v/>
      </c>
      <c r="B539" s="36" t="inlineStr">
        <is>
          <t>Стелаж виробничий з н/ст 1200*500*1800</t>
        </is>
      </c>
      <c r="C539" s="37" t="inlineStr">
        <is>
          <t>шт.</t>
        </is>
      </c>
      <c r="D539" s="33" t="n"/>
      <c r="E539" s="33" t="n"/>
      <c r="F539" s="33">
        <f>E539*0.05</f>
        <v/>
      </c>
      <c r="G539" s="33">
        <f>E539+F539</f>
        <v/>
      </c>
      <c r="H539" s="33" t="n"/>
      <c r="I539" s="33" t="n"/>
      <c r="J539" s="33" t="n"/>
      <c r="K539" s="33">
        <f>L539+M539+N539</f>
        <v/>
      </c>
      <c r="L539" s="33" t="n"/>
      <c r="M539" s="33" t="n"/>
      <c r="N539" s="33" t="n"/>
      <c r="O539" s="33">
        <f>P539+Q539</f>
        <v/>
      </c>
      <c r="P539" s="33" t="n"/>
      <c r="Q539" s="33" t="n"/>
      <c r="R539" s="33">
        <f>H539+K539-O539</f>
        <v/>
      </c>
      <c r="S539" s="33" t="n"/>
      <c r="T539" s="33" t="n"/>
      <c r="U539" s="33" t="n"/>
      <c r="V539" s="33" t="n"/>
      <c r="W539" s="33" t="n"/>
      <c r="X539" s="33" t="n"/>
      <c r="Y539" s="33" t="n"/>
      <c r="Z539" s="33" t="n"/>
      <c r="AA539" s="4">
        <f>R539-G539</f>
        <v/>
      </c>
      <c r="AB539" s="4">
        <f>G539-R539</f>
        <v/>
      </c>
      <c r="AC539" s="33" t="n"/>
    </row>
    <row r="540" ht="18.75" customHeight="1">
      <c r="A540" s="35">
        <f>SUBTOTAL(103,$B$24:B540)</f>
        <v/>
      </c>
      <c r="B540" s="36" t="inlineStr">
        <is>
          <t xml:space="preserve">Стелажі різні </t>
        </is>
      </c>
      <c r="C540" s="37" t="inlineStr">
        <is>
          <t>шт.</t>
        </is>
      </c>
      <c r="D540" s="33" t="n"/>
      <c r="E540" s="33" t="n"/>
      <c r="F540" s="33">
        <f>E540*0.05</f>
        <v/>
      </c>
      <c r="G540" s="33">
        <f>E540+F540</f>
        <v/>
      </c>
      <c r="H540" s="33" t="n"/>
      <c r="I540" s="33" t="n"/>
      <c r="J540" s="33" t="n"/>
      <c r="K540" s="33">
        <f>L540+M540+N540</f>
        <v/>
      </c>
      <c r="L540" s="33" t="n"/>
      <c r="M540" s="33" t="n"/>
      <c r="N540" s="33" t="n"/>
      <c r="O540" s="33">
        <f>P540+Q540</f>
        <v/>
      </c>
      <c r="P540" s="33" t="n"/>
      <c r="Q540" s="33" t="n"/>
      <c r="R540" s="33">
        <f>H540+K540-O540</f>
        <v/>
      </c>
      <c r="S540" s="33" t="n"/>
      <c r="T540" s="33" t="n"/>
      <c r="U540" s="33" t="n"/>
      <c r="V540" s="33" t="n"/>
      <c r="W540" s="33" t="n"/>
      <c r="X540" s="33" t="n"/>
      <c r="Y540" s="33" t="n"/>
      <c r="Z540" s="33" t="n"/>
      <c r="AA540" s="4">
        <f>R540-G540</f>
        <v/>
      </c>
      <c r="AB540" s="4">
        <f>G540-R540</f>
        <v/>
      </c>
      <c r="AC540" s="33" t="n"/>
    </row>
    <row r="541" ht="18.75" customHeight="1">
      <c r="A541" s="35">
        <f>SUBTOTAL(103,$B$24:B541)</f>
        <v/>
      </c>
      <c r="B541" s="36" t="inlineStr">
        <is>
          <t>Секція вставка для посуду</t>
        </is>
      </c>
      <c r="C541" s="37" t="inlineStr">
        <is>
          <t>шт.</t>
        </is>
      </c>
      <c r="D541" s="33" t="n"/>
      <c r="E541" s="33" t="n"/>
      <c r="F541" s="33">
        <f>E541*0.05</f>
        <v/>
      </c>
      <c r="G541" s="33">
        <f>E541+F541</f>
        <v/>
      </c>
      <c r="H541" s="33" t="n"/>
      <c r="I541" s="33" t="n"/>
      <c r="J541" s="33" t="n"/>
      <c r="K541" s="33">
        <f>L541+M541+N541</f>
        <v/>
      </c>
      <c r="L541" s="33" t="n"/>
      <c r="M541" s="33" t="n"/>
      <c r="N541" s="33" t="n"/>
      <c r="O541" s="33">
        <f>P541+Q541</f>
        <v/>
      </c>
      <c r="P541" s="33" t="n"/>
      <c r="Q541" s="33" t="n"/>
      <c r="R541" s="33">
        <f>H541+K541-O541</f>
        <v/>
      </c>
      <c r="S541" s="33" t="n"/>
      <c r="T541" s="33" t="n"/>
      <c r="U541" s="33" t="n"/>
      <c r="V541" s="33" t="n"/>
      <c r="W541" s="33" t="n"/>
      <c r="X541" s="33" t="n"/>
      <c r="Y541" s="33" t="n"/>
      <c r="Z541" s="33" t="n"/>
      <c r="AA541" s="4">
        <f>R541-G541</f>
        <v/>
      </c>
      <c r="AB541" s="4">
        <f>G541-R541</f>
        <v/>
      </c>
      <c r="AC541" s="33" t="n"/>
    </row>
    <row r="542" ht="18.75" customHeight="1">
      <c r="A542" s="35">
        <f>SUBTOTAL(103,$B$24:B542)</f>
        <v/>
      </c>
      <c r="B542" s="36" t="inlineStr">
        <is>
          <t>Сушка для посуду пластикова</t>
        </is>
      </c>
      <c r="C542" s="37" t="inlineStr">
        <is>
          <t>шт.</t>
        </is>
      </c>
      <c r="D542" s="33" t="n"/>
      <c r="E542" s="33" t="n"/>
      <c r="F542" s="33">
        <f>E542*0.05</f>
        <v/>
      </c>
      <c r="G542" s="33">
        <f>E542+F542</f>
        <v/>
      </c>
      <c r="H542" s="33" t="n"/>
      <c r="I542" s="33" t="n"/>
      <c r="J542" s="33" t="n"/>
      <c r="K542" s="33">
        <f>L542+M542+N542</f>
        <v/>
      </c>
      <c r="L542" s="33" t="n"/>
      <c r="M542" s="33" t="n"/>
      <c r="N542" s="33" t="n"/>
      <c r="O542" s="33">
        <f>P542+Q542</f>
        <v/>
      </c>
      <c r="P542" s="33" t="n"/>
      <c r="Q542" s="33" t="n"/>
      <c r="R542" s="33">
        <f>H542+K542-O542</f>
        <v/>
      </c>
      <c r="S542" s="33" t="n"/>
      <c r="T542" s="33" t="n"/>
      <c r="U542" s="33" t="n"/>
      <c r="V542" s="33" t="n"/>
      <c r="W542" s="33" t="n"/>
      <c r="X542" s="33" t="n"/>
      <c r="Y542" s="33" t="n"/>
      <c r="Z542" s="33" t="n"/>
      <c r="AA542" s="4">
        <f>R542-G542</f>
        <v/>
      </c>
      <c r="AB542" s="4">
        <f>G542-R542</f>
        <v/>
      </c>
      <c r="AC542" s="33" t="n"/>
    </row>
    <row r="543" ht="18.75" customHeight="1">
      <c r="A543" s="35">
        <f>SUBTOTAL(103,$B$24:B543)</f>
        <v/>
      </c>
      <c r="B543" s="36" t="inlineStr">
        <is>
          <t>Сушка для столових приборів металева</t>
        </is>
      </c>
      <c r="C543" s="37" t="inlineStr">
        <is>
          <t>шт.</t>
        </is>
      </c>
      <c r="D543" s="33" t="n"/>
      <c r="E543" s="33" t="n"/>
      <c r="F543" s="33">
        <f>E543*0.05</f>
        <v/>
      </c>
      <c r="G543" s="33">
        <f>E543+F543</f>
        <v/>
      </c>
      <c r="H543" s="33" t="n"/>
      <c r="I543" s="33" t="n"/>
      <c r="J543" s="33" t="n"/>
      <c r="K543" s="33">
        <f>L543+M543+N543</f>
        <v/>
      </c>
      <c r="L543" s="33" t="n"/>
      <c r="M543" s="33" t="n"/>
      <c r="N543" s="33" t="n"/>
      <c r="O543" s="33">
        <f>P543+Q543</f>
        <v/>
      </c>
      <c r="P543" s="33" t="n"/>
      <c r="Q543" s="33" t="n"/>
      <c r="R543" s="33">
        <f>H543+K543-O543</f>
        <v/>
      </c>
      <c r="S543" s="33" t="n"/>
      <c r="T543" s="33" t="n"/>
      <c r="U543" s="33" t="n"/>
      <c r="V543" s="33" t="n"/>
      <c r="W543" s="33" t="n"/>
      <c r="X543" s="33" t="n"/>
      <c r="Y543" s="33" t="n"/>
      <c r="Z543" s="33" t="n"/>
      <c r="AA543" s="4">
        <f>R543-G543</f>
        <v/>
      </c>
      <c r="AB543" s="4">
        <f>G543-R543</f>
        <v/>
      </c>
      <c r="AC543" s="33" t="n"/>
    </row>
    <row r="544" ht="18.75" customHeight="1">
      <c r="A544" s="35">
        <f>SUBTOTAL(103,$B$24:B544)</f>
        <v/>
      </c>
      <c r="B544" s="36" t="inlineStr">
        <is>
          <t>Сушка для посуду 2 в1</t>
        </is>
      </c>
      <c r="C544" s="37" t="inlineStr">
        <is>
          <t>шт.</t>
        </is>
      </c>
      <c r="D544" s="33" t="n"/>
      <c r="E544" s="33" t="n"/>
      <c r="F544" s="33">
        <f>E544*0.05</f>
        <v/>
      </c>
      <c r="G544" s="33">
        <f>E544+F544</f>
        <v/>
      </c>
      <c r="H544" s="33" t="n"/>
      <c r="I544" s="33" t="n"/>
      <c r="J544" s="33" t="n"/>
      <c r="K544" s="33">
        <f>L544+M544+N544</f>
        <v/>
      </c>
      <c r="L544" s="33" t="n"/>
      <c r="M544" s="33" t="n"/>
      <c r="N544" s="33" t="n"/>
      <c r="O544" s="33">
        <f>P544+Q544</f>
        <v/>
      </c>
      <c r="P544" s="33" t="n"/>
      <c r="Q544" s="33" t="n"/>
      <c r="R544" s="33">
        <f>H544+K544-O544</f>
        <v/>
      </c>
      <c r="S544" s="33" t="n"/>
      <c r="T544" s="33" t="n"/>
      <c r="U544" s="33" t="n"/>
      <c r="V544" s="33" t="n"/>
      <c r="W544" s="33" t="n"/>
      <c r="X544" s="33" t="n"/>
      <c r="Y544" s="33" t="n"/>
      <c r="Z544" s="33" t="n"/>
      <c r="AA544" s="4">
        <f>R544-G544</f>
        <v/>
      </c>
      <c r="AB544" s="4">
        <f>G544-R544</f>
        <v/>
      </c>
      <c r="AC544" s="33" t="n"/>
    </row>
    <row r="545" ht="18.75" customHeight="1">
      <c r="A545" s="35">
        <f>SUBTOTAL(103,$B$24:B545)</f>
        <v/>
      </c>
      <c r="B545" s="36" t="inlineStr">
        <is>
          <t>Поличка 2- рівнева навісна</t>
        </is>
      </c>
      <c r="C545" s="37" t="inlineStr">
        <is>
          <t>шт.</t>
        </is>
      </c>
      <c r="D545" s="33" t="n"/>
      <c r="E545" s="33" t="n"/>
      <c r="F545" s="33">
        <f>E545*0.05</f>
        <v/>
      </c>
      <c r="G545" s="33">
        <f>E545+F545</f>
        <v/>
      </c>
      <c r="H545" s="33" t="n"/>
      <c r="I545" s="33" t="n"/>
      <c r="J545" s="33" t="n"/>
      <c r="K545" s="33">
        <f>L545+M545+N545</f>
        <v/>
      </c>
      <c r="L545" s="33" t="n"/>
      <c r="M545" s="33" t="n"/>
      <c r="N545" s="33" t="n"/>
      <c r="O545" s="33">
        <f>P545+Q545</f>
        <v/>
      </c>
      <c r="P545" s="33" t="n"/>
      <c r="Q545" s="33" t="n"/>
      <c r="R545" s="33">
        <f>H545+K545-O545</f>
        <v/>
      </c>
      <c r="S545" s="33" t="n"/>
      <c r="T545" s="33" t="n"/>
      <c r="U545" s="33" t="n"/>
      <c r="V545" s="33" t="n"/>
      <c r="W545" s="33" t="n"/>
      <c r="X545" s="33" t="n"/>
      <c r="Y545" s="33" t="n"/>
      <c r="Z545" s="33" t="n"/>
      <c r="AA545" s="4">
        <f>R545-G545</f>
        <v/>
      </c>
      <c r="AB545" s="4">
        <f>G545-R545</f>
        <v/>
      </c>
      <c r="AC545" s="33" t="n"/>
    </row>
    <row r="546" ht="18.75" customHeight="1">
      <c r="A546" s="35">
        <f>SUBTOTAL(103,$B$24:B546)</f>
        <v/>
      </c>
      <c r="B546" s="36" t="inlineStr">
        <is>
          <t xml:space="preserve">Шафи для хліба на тарілках </t>
        </is>
      </c>
      <c r="C546" s="37" t="inlineStr">
        <is>
          <t>шт.</t>
        </is>
      </c>
      <c r="D546" s="33" t="n"/>
      <c r="E546" s="33" t="n"/>
      <c r="F546" s="33">
        <f>E546*0.05</f>
        <v/>
      </c>
      <c r="G546" s="33">
        <f>E546+F546</f>
        <v/>
      </c>
      <c r="H546" s="33" t="n"/>
      <c r="I546" s="33" t="n"/>
      <c r="J546" s="33" t="n"/>
      <c r="K546" s="33">
        <f>L546+M546+N546</f>
        <v/>
      </c>
      <c r="L546" s="33" t="n"/>
      <c r="M546" s="33" t="n"/>
      <c r="N546" s="33" t="n"/>
      <c r="O546" s="33">
        <f>P546+Q546</f>
        <v/>
      </c>
      <c r="P546" s="33" t="n"/>
      <c r="Q546" s="33" t="n"/>
      <c r="R546" s="33">
        <f>H546+K546-O546</f>
        <v/>
      </c>
      <c r="S546" s="33" t="n"/>
      <c r="T546" s="33" t="n"/>
      <c r="U546" s="33" t="n"/>
      <c r="V546" s="33" t="n"/>
      <c r="W546" s="33" t="n"/>
      <c r="X546" s="33" t="n"/>
      <c r="Y546" s="33" t="n"/>
      <c r="Z546" s="33" t="n"/>
      <c r="AA546" s="4">
        <f>R546-G546</f>
        <v/>
      </c>
      <c r="AB546" s="4">
        <f>G546-R546</f>
        <v/>
      </c>
      <c r="AC546" s="33" t="n"/>
    </row>
    <row r="547" ht="18.75" customHeight="1">
      <c r="A547" s="35">
        <f>SUBTOTAL(103,$B$24:B547)</f>
        <v/>
      </c>
      <c r="B547" s="36" t="inlineStr">
        <is>
          <t>Шафа для цукру на тарілках</t>
        </is>
      </c>
      <c r="C547" s="37" t="inlineStr">
        <is>
          <t>шт.</t>
        </is>
      </c>
      <c r="D547" s="33" t="n"/>
      <c r="E547" s="33" t="n"/>
      <c r="F547" s="33">
        <f>E547*0.05</f>
        <v/>
      </c>
      <c r="G547" s="33">
        <f>E547+F547</f>
        <v/>
      </c>
      <c r="H547" s="33" t="n"/>
      <c r="I547" s="33" t="n"/>
      <c r="J547" s="33" t="n"/>
      <c r="K547" s="33">
        <f>L547+M547+N547</f>
        <v/>
      </c>
      <c r="L547" s="33" t="n"/>
      <c r="M547" s="33" t="n"/>
      <c r="N547" s="33" t="n"/>
      <c r="O547" s="33">
        <f>P547+Q547</f>
        <v/>
      </c>
      <c r="P547" s="33" t="n"/>
      <c r="Q547" s="33" t="n"/>
      <c r="R547" s="33">
        <f>H547+K547-O547</f>
        <v/>
      </c>
      <c r="S547" s="33" t="n"/>
      <c r="T547" s="33" t="n"/>
      <c r="U547" s="33" t="n"/>
      <c r="V547" s="33" t="n"/>
      <c r="W547" s="33" t="n"/>
      <c r="X547" s="33" t="n"/>
      <c r="Y547" s="33" t="n"/>
      <c r="Z547" s="33" t="n"/>
      <c r="AA547" s="4">
        <f>R547-G547</f>
        <v/>
      </c>
      <c r="AB547" s="4">
        <f>G547-R547</f>
        <v/>
      </c>
      <c r="AC547" s="33" t="n"/>
    </row>
    <row r="548" ht="18.75" customHeight="1">
      <c r="A548" s="35">
        <f>SUBTOTAL(103,$B$24:B548)</f>
        <v/>
      </c>
      <c r="B548" s="36" t="inlineStr">
        <is>
          <t>Шафа для столового посуду</t>
        </is>
      </c>
      <c r="C548" s="37" t="inlineStr">
        <is>
          <t>шт.</t>
        </is>
      </c>
      <c r="D548" s="33" t="n"/>
      <c r="E548" s="33" t="n"/>
      <c r="F548" s="33">
        <f>E548*0.05</f>
        <v/>
      </c>
      <c r="G548" s="33">
        <f>E548+F548</f>
        <v/>
      </c>
      <c r="H548" s="33" t="n"/>
      <c r="I548" s="33" t="n"/>
      <c r="J548" s="33" t="n"/>
      <c r="K548" s="33">
        <f>L548+M548+N548</f>
        <v/>
      </c>
      <c r="L548" s="33" t="n"/>
      <c r="M548" s="33" t="n"/>
      <c r="N548" s="33" t="n"/>
      <c r="O548" s="33">
        <f>P548+Q548</f>
        <v/>
      </c>
      <c r="P548" s="33" t="n"/>
      <c r="Q548" s="33" t="n"/>
      <c r="R548" s="33">
        <f>H548+K548-O548</f>
        <v/>
      </c>
      <c r="S548" s="33" t="n"/>
      <c r="T548" s="33" t="n"/>
      <c r="U548" s="33" t="n"/>
      <c r="V548" s="33" t="n"/>
      <c r="W548" s="33" t="n"/>
      <c r="X548" s="33" t="n"/>
      <c r="Y548" s="33" t="n"/>
      <c r="Z548" s="33" t="n"/>
      <c r="AA548" s="4">
        <f>R548-G548</f>
        <v/>
      </c>
      <c r="AB548" s="4">
        <f>G548-R548</f>
        <v/>
      </c>
      <c r="AC548" s="33" t="n"/>
    </row>
    <row r="549" ht="18.75" customHeight="1">
      <c r="A549" s="35">
        <f>SUBTOTAL(103,$B$24:B549)</f>
        <v/>
      </c>
      <c r="B549" s="36" t="inlineStr">
        <is>
          <t>Піддон для сушки столових приборів</t>
        </is>
      </c>
      <c r="C549" s="37" t="inlineStr">
        <is>
          <t>шт.</t>
        </is>
      </c>
      <c r="D549" s="33" t="n"/>
      <c r="E549" s="33" t="n"/>
      <c r="F549" s="33">
        <f>E549*0.05</f>
        <v/>
      </c>
      <c r="G549" s="33">
        <f>E549+F549</f>
        <v/>
      </c>
      <c r="H549" s="33" t="n"/>
      <c r="I549" s="33" t="n"/>
      <c r="J549" s="33" t="n"/>
      <c r="K549" s="33">
        <f>L549+M549+N549</f>
        <v/>
      </c>
      <c r="L549" s="33" t="n"/>
      <c r="M549" s="33" t="n"/>
      <c r="N549" s="33" t="n"/>
      <c r="O549" s="33">
        <f>P549+Q549</f>
        <v/>
      </c>
      <c r="P549" s="33" t="n"/>
      <c r="Q549" s="33" t="n"/>
      <c r="R549" s="33">
        <f>H549+K549-O549</f>
        <v/>
      </c>
      <c r="S549" s="33" t="n"/>
      <c r="T549" s="33" t="n"/>
      <c r="U549" s="33" t="n"/>
      <c r="V549" s="33" t="n"/>
      <c r="W549" s="33" t="n"/>
      <c r="X549" s="33" t="n"/>
      <c r="Y549" s="33" t="n"/>
      <c r="Z549" s="33" t="n"/>
      <c r="AA549" s="4">
        <f>R549-G549</f>
        <v/>
      </c>
      <c r="AB549" s="4">
        <f>G549-R549</f>
        <v/>
      </c>
      <c r="AC549" s="33" t="n"/>
    </row>
    <row r="550" ht="18.75" customHeight="1">
      <c r="A550" s="35">
        <f>SUBTOTAL(103,$B$24:B550)</f>
        <v/>
      </c>
      <c r="B550" s="36" t="inlineStr">
        <is>
          <t>Підставка під ножі та виделки</t>
        </is>
      </c>
      <c r="C550" s="37" t="inlineStr">
        <is>
          <t>шт.</t>
        </is>
      </c>
      <c r="D550" s="33" t="n"/>
      <c r="E550" s="33" t="n"/>
      <c r="F550" s="33">
        <f>E550*0.05</f>
        <v/>
      </c>
      <c r="G550" s="33">
        <f>E550+F550</f>
        <v/>
      </c>
      <c r="H550" s="33" t="n"/>
      <c r="I550" s="33" t="n"/>
      <c r="J550" s="33" t="n"/>
      <c r="K550" s="33">
        <f>L550+M550+N550</f>
        <v/>
      </c>
      <c r="L550" s="33" t="n"/>
      <c r="M550" s="33" t="n"/>
      <c r="N550" s="33" t="n"/>
      <c r="O550" s="33">
        <f>P550+Q550</f>
        <v/>
      </c>
      <c r="P550" s="33" t="n"/>
      <c r="Q550" s="33" t="n"/>
      <c r="R550" s="33">
        <f>H550+K550-O550</f>
        <v/>
      </c>
      <c r="S550" s="33" t="n"/>
      <c r="T550" s="33" t="n"/>
      <c r="U550" s="33" t="n"/>
      <c r="V550" s="33" t="n"/>
      <c r="W550" s="33" t="n"/>
      <c r="X550" s="33" t="n"/>
      <c r="Y550" s="33" t="n"/>
      <c r="Z550" s="33" t="n"/>
      <c r="AA550" s="4">
        <f>R550-G550</f>
        <v/>
      </c>
      <c r="AB550" s="4">
        <f>G550-R550</f>
        <v/>
      </c>
      <c r="AC550" s="33" t="n"/>
    </row>
    <row r="551" ht="18.75" customHeight="1">
      <c r="A551" s="35">
        <f>SUBTOTAL(103,$B$24:B551)</f>
        <v/>
      </c>
      <c r="B551" s="36" t="inlineStr">
        <is>
          <t>Підставки для прибирального інвентаря</t>
        </is>
      </c>
      <c r="C551" s="37" t="inlineStr">
        <is>
          <t>шт.</t>
        </is>
      </c>
      <c r="D551" s="33" t="n"/>
      <c r="E551" s="33" t="n"/>
      <c r="F551" s="33">
        <f>E551*0.05</f>
        <v/>
      </c>
      <c r="G551" s="33">
        <f>E551+F551</f>
        <v/>
      </c>
      <c r="H551" s="33" t="n"/>
      <c r="I551" s="33" t="n"/>
      <c r="J551" s="33" t="n"/>
      <c r="K551" s="33">
        <f>L551+M551+N551</f>
        <v/>
      </c>
      <c r="L551" s="33" t="n"/>
      <c r="M551" s="33" t="n"/>
      <c r="N551" s="33" t="n"/>
      <c r="O551" s="33">
        <f>P551+Q551</f>
        <v/>
      </c>
      <c r="P551" s="33" t="n"/>
      <c r="Q551" s="33" t="n"/>
      <c r="R551" s="33">
        <f>H551+K551-O551</f>
        <v/>
      </c>
      <c r="S551" s="33" t="n"/>
      <c r="T551" s="33" t="n"/>
      <c r="U551" s="33" t="n"/>
      <c r="V551" s="33" t="n"/>
      <c r="W551" s="33" t="n"/>
      <c r="X551" s="33" t="n"/>
      <c r="Y551" s="33" t="n"/>
      <c r="Z551" s="33" t="n"/>
      <c r="AA551" s="4">
        <f>R551-G551</f>
        <v/>
      </c>
      <c r="AB551" s="4">
        <f>G551-R551</f>
        <v/>
      </c>
      <c r="AC551" s="33" t="n"/>
    </row>
    <row r="552" ht="18.75" customHeight="1">
      <c r="A552" s="35">
        <f>SUBTOTAL(103,$B$24:B552)</f>
        <v/>
      </c>
      <c r="B552" s="36" t="inlineStr">
        <is>
          <t>Підставка під посуд</t>
        </is>
      </c>
      <c r="C552" s="37" t="inlineStr">
        <is>
          <t>шт.</t>
        </is>
      </c>
      <c r="D552" s="33" t="n"/>
      <c r="E552" s="33" t="n"/>
      <c r="F552" s="33">
        <f>E552*0.05</f>
        <v/>
      </c>
      <c r="G552" s="33">
        <f>E552+F552</f>
        <v/>
      </c>
      <c r="H552" s="33" t="n"/>
      <c r="I552" s="33" t="n"/>
      <c r="J552" s="33" t="n"/>
      <c r="K552" s="33">
        <f>L552+M552+N552</f>
        <v/>
      </c>
      <c r="L552" s="33" t="n"/>
      <c r="M552" s="33" t="n"/>
      <c r="N552" s="33" t="n"/>
      <c r="O552" s="33">
        <f>P552+Q552</f>
        <v/>
      </c>
      <c r="P552" s="33" t="n"/>
      <c r="Q552" s="33" t="n"/>
      <c r="R552" s="33">
        <f>H552+K552-O552</f>
        <v/>
      </c>
      <c r="S552" s="33" t="n"/>
      <c r="T552" s="33" t="n"/>
      <c r="U552" s="33" t="n"/>
      <c r="V552" s="33" t="n"/>
      <c r="W552" s="33" t="n"/>
      <c r="X552" s="33" t="n"/>
      <c r="Y552" s="33" t="n"/>
      <c r="Z552" s="33" t="n"/>
      <c r="AA552" s="4">
        <f>R552-G552</f>
        <v/>
      </c>
      <c r="AB552" s="4">
        <f>G552-R552</f>
        <v/>
      </c>
      <c r="AC552" s="33" t="n"/>
    </row>
    <row r="553" ht="18.75" customHeight="1">
      <c r="A553" s="35">
        <f>SUBTOTAL(103,$B$24:B553)</f>
        <v/>
      </c>
      <c r="B553" s="36" t="inlineStr">
        <is>
          <t>Підставка під гаряче</t>
        </is>
      </c>
      <c r="C553" s="37" t="inlineStr">
        <is>
          <t>шт.</t>
        </is>
      </c>
      <c r="D553" s="33" t="n"/>
      <c r="E553" s="33" t="n"/>
      <c r="F553" s="33">
        <f>E553*0.05</f>
        <v/>
      </c>
      <c r="G553" s="33">
        <f>E553+F553</f>
        <v/>
      </c>
      <c r="H553" s="33" t="n"/>
      <c r="I553" s="33" t="n"/>
      <c r="J553" s="33" t="n"/>
      <c r="K553" s="33">
        <f>L553+M553+N553</f>
        <v/>
      </c>
      <c r="L553" s="33" t="n"/>
      <c r="M553" s="33" t="n"/>
      <c r="N553" s="33" t="n"/>
      <c r="O553" s="33">
        <f>P553+Q553</f>
        <v/>
      </c>
      <c r="P553" s="33" t="n"/>
      <c r="Q553" s="33" t="n"/>
      <c r="R553" s="33">
        <f>H553+K553-O553</f>
        <v/>
      </c>
      <c r="S553" s="33" t="n"/>
      <c r="T553" s="33" t="n"/>
      <c r="U553" s="33" t="n"/>
      <c r="V553" s="33" t="n"/>
      <c r="W553" s="33" t="n"/>
      <c r="X553" s="33" t="n"/>
      <c r="Y553" s="33" t="n"/>
      <c r="Z553" s="33" t="n"/>
      <c r="AA553" s="4">
        <f>R553-G553</f>
        <v/>
      </c>
      <c r="AB553" s="4">
        <f>G553-R553</f>
        <v/>
      </c>
      <c r="AC553" s="33" t="n"/>
    </row>
    <row r="554" ht="18.75" customHeight="1">
      <c r="A554" s="35">
        <f>SUBTOTAL(103,$B$24:B554)</f>
        <v/>
      </c>
      <c r="B554" s="36" t="inlineStr">
        <is>
          <t>Лінія самообслуговування</t>
        </is>
      </c>
      <c r="C554" s="37" t="inlineStr">
        <is>
          <t>к-т</t>
        </is>
      </c>
      <c r="D554" s="33" t="n"/>
      <c r="E554" s="33" t="n"/>
      <c r="F554" s="33">
        <f>E554*0.05</f>
        <v/>
      </c>
      <c r="G554" s="33">
        <f>E554+F554</f>
        <v/>
      </c>
      <c r="H554" s="33" t="n"/>
      <c r="I554" s="33" t="n"/>
      <c r="J554" s="33" t="n"/>
      <c r="K554" s="33">
        <f>L554+M554+N554</f>
        <v/>
      </c>
      <c r="L554" s="33" t="n"/>
      <c r="M554" s="33" t="n"/>
      <c r="N554" s="33" t="n"/>
      <c r="O554" s="33">
        <f>P554+Q554</f>
        <v/>
      </c>
      <c r="P554" s="33" t="n"/>
      <c r="Q554" s="33" t="n"/>
      <c r="R554" s="33">
        <f>H554+K554-O554</f>
        <v/>
      </c>
      <c r="S554" s="33" t="n"/>
      <c r="T554" s="33" t="n"/>
      <c r="U554" s="33" t="n"/>
      <c r="V554" s="33" t="n"/>
      <c r="W554" s="33" t="n"/>
      <c r="X554" s="33" t="n"/>
      <c r="Y554" s="33" t="n"/>
      <c r="Z554" s="33" t="n"/>
      <c r="AA554" s="4">
        <f>R554-G554</f>
        <v/>
      </c>
      <c r="AB554" s="4">
        <f>G554-R554</f>
        <v/>
      </c>
      <c r="AC554" s="33" t="n"/>
    </row>
    <row r="555" ht="18.75" customHeight="1">
      <c r="A555" s="35">
        <f>SUBTOTAL(103,$B$24:B555)</f>
        <v/>
      </c>
      <c r="B555" s="36" t="inlineStr">
        <is>
          <t>Лінія самообслуговування на 120 чол</t>
        </is>
      </c>
      <c r="C555" s="37" t="inlineStr">
        <is>
          <t>к-т</t>
        </is>
      </c>
      <c r="D555" s="33" t="n"/>
      <c r="E555" s="33" t="n"/>
      <c r="F555" s="33">
        <f>E555*0.05</f>
        <v/>
      </c>
      <c r="G555" s="33">
        <f>E555+F555</f>
        <v/>
      </c>
      <c r="H555" s="33" t="n"/>
      <c r="I555" s="33" t="n"/>
      <c r="J555" s="33" t="n"/>
      <c r="K555" s="33">
        <f>L555+M555+N555</f>
        <v/>
      </c>
      <c r="L555" s="33" t="n"/>
      <c r="M555" s="33" t="n"/>
      <c r="N555" s="33" t="n"/>
      <c r="O555" s="33">
        <f>P555+Q555</f>
        <v/>
      </c>
      <c r="P555" s="33" t="n"/>
      <c r="Q555" s="33" t="n"/>
      <c r="R555" s="33">
        <f>H555+K555-O555</f>
        <v/>
      </c>
      <c r="S555" s="33" t="n"/>
      <c r="T555" s="33" t="n"/>
      <c r="U555" s="33" t="n"/>
      <c r="V555" s="33" t="n"/>
      <c r="W555" s="33" t="n"/>
      <c r="X555" s="33" t="n"/>
      <c r="Y555" s="33" t="n"/>
      <c r="Z555" s="33" t="n"/>
      <c r="AA555" s="4">
        <f>R555-G555</f>
        <v/>
      </c>
      <c r="AB555" s="4">
        <f>G555-R555</f>
        <v/>
      </c>
      <c r="AC555" s="33" t="n"/>
    </row>
    <row r="556" ht="18.75" customHeight="1">
      <c r="A556" s="35">
        <f>SUBTOTAL(103,$B$24:B556)</f>
        <v/>
      </c>
      <c r="B556" s="36" t="inlineStr">
        <is>
          <t>Лінія самообслуговування на 150 чол</t>
        </is>
      </c>
      <c r="C556" s="37" t="inlineStr">
        <is>
          <t>к-т</t>
        </is>
      </c>
      <c r="D556" s="33" t="n"/>
      <c r="E556" s="33" t="n"/>
      <c r="F556" s="33">
        <f>E556*0.05</f>
        <v/>
      </c>
      <c r="G556" s="33">
        <f>E556+F556</f>
        <v/>
      </c>
      <c r="H556" s="33" t="n"/>
      <c r="I556" s="33" t="n"/>
      <c r="J556" s="33" t="n"/>
      <c r="K556" s="33">
        <f>L556+M556+N556</f>
        <v/>
      </c>
      <c r="L556" s="33" t="n"/>
      <c r="M556" s="33" t="n"/>
      <c r="N556" s="33" t="n"/>
      <c r="O556" s="33">
        <f>P556+Q556</f>
        <v/>
      </c>
      <c r="P556" s="33" t="n"/>
      <c r="Q556" s="33" t="n"/>
      <c r="R556" s="33">
        <f>H556+K556-O556</f>
        <v/>
      </c>
      <c r="S556" s="33" t="n"/>
      <c r="T556" s="33" t="n"/>
      <c r="U556" s="33" t="n"/>
      <c r="V556" s="33" t="n"/>
      <c r="W556" s="33" t="n"/>
      <c r="X556" s="33" t="n"/>
      <c r="Y556" s="33" t="n"/>
      <c r="Z556" s="33" t="n"/>
      <c r="AA556" s="4">
        <f>R556-G556</f>
        <v/>
      </c>
      <c r="AB556" s="4">
        <f>G556-R556</f>
        <v/>
      </c>
      <c r="AC556" s="33" t="n"/>
    </row>
    <row r="557" ht="18.75" customHeight="1">
      <c r="A557" s="35">
        <f>SUBTOTAL(103,$B$24:B557)</f>
        <v/>
      </c>
      <c r="B557" s="36" t="inlineStr">
        <is>
          <t>Лінія самообслуговування на 500 чол</t>
        </is>
      </c>
      <c r="C557" s="37" t="inlineStr">
        <is>
          <t>к-т</t>
        </is>
      </c>
      <c r="D557" s="33" t="n"/>
      <c r="E557" s="33" t="n"/>
      <c r="F557" s="33">
        <f>E557*0.05</f>
        <v/>
      </c>
      <c r="G557" s="33">
        <f>E557+F557</f>
        <v/>
      </c>
      <c r="H557" s="33" t="n"/>
      <c r="I557" s="33" t="n"/>
      <c r="J557" s="33" t="n"/>
      <c r="K557" s="33">
        <f>L557+M557+N557</f>
        <v/>
      </c>
      <c r="L557" s="33" t="n"/>
      <c r="M557" s="33" t="n"/>
      <c r="N557" s="33" t="n"/>
      <c r="O557" s="33">
        <f>P557+Q557</f>
        <v/>
      </c>
      <c r="P557" s="33" t="n"/>
      <c r="Q557" s="33" t="n"/>
      <c r="R557" s="33">
        <f>H557+K557-O557</f>
        <v/>
      </c>
      <c r="S557" s="33" t="n"/>
      <c r="T557" s="33" t="n"/>
      <c r="U557" s="33" t="n"/>
      <c r="V557" s="33" t="n"/>
      <c r="W557" s="33" t="n"/>
      <c r="X557" s="33" t="n"/>
      <c r="Y557" s="33" t="n"/>
      <c r="Z557" s="33" t="n"/>
      <c r="AA557" s="4">
        <f>R557-G557</f>
        <v/>
      </c>
      <c r="AB557" s="4">
        <f>G557-R557</f>
        <v/>
      </c>
      <c r="AC557" s="33" t="n"/>
    </row>
    <row r="558" ht="18.75" customHeight="1">
      <c r="A558" s="35">
        <f>SUBTOTAL(103,$B$24:B558)</f>
        <v/>
      </c>
      <c r="B558" s="36" t="inlineStr">
        <is>
          <t>Лінія самообслуговування на 1000 чол</t>
        </is>
      </c>
      <c r="C558" s="37" t="inlineStr">
        <is>
          <t>к-т</t>
        </is>
      </c>
      <c r="D558" s="33" t="n"/>
      <c r="E558" s="33" t="n"/>
      <c r="F558" s="33">
        <f>E558*0.05</f>
        <v/>
      </c>
      <c r="G558" s="33">
        <f>E558+F558</f>
        <v/>
      </c>
      <c r="H558" s="33" t="n"/>
      <c r="I558" s="33" t="n"/>
      <c r="J558" s="33" t="n"/>
      <c r="K558" s="33">
        <f>L558+M558+N558</f>
        <v/>
      </c>
      <c r="L558" s="33" t="n"/>
      <c r="M558" s="33" t="n"/>
      <c r="N558" s="33" t="n"/>
      <c r="O558" s="33">
        <f>P558+Q558</f>
        <v/>
      </c>
      <c r="P558" s="33" t="n"/>
      <c r="Q558" s="33" t="n"/>
      <c r="R558" s="33">
        <f>H558+K558-O558</f>
        <v/>
      </c>
      <c r="S558" s="33" t="n"/>
      <c r="T558" s="33" t="n"/>
      <c r="U558" s="33" t="n"/>
      <c r="V558" s="33" t="n"/>
      <c r="W558" s="33" t="n"/>
      <c r="X558" s="33" t="n"/>
      <c r="Y558" s="33" t="n"/>
      <c r="Z558" s="33" t="n"/>
      <c r="AA558" s="4">
        <f>R558-G558</f>
        <v/>
      </c>
      <c r="AB558" s="4">
        <f>G558-R558</f>
        <v/>
      </c>
      <c r="AC558" s="33" t="n"/>
    </row>
    <row r="559" ht="18.75" customHeight="1">
      <c r="A559" s="35">
        <f>SUBTOTAL(103,$B$24:B559)</f>
        <v/>
      </c>
      <c r="B559" s="39" t="inlineStr">
        <is>
          <t xml:space="preserve">СТІЙКИ </t>
        </is>
      </c>
      <c r="C559" s="37" t="n"/>
      <c r="D559" s="33" t="n"/>
      <c r="E559" s="33" t="n"/>
      <c r="F559" s="33">
        <f>E559*0.05</f>
        <v/>
      </c>
      <c r="G559" s="33">
        <f>E559+F559</f>
        <v/>
      </c>
      <c r="H559" s="33" t="n"/>
      <c r="I559" s="33" t="n"/>
      <c r="J559" s="33" t="n"/>
      <c r="K559" s="33">
        <f>L559+M559+N559</f>
        <v/>
      </c>
      <c r="L559" s="33" t="n"/>
      <c r="M559" s="33" t="n"/>
      <c r="N559" s="33" t="n"/>
      <c r="O559" s="33">
        <f>P559+Q559</f>
        <v/>
      </c>
      <c r="P559" s="33" t="n"/>
      <c r="Q559" s="33" t="n"/>
      <c r="R559" s="33">
        <f>H559+K559-O559</f>
        <v/>
      </c>
      <c r="S559" s="33" t="n"/>
      <c r="T559" s="33" t="n"/>
      <c r="U559" s="33" t="n"/>
      <c r="V559" s="33" t="n"/>
      <c r="W559" s="33" t="n"/>
      <c r="X559" s="33" t="n"/>
      <c r="Y559" s="33" t="n"/>
      <c r="Z559" s="33" t="n"/>
      <c r="AA559" s="4">
        <f>R559-G559</f>
        <v/>
      </c>
      <c r="AB559" s="4">
        <f>G559-R559</f>
        <v/>
      </c>
      <c r="AC559" s="33" t="n"/>
    </row>
    <row r="560" ht="18.75" customHeight="1">
      <c r="A560" s="35">
        <f>SUBTOTAL(103,$B$24:B560)</f>
        <v/>
      </c>
      <c r="B560" s="36" t="inlineStr">
        <is>
          <t>Стійка для кухонного інвентарю</t>
        </is>
      </c>
      <c r="C560" s="37" t="inlineStr">
        <is>
          <t>шт.</t>
        </is>
      </c>
      <c r="D560" s="33" t="n"/>
      <c r="E560" s="33" t="n"/>
      <c r="F560" s="33">
        <f>E560*0.05</f>
        <v/>
      </c>
      <c r="G560" s="33">
        <f>E560+F560</f>
        <v/>
      </c>
      <c r="H560" s="33" t="n"/>
      <c r="I560" s="33" t="n"/>
      <c r="J560" s="33" t="n"/>
      <c r="K560" s="33">
        <f>L560+M560+N560</f>
        <v/>
      </c>
      <c r="L560" s="33" t="n"/>
      <c r="M560" s="33" t="n"/>
      <c r="N560" s="33" t="n"/>
      <c r="O560" s="33">
        <f>P560+Q560</f>
        <v/>
      </c>
      <c r="P560" s="33" t="n"/>
      <c r="Q560" s="33" t="n"/>
      <c r="R560" s="33">
        <f>H560+K560-O560</f>
        <v/>
      </c>
      <c r="S560" s="33" t="n"/>
      <c r="T560" s="33" t="n"/>
      <c r="U560" s="33" t="n"/>
      <c r="V560" s="33" t="n"/>
      <c r="W560" s="33" t="n"/>
      <c r="X560" s="33" t="n"/>
      <c r="Y560" s="33" t="n"/>
      <c r="Z560" s="33" t="n"/>
      <c r="AA560" s="4">
        <f>R560-G560</f>
        <v/>
      </c>
      <c r="AB560" s="4">
        <f>G560-R560</f>
        <v/>
      </c>
      <c r="AC560" s="33" t="n"/>
    </row>
    <row r="561" ht="18.75" customHeight="1">
      <c r="A561" s="35">
        <f>SUBTOTAL(103,$B$24:B561)</f>
        <v/>
      </c>
      <c r="B561" s="36" t="inlineStr">
        <is>
          <t>Стійка для кухонного посуду</t>
        </is>
      </c>
      <c r="C561" s="37" t="inlineStr">
        <is>
          <t>шт.</t>
        </is>
      </c>
      <c r="D561" s="33" t="n"/>
      <c r="E561" s="33" t="n"/>
      <c r="F561" s="33">
        <f>E561*0.05</f>
        <v/>
      </c>
      <c r="G561" s="33">
        <f>E561+F561</f>
        <v/>
      </c>
      <c r="H561" s="33" t="n"/>
      <c r="I561" s="33" t="n"/>
      <c r="J561" s="33" t="n"/>
      <c r="K561" s="33">
        <f>L561+M561+N561</f>
        <v/>
      </c>
      <c r="L561" s="33" t="n"/>
      <c r="M561" s="33" t="n"/>
      <c r="N561" s="33" t="n"/>
      <c r="O561" s="33">
        <f>P561+Q561</f>
        <v/>
      </c>
      <c r="P561" s="33" t="n"/>
      <c r="Q561" s="33" t="n"/>
      <c r="R561" s="33">
        <f>H561+K561-O561</f>
        <v/>
      </c>
      <c r="S561" s="33" t="n"/>
      <c r="T561" s="33" t="n"/>
      <c r="U561" s="33" t="n"/>
      <c r="V561" s="33" t="n"/>
      <c r="W561" s="33" t="n"/>
      <c r="X561" s="33" t="n"/>
      <c r="Y561" s="33" t="n"/>
      <c r="Z561" s="33" t="n"/>
      <c r="AA561" s="4">
        <f>R561-G561</f>
        <v/>
      </c>
      <c r="AB561" s="4">
        <f>G561-R561</f>
        <v/>
      </c>
      <c r="AC561" s="33" t="n"/>
    </row>
    <row r="562" ht="18.75" customHeight="1">
      <c r="A562" s="35">
        <f>SUBTOTAL(103,$B$24:B562)</f>
        <v/>
      </c>
      <c r="B562" s="36" t="inlineStr">
        <is>
          <t>Стійка для мясних туш</t>
        </is>
      </c>
      <c r="C562" s="37" t="inlineStr">
        <is>
          <t>шт.</t>
        </is>
      </c>
      <c r="D562" s="33" t="n"/>
      <c r="E562" s="33" t="n"/>
      <c r="F562" s="33">
        <f>E562*0.05</f>
        <v/>
      </c>
      <c r="G562" s="33">
        <f>E562+F562</f>
        <v/>
      </c>
      <c r="H562" s="33" t="n"/>
      <c r="I562" s="33" t="n"/>
      <c r="J562" s="33" t="n"/>
      <c r="K562" s="33">
        <f>L562+M562+N562</f>
        <v/>
      </c>
      <c r="L562" s="33" t="n"/>
      <c r="M562" s="33" t="n"/>
      <c r="N562" s="33" t="n"/>
      <c r="O562" s="33">
        <f>P562+Q562</f>
        <v/>
      </c>
      <c r="P562" s="33" t="n"/>
      <c r="Q562" s="33" t="n"/>
      <c r="R562" s="33">
        <f>H562+K562-O562</f>
        <v/>
      </c>
      <c r="S562" s="33" t="n"/>
      <c r="T562" s="33" t="n"/>
      <c r="U562" s="33" t="n"/>
      <c r="V562" s="33" t="n"/>
      <c r="W562" s="33" t="n"/>
      <c r="X562" s="33" t="n"/>
      <c r="Y562" s="33" t="n"/>
      <c r="Z562" s="33" t="n"/>
      <c r="AA562" s="4">
        <f>R562-G562</f>
        <v/>
      </c>
      <c r="AB562" s="4">
        <f>G562-R562</f>
        <v/>
      </c>
      <c r="AC562" s="33" t="n"/>
    </row>
    <row r="563" ht="18.75" customHeight="1">
      <c r="A563" s="35">
        <f>SUBTOTAL(103,$B$24:B563)</f>
        <v/>
      </c>
      <c r="B563" s="36" t="inlineStr">
        <is>
          <t>Стійка для мясних туш з ванною</t>
        </is>
      </c>
      <c r="C563" s="37" t="inlineStr">
        <is>
          <t>шт.</t>
        </is>
      </c>
      <c r="D563" s="33" t="n"/>
      <c r="E563" s="33" t="n"/>
      <c r="F563" s="33">
        <f>E563*0.05</f>
        <v/>
      </c>
      <c r="G563" s="33">
        <f>E563+F563</f>
        <v/>
      </c>
      <c r="H563" s="33" t="n"/>
      <c r="I563" s="33" t="n"/>
      <c r="J563" s="33" t="n"/>
      <c r="K563" s="33">
        <f>L563+M563+N563</f>
        <v/>
      </c>
      <c r="L563" s="33" t="n"/>
      <c r="M563" s="33" t="n"/>
      <c r="N563" s="33" t="n"/>
      <c r="O563" s="33">
        <f>P563+Q563</f>
        <v/>
      </c>
      <c r="P563" s="33" t="n"/>
      <c r="Q563" s="33" t="n"/>
      <c r="R563" s="33">
        <f>H563+K563-O563</f>
        <v/>
      </c>
      <c r="S563" s="33" t="n"/>
      <c r="T563" s="33" t="n"/>
      <c r="U563" s="33" t="n"/>
      <c r="V563" s="33" t="n"/>
      <c r="W563" s="33" t="n"/>
      <c r="X563" s="33" t="n"/>
      <c r="Y563" s="33" t="n"/>
      <c r="Z563" s="33" t="n"/>
      <c r="AA563" s="4">
        <f>R563-G563</f>
        <v/>
      </c>
      <c r="AB563" s="4">
        <f>G563-R563</f>
        <v/>
      </c>
      <c r="AC563" s="33" t="n"/>
    </row>
    <row r="564" ht="18.75" customHeight="1">
      <c r="A564" s="35">
        <f>SUBTOTAL(103,$B$24:B564)</f>
        <v/>
      </c>
      <c r="B564" s="36" t="inlineStr">
        <is>
          <t>Стійка для перибирального інвентарю</t>
        </is>
      </c>
      <c r="C564" s="37" t="inlineStr">
        <is>
          <t>шт.</t>
        </is>
      </c>
      <c r="D564" s="33" t="n"/>
      <c r="E564" s="33" t="n"/>
      <c r="F564" s="33">
        <f>E564*0.05</f>
        <v/>
      </c>
      <c r="G564" s="33">
        <f>E564+F564</f>
        <v/>
      </c>
      <c r="H564" s="33" t="n"/>
      <c r="I564" s="33" t="n"/>
      <c r="J564" s="33" t="n"/>
      <c r="K564" s="33">
        <f>L564+M564+N564</f>
        <v/>
      </c>
      <c r="L564" s="33" t="n"/>
      <c r="M564" s="33" t="n"/>
      <c r="N564" s="33" t="n"/>
      <c r="O564" s="33">
        <f>P564+Q564</f>
        <v/>
      </c>
      <c r="P564" s="33" t="n"/>
      <c r="Q564" s="33" t="n"/>
      <c r="R564" s="33">
        <f>H564+K564-O564</f>
        <v/>
      </c>
      <c r="S564" s="33" t="n"/>
      <c r="T564" s="33" t="n"/>
      <c r="U564" s="33" t="n"/>
      <c r="V564" s="33" t="n"/>
      <c r="W564" s="33" t="n"/>
      <c r="X564" s="33" t="n"/>
      <c r="Y564" s="33" t="n"/>
      <c r="Z564" s="33" t="n"/>
      <c r="AA564" s="4">
        <f>R564-G564</f>
        <v/>
      </c>
      <c r="AB564" s="4">
        <f>G564-R564</f>
        <v/>
      </c>
      <c r="AC564" s="33" t="n"/>
    </row>
    <row r="565" ht="18.75" customHeight="1">
      <c r="A565" s="35">
        <f>SUBTOTAL(103,$B$24:B565)</f>
        <v/>
      </c>
      <c r="B565" s="36" t="inlineStr">
        <is>
          <t>Стійка для роздаточних ліній</t>
        </is>
      </c>
      <c r="C565" s="37" t="inlineStr">
        <is>
          <t>шт.</t>
        </is>
      </c>
      <c r="D565" s="33" t="n"/>
      <c r="E565" s="33" t="n"/>
      <c r="F565" s="33">
        <f>E565*0.05</f>
        <v/>
      </c>
      <c r="G565" s="33">
        <f>E565+F565</f>
        <v/>
      </c>
      <c r="H565" s="33" t="n"/>
      <c r="I565" s="33" t="n"/>
      <c r="J565" s="33" t="n"/>
      <c r="K565" s="33">
        <f>L565+M565+N565</f>
        <v/>
      </c>
      <c r="L565" s="33" t="n"/>
      <c r="M565" s="33" t="n"/>
      <c r="N565" s="33" t="n"/>
      <c r="O565" s="33">
        <f>P565+Q565</f>
        <v/>
      </c>
      <c r="P565" s="33" t="n"/>
      <c r="Q565" s="33" t="n"/>
      <c r="R565" s="33">
        <f>H565+K565-O565</f>
        <v/>
      </c>
      <c r="S565" s="33" t="n"/>
      <c r="T565" s="33" t="n"/>
      <c r="U565" s="33" t="n"/>
      <c r="V565" s="33" t="n"/>
      <c r="W565" s="33" t="n"/>
      <c r="X565" s="33" t="n"/>
      <c r="Y565" s="33" t="n"/>
      <c r="Z565" s="33" t="n"/>
      <c r="AA565" s="4">
        <f>R565-G565</f>
        <v/>
      </c>
      <c r="AB565" s="4">
        <f>G565-R565</f>
        <v/>
      </c>
      <c r="AC565" s="33" t="n"/>
    </row>
    <row r="566" ht="18.75" customHeight="1">
      <c r="A566" s="35">
        <f>SUBTOTAL(103,$B$24:B566)</f>
        <v/>
      </c>
      <c r="B566" s="36" t="inlineStr">
        <is>
          <t>Крюк для підвішування мясних туш</t>
        </is>
      </c>
      <c r="C566" s="37" t="inlineStr">
        <is>
          <t>шт.</t>
        </is>
      </c>
      <c r="D566" s="33" t="n"/>
      <c r="E566" s="33" t="n"/>
      <c r="F566" s="33">
        <f>E566*0.05</f>
        <v/>
      </c>
      <c r="G566" s="33">
        <f>E566+F566</f>
        <v/>
      </c>
      <c r="H566" s="33" t="n"/>
      <c r="I566" s="33" t="n"/>
      <c r="J566" s="33" t="n"/>
      <c r="K566" s="33">
        <f>L566+M566+N566</f>
        <v/>
      </c>
      <c r="L566" s="33" t="n"/>
      <c r="M566" s="33" t="n"/>
      <c r="N566" s="33" t="n"/>
      <c r="O566" s="33">
        <f>P566+Q566</f>
        <v/>
      </c>
      <c r="P566" s="33" t="n"/>
      <c r="Q566" s="33" t="n"/>
      <c r="R566" s="33">
        <f>H566+K566-O566</f>
        <v/>
      </c>
      <c r="S566" s="33" t="n"/>
      <c r="T566" s="33" t="n"/>
      <c r="U566" s="33" t="n"/>
      <c r="V566" s="33" t="n"/>
      <c r="W566" s="33" t="n"/>
      <c r="X566" s="33" t="n"/>
      <c r="Y566" s="33" t="n"/>
      <c r="Z566" s="33" t="n"/>
      <c r="AA566" s="4">
        <f>R566-G566</f>
        <v/>
      </c>
      <c r="AB566" s="4">
        <f>G566-R566</f>
        <v/>
      </c>
      <c r="AC566" s="33" t="n"/>
    </row>
    <row r="567" ht="18.75" customHeight="1">
      <c r="A567" s="35">
        <f>SUBTOTAL(103,$B$24:B567)</f>
        <v/>
      </c>
      <c r="B567" s="36" t="inlineStr">
        <is>
          <t xml:space="preserve">Бар з облицюванням МДФ 18мм </t>
        </is>
      </c>
      <c r="C567" s="37" t="inlineStr">
        <is>
          <t>шт.</t>
        </is>
      </c>
      <c r="D567" s="33" t="n"/>
      <c r="E567" s="33" t="n"/>
      <c r="F567" s="33">
        <f>E567*0.05</f>
        <v/>
      </c>
      <c r="G567" s="33">
        <f>E567+F567</f>
        <v/>
      </c>
      <c r="H567" s="33" t="n"/>
      <c r="I567" s="33" t="n"/>
      <c r="J567" s="33" t="n"/>
      <c r="K567" s="33">
        <f>L567+M567+N567</f>
        <v/>
      </c>
      <c r="L567" s="33" t="n"/>
      <c r="M567" s="33" t="n"/>
      <c r="N567" s="33" t="n"/>
      <c r="O567" s="33">
        <f>P567+Q567</f>
        <v/>
      </c>
      <c r="P567" s="33" t="n"/>
      <c r="Q567" s="33" t="n"/>
      <c r="R567" s="33">
        <f>H567+K567-O567</f>
        <v/>
      </c>
      <c r="S567" s="33" t="n"/>
      <c r="T567" s="33" t="n"/>
      <c r="U567" s="33" t="n"/>
      <c r="V567" s="33" t="n"/>
      <c r="W567" s="33" t="n"/>
      <c r="X567" s="33" t="n"/>
      <c r="Y567" s="33" t="n"/>
      <c r="Z567" s="33" t="n"/>
      <c r="AA567" s="4">
        <f>R567-G567</f>
        <v/>
      </c>
      <c r="AB567" s="4">
        <f>G567-R567</f>
        <v/>
      </c>
      <c r="AC567" s="33" t="n"/>
    </row>
    <row r="568" ht="37.5" customHeight="1">
      <c r="A568" s="35">
        <f>SUBTOTAL(103,$B$24:B568)</f>
        <v/>
      </c>
      <c r="B568" s="36" t="inlineStr">
        <is>
          <t>Барна стійка з облицюванням ДСП Kronospan 6299 BS кобальт</t>
        </is>
      </c>
      <c r="C568" s="37" t="inlineStr">
        <is>
          <t>шт.</t>
        </is>
      </c>
      <c r="D568" s="33" t="n"/>
      <c r="E568" s="33" t="n"/>
      <c r="F568" s="33">
        <f>E568*0.05</f>
        <v/>
      </c>
      <c r="G568" s="33">
        <f>E568+F568</f>
        <v/>
      </c>
      <c r="H568" s="33" t="n"/>
      <c r="I568" s="33" t="n"/>
      <c r="J568" s="33" t="n"/>
      <c r="K568" s="33">
        <f>L568+M568+N568</f>
        <v/>
      </c>
      <c r="L568" s="33" t="n"/>
      <c r="M568" s="33" t="n"/>
      <c r="N568" s="33" t="n"/>
      <c r="O568" s="33">
        <f>P568+Q568</f>
        <v/>
      </c>
      <c r="P568" s="33" t="n"/>
      <c r="Q568" s="33" t="n"/>
      <c r="R568" s="33">
        <f>H568+K568-O568</f>
        <v/>
      </c>
      <c r="S568" s="33" t="n"/>
      <c r="T568" s="33" t="n"/>
      <c r="U568" s="33" t="n"/>
      <c r="V568" s="33" t="n"/>
      <c r="W568" s="33" t="n"/>
      <c r="X568" s="33" t="n"/>
      <c r="Y568" s="33" t="n"/>
      <c r="Z568" s="33" t="n"/>
      <c r="AA568" s="4">
        <f>R568-G568</f>
        <v/>
      </c>
      <c r="AB568" s="4">
        <f>G568-R568</f>
        <v/>
      </c>
      <c r="AC568" s="33" t="n"/>
    </row>
    <row r="569" ht="18.75" customHeight="1">
      <c r="A569" s="35">
        <f>SUBTOTAL(103,$B$24:B569)</f>
        <v/>
      </c>
      <c r="B569" s="39" t="inlineStr">
        <is>
          <t>ВАННИ</t>
        </is>
      </c>
      <c r="C569" s="37" t="n"/>
      <c r="D569" s="33" t="n"/>
      <c r="E569" s="33" t="n"/>
      <c r="F569" s="33">
        <f>E569*0.05</f>
        <v/>
      </c>
      <c r="G569" s="33">
        <f>E569+F569</f>
        <v/>
      </c>
      <c r="H569" s="33" t="n"/>
      <c r="I569" s="33" t="n"/>
      <c r="J569" s="33" t="n"/>
      <c r="K569" s="33">
        <f>L569+M569+N569</f>
        <v/>
      </c>
      <c r="L569" s="33" t="n"/>
      <c r="M569" s="33" t="n"/>
      <c r="N569" s="33" t="n"/>
      <c r="O569" s="33">
        <f>P569+Q569</f>
        <v/>
      </c>
      <c r="P569" s="33" t="n"/>
      <c r="Q569" s="33" t="n"/>
      <c r="R569" s="33">
        <f>H569+K569-O569</f>
        <v/>
      </c>
      <c r="S569" s="33" t="n"/>
      <c r="T569" s="33" t="n"/>
      <c r="U569" s="33" t="n"/>
      <c r="V569" s="33" t="n"/>
      <c r="W569" s="33" t="n"/>
      <c r="X569" s="33" t="n"/>
      <c r="Y569" s="33" t="n"/>
      <c r="Z569" s="33" t="n"/>
      <c r="AA569" s="4">
        <f>R569-G569</f>
        <v/>
      </c>
      <c r="AB569" s="4">
        <f>G569-R569</f>
        <v/>
      </c>
      <c r="AC569" s="33" t="n"/>
    </row>
    <row r="570" ht="37.5" customHeight="1">
      <c r="A570" s="35">
        <f>SUBTOTAL(103,$B$24:B570)</f>
        <v/>
      </c>
      <c r="B570" s="36" t="inlineStr">
        <is>
          <t>Ваннна для миття посуду односекційна з н/ст</t>
        </is>
      </c>
      <c r="C570" s="37" t="inlineStr">
        <is>
          <t>шт.</t>
        </is>
      </c>
      <c r="D570" s="33" t="n"/>
      <c r="E570" s="33" t="n"/>
      <c r="F570" s="33">
        <f>E570*0.05</f>
        <v/>
      </c>
      <c r="G570" s="33">
        <f>E570+F570</f>
        <v/>
      </c>
      <c r="H570" s="33" t="n"/>
      <c r="I570" s="33" t="n"/>
      <c r="J570" s="33" t="n"/>
      <c r="K570" s="33">
        <f>L570+M570+N570</f>
        <v/>
      </c>
      <c r="L570" s="33" t="n"/>
      <c r="M570" s="33" t="n"/>
      <c r="N570" s="33" t="n"/>
      <c r="O570" s="33">
        <f>P570+Q570</f>
        <v/>
      </c>
      <c r="P570" s="33" t="n"/>
      <c r="Q570" s="33" t="n"/>
      <c r="R570" s="33">
        <f>H570+K570-O570</f>
        <v/>
      </c>
      <c r="S570" s="33" t="n"/>
      <c r="T570" s="33" t="n"/>
      <c r="U570" s="33" t="n"/>
      <c r="V570" s="33" t="n"/>
      <c r="W570" s="33" t="n"/>
      <c r="X570" s="33" t="n"/>
      <c r="Y570" s="33" t="n"/>
      <c r="Z570" s="33" t="n"/>
      <c r="AA570" s="4">
        <f>R570-G570</f>
        <v/>
      </c>
      <c r="AB570" s="4">
        <f>G570-R570</f>
        <v/>
      </c>
      <c r="AC570" s="33" t="n"/>
    </row>
    <row r="571" ht="37.5" customHeight="1">
      <c r="A571" s="35">
        <f>SUBTOTAL(103,$B$24:B571)</f>
        <v/>
      </c>
      <c r="B571" s="36" t="inlineStr">
        <is>
          <t>Ванна для миття посуду односекційна  600*600*850</t>
        </is>
      </c>
      <c r="C571" s="37" t="inlineStr">
        <is>
          <t>шт.</t>
        </is>
      </c>
      <c r="D571" s="33" t="n"/>
      <c r="E571" s="33" t="n"/>
      <c r="F571" s="33">
        <f>E571*0.05</f>
        <v/>
      </c>
      <c r="G571" s="33">
        <f>E571+F571</f>
        <v/>
      </c>
      <c r="H571" s="33" t="n"/>
      <c r="I571" s="33" t="n"/>
      <c r="J571" s="33" t="n"/>
      <c r="K571" s="33">
        <f>L571+M571+N571</f>
        <v/>
      </c>
      <c r="L571" s="33" t="n"/>
      <c r="M571" s="33" t="n"/>
      <c r="N571" s="33" t="n"/>
      <c r="O571" s="33">
        <f>P571+Q571</f>
        <v/>
      </c>
      <c r="P571" s="33" t="n"/>
      <c r="Q571" s="33" t="n"/>
      <c r="R571" s="33">
        <f>H571+K571-O571</f>
        <v/>
      </c>
      <c r="S571" s="33" t="n"/>
      <c r="T571" s="33" t="n"/>
      <c r="U571" s="33" t="n"/>
      <c r="V571" s="33" t="n"/>
      <c r="W571" s="33" t="n"/>
      <c r="X571" s="33" t="n"/>
      <c r="Y571" s="33" t="n"/>
      <c r="Z571" s="33" t="n"/>
      <c r="AA571" s="4">
        <f>R571-G571</f>
        <v/>
      </c>
      <c r="AB571" s="4">
        <f>G571-R571</f>
        <v/>
      </c>
      <c r="AC571" s="33" t="n"/>
    </row>
    <row r="572" ht="37.5" customHeight="1">
      <c r="A572" s="35">
        <f>SUBTOTAL(103,$B$24:B572)</f>
        <v/>
      </c>
      <c r="B572" s="36" t="inlineStr">
        <is>
          <t>Ванна для миття посуду двосекційна з н/ст</t>
        </is>
      </c>
      <c r="C572" s="37" t="inlineStr">
        <is>
          <t>шт.</t>
        </is>
      </c>
      <c r="D572" s="33" t="n"/>
      <c r="E572" s="33" t="n"/>
      <c r="F572" s="33">
        <f>E572*0.05</f>
        <v/>
      </c>
      <c r="G572" s="33">
        <f>E572+F572</f>
        <v/>
      </c>
      <c r="H572" s="33" t="n"/>
      <c r="I572" s="33" t="n"/>
      <c r="J572" s="33" t="n"/>
      <c r="K572" s="33">
        <f>L572+M572+N572</f>
        <v/>
      </c>
      <c r="L572" s="33" t="n"/>
      <c r="M572" s="33" t="n"/>
      <c r="N572" s="33" t="n"/>
      <c r="O572" s="33">
        <f>P572+Q572</f>
        <v/>
      </c>
      <c r="P572" s="33" t="n"/>
      <c r="Q572" s="33" t="n"/>
      <c r="R572" s="33">
        <f>H572+K572-O572</f>
        <v/>
      </c>
      <c r="S572" s="33" t="n"/>
      <c r="T572" s="33" t="n"/>
      <c r="U572" s="33" t="n"/>
      <c r="V572" s="33" t="n"/>
      <c r="W572" s="33" t="n"/>
      <c r="X572" s="33" t="n"/>
      <c r="Y572" s="33" t="n"/>
      <c r="Z572" s="33" t="n"/>
      <c r="AA572" s="4">
        <f>R572-G572</f>
        <v/>
      </c>
      <c r="AB572" s="4">
        <f>G572-R572</f>
        <v/>
      </c>
      <c r="AC572" s="33" t="n"/>
    </row>
    <row r="573" ht="37.5" customHeight="1">
      <c r="A573" s="35">
        <f>SUBTOTAL(103,$B$24:B573)</f>
        <v/>
      </c>
      <c r="B573" s="36" t="inlineStr">
        <is>
          <t>Ванна для миття посуду двосекційна з н/ст 1200*600*850</t>
        </is>
      </c>
      <c r="C573" s="37" t="n"/>
      <c r="D573" s="33" t="n"/>
      <c r="E573" s="33" t="n"/>
      <c r="F573" s="33">
        <f>E573*0.05</f>
        <v/>
      </c>
      <c r="G573" s="33">
        <f>E573+F573</f>
        <v/>
      </c>
      <c r="H573" s="33" t="n"/>
      <c r="I573" s="33" t="n"/>
      <c r="J573" s="33" t="n"/>
      <c r="K573" s="33">
        <f>L573+M573+N573</f>
        <v/>
      </c>
      <c r="L573" s="33" t="n"/>
      <c r="M573" s="33" t="n"/>
      <c r="N573" s="33" t="n"/>
      <c r="O573" s="33">
        <f>P573+Q573</f>
        <v/>
      </c>
      <c r="P573" s="33" t="n"/>
      <c r="Q573" s="33" t="n"/>
      <c r="R573" s="33">
        <f>H573+K573-O573</f>
        <v/>
      </c>
      <c r="S573" s="33" t="n"/>
      <c r="T573" s="33" t="n"/>
      <c r="U573" s="33" t="n"/>
      <c r="V573" s="33" t="n"/>
      <c r="W573" s="33" t="n"/>
      <c r="X573" s="33" t="n"/>
      <c r="Y573" s="33" t="n"/>
      <c r="Z573" s="33" t="n"/>
      <c r="AA573" s="4">
        <f>R573-G573</f>
        <v/>
      </c>
      <c r="AB573" s="4">
        <f>G573-R573</f>
        <v/>
      </c>
      <c r="AC573" s="33" t="n"/>
    </row>
    <row r="574" ht="37.5" customHeight="1">
      <c r="A574" s="35">
        <f>SUBTOTAL(103,$B$24:B574)</f>
        <v/>
      </c>
      <c r="B574" s="36" t="inlineStr">
        <is>
          <t>Ванна для миття посуду трисекційна з н/ст</t>
        </is>
      </c>
      <c r="C574" s="37" t="inlineStr">
        <is>
          <t>шт.</t>
        </is>
      </c>
      <c r="D574" s="33" t="n"/>
      <c r="E574" s="33" t="n"/>
      <c r="F574" s="33">
        <f>E574*0.05</f>
        <v/>
      </c>
      <c r="G574" s="33">
        <f>E574+F574</f>
        <v/>
      </c>
      <c r="H574" s="33" t="n"/>
      <c r="I574" s="33" t="n"/>
      <c r="J574" s="33" t="n"/>
      <c r="K574" s="33">
        <f>L574+M574+N574</f>
        <v/>
      </c>
      <c r="L574" s="33" t="n"/>
      <c r="M574" s="33" t="n"/>
      <c r="N574" s="33" t="n"/>
      <c r="O574" s="33">
        <f>P574+Q574</f>
        <v/>
      </c>
      <c r="P574" s="33" t="n"/>
      <c r="Q574" s="33" t="n"/>
      <c r="R574" s="33">
        <f>H574+K574-O574</f>
        <v/>
      </c>
      <c r="S574" s="33" t="n"/>
      <c r="T574" s="33" t="n"/>
      <c r="U574" s="33" t="n"/>
      <c r="V574" s="33" t="n"/>
      <c r="W574" s="33" t="n"/>
      <c r="X574" s="33" t="n"/>
      <c r="Y574" s="33" t="n"/>
      <c r="Z574" s="33" t="n"/>
      <c r="AA574" s="4">
        <f>R574-G574</f>
        <v/>
      </c>
      <c r="AB574" s="4">
        <f>G574-R574</f>
        <v/>
      </c>
      <c r="AC574" s="33" t="n"/>
    </row>
    <row r="575" ht="37.5" customHeight="1">
      <c r="A575" s="35">
        <f>SUBTOTAL(103,$B$24:B575)</f>
        <v/>
      </c>
      <c r="B575" s="36" t="inlineStr">
        <is>
          <t>Ванна для миття посуду трисекційна з н/ст 1800*600*850</t>
        </is>
      </c>
      <c r="C575" s="37" t="n"/>
      <c r="D575" s="33" t="n"/>
      <c r="E575" s="33" t="n"/>
      <c r="F575" s="33">
        <f>E575*0.05</f>
        <v/>
      </c>
      <c r="G575" s="33">
        <f>E575+F575</f>
        <v/>
      </c>
      <c r="H575" s="33" t="n"/>
      <c r="I575" s="33" t="n"/>
      <c r="J575" s="33" t="n"/>
      <c r="K575" s="33">
        <f>L575+M575+N575</f>
        <v/>
      </c>
      <c r="L575" s="33" t="n"/>
      <c r="M575" s="33" t="n"/>
      <c r="N575" s="33" t="n"/>
      <c r="O575" s="33">
        <f>P575+Q575</f>
        <v/>
      </c>
      <c r="P575" s="33" t="n"/>
      <c r="Q575" s="33" t="n"/>
      <c r="R575" s="33">
        <f>H575+K575-O575</f>
        <v/>
      </c>
      <c r="S575" s="33" t="n"/>
      <c r="T575" s="33" t="n"/>
      <c r="U575" s="33" t="n"/>
      <c r="V575" s="33" t="n"/>
      <c r="W575" s="33" t="n"/>
      <c r="X575" s="33" t="n"/>
      <c r="Y575" s="33" t="n"/>
      <c r="Z575" s="33" t="n"/>
      <c r="AA575" s="4">
        <f>R575-G575</f>
        <v/>
      </c>
      <c r="AB575" s="4">
        <f>G575-R575</f>
        <v/>
      </c>
      <c r="AC575" s="33" t="n"/>
    </row>
    <row r="576" ht="18.75" customHeight="1">
      <c r="A576" s="35">
        <f>SUBTOTAL(103,$B$24:B576)</f>
        <v/>
      </c>
      <c r="B576" s="36" t="inlineStr">
        <is>
          <t xml:space="preserve">Ванни пересувні </t>
        </is>
      </c>
      <c r="C576" s="37" t="inlineStr">
        <is>
          <t>шт.</t>
        </is>
      </c>
      <c r="D576" s="33" t="n"/>
      <c r="E576" s="33" t="n"/>
      <c r="F576" s="33">
        <f>E576*0.05</f>
        <v/>
      </c>
      <c r="G576" s="33">
        <f>E576+F576</f>
        <v/>
      </c>
      <c r="H576" s="33" t="n"/>
      <c r="I576" s="33" t="n"/>
      <c r="J576" s="33" t="n"/>
      <c r="K576" s="33">
        <f>L576+M576+N576</f>
        <v/>
      </c>
      <c r="L576" s="33" t="n"/>
      <c r="M576" s="33" t="n"/>
      <c r="N576" s="33" t="n"/>
      <c r="O576" s="33">
        <f>P576+Q576</f>
        <v/>
      </c>
      <c r="P576" s="33" t="n"/>
      <c r="Q576" s="33" t="n"/>
      <c r="R576" s="33">
        <f>H576+K576-O576</f>
        <v/>
      </c>
      <c r="S576" s="33" t="n"/>
      <c r="T576" s="33" t="n"/>
      <c r="U576" s="33" t="n"/>
      <c r="V576" s="33" t="n"/>
      <c r="W576" s="33" t="n"/>
      <c r="X576" s="33" t="n"/>
      <c r="Y576" s="33" t="n"/>
      <c r="Z576" s="33" t="n"/>
      <c r="AA576" s="4">
        <f>R576-G576</f>
        <v/>
      </c>
      <c r="AB576" s="4">
        <f>G576-R576</f>
        <v/>
      </c>
      <c r="AC576" s="33" t="n"/>
    </row>
    <row r="577" ht="18.75" customHeight="1">
      <c r="A577" s="35">
        <f>SUBTOTAL(103,$B$24:B577)</f>
        <v/>
      </c>
      <c r="B577" s="36" t="inlineStr">
        <is>
          <t>Ванни ВМСМ</t>
        </is>
      </c>
      <c r="C577" s="37" t="inlineStr">
        <is>
          <t>шт.</t>
        </is>
      </c>
      <c r="D577" s="33" t="n"/>
      <c r="E577" s="33" t="n"/>
      <c r="F577" s="33">
        <f>E577*0.05</f>
        <v/>
      </c>
      <c r="G577" s="33">
        <f>E577+F577</f>
        <v/>
      </c>
      <c r="H577" s="33" t="n"/>
      <c r="I577" s="33" t="n"/>
      <c r="J577" s="33" t="n"/>
      <c r="K577" s="33">
        <f>L577+M577+N577</f>
        <v/>
      </c>
      <c r="L577" s="33" t="n"/>
      <c r="M577" s="33" t="n"/>
      <c r="N577" s="33" t="n"/>
      <c r="O577" s="33">
        <f>P577+Q577</f>
        <v/>
      </c>
      <c r="P577" s="33" t="n"/>
      <c r="Q577" s="33" t="n"/>
      <c r="R577" s="33">
        <f>H577+K577-O577</f>
        <v/>
      </c>
      <c r="S577" s="33" t="n"/>
      <c r="T577" s="33" t="n"/>
      <c r="U577" s="33" t="n"/>
      <c r="V577" s="33" t="n"/>
      <c r="W577" s="33" t="n"/>
      <c r="X577" s="33" t="n"/>
      <c r="Y577" s="33" t="n"/>
      <c r="Z577" s="33" t="n"/>
      <c r="AA577" s="4">
        <f>R577-G577</f>
        <v/>
      </c>
      <c r="AB577" s="4">
        <f>G577-R577</f>
        <v/>
      </c>
      <c r="AC577" s="33" t="n"/>
    </row>
    <row r="578" ht="18.75" customHeight="1">
      <c r="A578" s="35">
        <f>SUBTOTAL(103,$B$24:B578)</f>
        <v/>
      </c>
      <c r="B578" s="36" t="inlineStr">
        <is>
          <t>Ванни чавунні</t>
        </is>
      </c>
      <c r="C578" s="37" t="inlineStr">
        <is>
          <t>шт.</t>
        </is>
      </c>
      <c r="D578" s="33" t="n"/>
      <c r="E578" s="33" t="n"/>
      <c r="F578" s="33">
        <f>E578*0.05</f>
        <v/>
      </c>
      <c r="G578" s="33">
        <f>E578+F578</f>
        <v/>
      </c>
      <c r="H578" s="33" t="n"/>
      <c r="I578" s="33" t="n"/>
      <c r="J578" s="33" t="n"/>
      <c r="K578" s="33">
        <f>L578+M578+N578</f>
        <v/>
      </c>
      <c r="L578" s="33" t="n"/>
      <c r="M578" s="33" t="n"/>
      <c r="N578" s="33" t="n"/>
      <c r="O578" s="33">
        <f>P578+Q578</f>
        <v/>
      </c>
      <c r="P578" s="33" t="n"/>
      <c r="Q578" s="33" t="n"/>
      <c r="R578" s="33">
        <f>H578+K578-O578</f>
        <v/>
      </c>
      <c r="S578" s="33" t="n"/>
      <c r="T578" s="33" t="n"/>
      <c r="U578" s="33" t="n"/>
      <c r="V578" s="33" t="n"/>
      <c r="W578" s="33" t="n"/>
      <c r="X578" s="33" t="n"/>
      <c r="Y578" s="33" t="n"/>
      <c r="Z578" s="33" t="n"/>
      <c r="AA578" s="4">
        <f>R578-G578</f>
        <v/>
      </c>
      <c r="AB578" s="4">
        <f>G578-R578</f>
        <v/>
      </c>
      <c r="AC578" s="33" t="n"/>
    </row>
    <row r="579" ht="18.75" customHeight="1">
      <c r="A579" s="35">
        <f>SUBTOTAL(103,$B$24:B579)</f>
        <v/>
      </c>
      <c r="B579" s="36" t="inlineStr">
        <is>
          <t>Ванни різні</t>
        </is>
      </c>
      <c r="C579" s="37" t="inlineStr">
        <is>
          <t>шт.</t>
        </is>
      </c>
      <c r="D579" s="33" t="n"/>
      <c r="E579" s="33" t="n"/>
      <c r="F579" s="33">
        <f>E579*0.05</f>
        <v/>
      </c>
      <c r="G579" s="33">
        <f>E579+F579</f>
        <v/>
      </c>
      <c r="H579" s="33" t="n"/>
      <c r="I579" s="33" t="n"/>
      <c r="J579" s="33" t="n"/>
      <c r="K579" s="33">
        <f>L579+M579+N579</f>
        <v/>
      </c>
      <c r="L579" s="33" t="n"/>
      <c r="M579" s="33" t="n"/>
      <c r="N579" s="33" t="n"/>
      <c r="O579" s="33">
        <f>P579+Q579</f>
        <v/>
      </c>
      <c r="P579" s="33" t="n"/>
      <c r="Q579" s="33" t="n"/>
      <c r="R579" s="33">
        <f>H579+K579-O579</f>
        <v/>
      </c>
      <c r="S579" s="33" t="n"/>
      <c r="T579" s="33" t="n"/>
      <c r="U579" s="33" t="n"/>
      <c r="V579" s="33" t="n"/>
      <c r="W579" s="33" t="n"/>
      <c r="X579" s="33" t="n"/>
      <c r="Y579" s="33" t="n"/>
      <c r="Z579" s="33" t="n"/>
      <c r="AA579" s="4">
        <f>R579-G579</f>
        <v/>
      </c>
      <c r="AB579" s="4">
        <f>G579-R579</f>
        <v/>
      </c>
      <c r="AC579" s="33" t="n"/>
    </row>
    <row r="580" ht="18.75" customHeight="1">
      <c r="A580" s="35">
        <f>SUBTOTAL(103,$B$24:B580)</f>
        <v/>
      </c>
      <c r="B580" s="36" t="inlineStr">
        <is>
          <t xml:space="preserve">Ванна для миття овочів </t>
        </is>
      </c>
      <c r="C580" s="37" t="inlineStr">
        <is>
          <t>шт.</t>
        </is>
      </c>
      <c r="D580" s="33" t="n"/>
      <c r="E580" s="33" t="n"/>
      <c r="F580" s="33">
        <f>E580*0.05</f>
        <v/>
      </c>
      <c r="G580" s="33">
        <f>E580+F580</f>
        <v/>
      </c>
      <c r="H580" s="33" t="n"/>
      <c r="I580" s="33" t="n"/>
      <c r="J580" s="33" t="n"/>
      <c r="K580" s="33">
        <f>L580+M580+N580</f>
        <v/>
      </c>
      <c r="L580" s="33" t="n"/>
      <c r="M580" s="33" t="n"/>
      <c r="N580" s="33" t="n"/>
      <c r="O580" s="33">
        <f>P580+Q580</f>
        <v/>
      </c>
      <c r="P580" s="33" t="n"/>
      <c r="Q580" s="33" t="n"/>
      <c r="R580" s="33">
        <f>H580+K580-O580</f>
        <v/>
      </c>
      <c r="S580" s="33" t="n"/>
      <c r="T580" s="33" t="n"/>
      <c r="U580" s="33" t="n"/>
      <c r="V580" s="33" t="n"/>
      <c r="W580" s="33" t="n"/>
      <c r="X580" s="33" t="n"/>
      <c r="Y580" s="33" t="n"/>
      <c r="Z580" s="33" t="n"/>
      <c r="AA580" s="4">
        <f>R580-G580</f>
        <v/>
      </c>
      <c r="AB580" s="4">
        <f>G580-R580</f>
        <v/>
      </c>
      <c r="AC580" s="33" t="n"/>
    </row>
    <row r="581" ht="18.75" customHeight="1">
      <c r="A581" s="35">
        <f>SUBTOTAL(103,$B$24:B581)</f>
        <v/>
      </c>
      <c r="B581" s="36" t="inlineStr">
        <is>
          <t>Ванна для миття мясних туш</t>
        </is>
      </c>
      <c r="C581" s="37" t="inlineStr">
        <is>
          <t>шт.</t>
        </is>
      </c>
      <c r="D581" s="33" t="n"/>
      <c r="E581" s="33" t="n"/>
      <c r="F581" s="33">
        <f>E581*0.05</f>
        <v/>
      </c>
      <c r="G581" s="33">
        <f>E581+F581</f>
        <v/>
      </c>
      <c r="H581" s="33" t="n"/>
      <c r="I581" s="33" t="n"/>
      <c r="J581" s="33" t="n"/>
      <c r="K581" s="33">
        <f>L581+M581+N581</f>
        <v/>
      </c>
      <c r="L581" s="33" t="n"/>
      <c r="M581" s="33" t="n"/>
      <c r="N581" s="33" t="n"/>
      <c r="O581" s="33">
        <f>P581+Q581</f>
        <v/>
      </c>
      <c r="P581" s="33" t="n"/>
      <c r="Q581" s="33" t="n"/>
      <c r="R581" s="33">
        <f>H581+K581-O581</f>
        <v/>
      </c>
      <c r="S581" s="33" t="n"/>
      <c r="T581" s="33" t="n"/>
      <c r="U581" s="33" t="n"/>
      <c r="V581" s="33" t="n"/>
      <c r="W581" s="33" t="n"/>
      <c r="X581" s="33" t="n"/>
      <c r="Y581" s="33" t="n"/>
      <c r="Z581" s="33" t="n"/>
      <c r="AA581" s="4">
        <f>R581-G581</f>
        <v/>
      </c>
      <c r="AB581" s="4">
        <f>G581-R581</f>
        <v/>
      </c>
      <c r="AC581" s="33" t="n"/>
    </row>
    <row r="582" ht="18.75" customHeight="1">
      <c r="A582" s="35">
        <f>SUBTOTAL(103,$B$24:B582)</f>
        <v/>
      </c>
      <c r="B582" s="36" t="inlineStr">
        <is>
          <t>Ванна емальована</t>
        </is>
      </c>
      <c r="C582" s="37" t="inlineStr">
        <is>
          <t>шт.</t>
        </is>
      </c>
      <c r="D582" s="33" t="n"/>
      <c r="E582" s="33" t="n"/>
      <c r="F582" s="33">
        <f>E582*0.05</f>
        <v/>
      </c>
      <c r="G582" s="33">
        <f>E582+F582</f>
        <v/>
      </c>
      <c r="H582" s="33" t="n"/>
      <c r="I582" s="33" t="n"/>
      <c r="J582" s="33" t="n"/>
      <c r="K582" s="33">
        <f>L582+M582+N582</f>
        <v/>
      </c>
      <c r="L582" s="33" t="n"/>
      <c r="M582" s="33" t="n"/>
      <c r="N582" s="33" t="n"/>
      <c r="O582" s="33">
        <f>P582+Q582</f>
        <v/>
      </c>
      <c r="P582" s="33" t="n"/>
      <c r="Q582" s="33" t="n"/>
      <c r="R582" s="33">
        <f>H582+K582-O582</f>
        <v/>
      </c>
      <c r="S582" s="33" t="n"/>
      <c r="T582" s="33" t="n"/>
      <c r="U582" s="33" t="n"/>
      <c r="V582" s="33" t="n"/>
      <c r="W582" s="33" t="n"/>
      <c r="X582" s="33" t="n"/>
      <c r="Y582" s="33" t="n"/>
      <c r="Z582" s="33" t="n"/>
      <c r="AA582" s="4">
        <f>R582-G582</f>
        <v/>
      </c>
      <c r="AB582" s="4">
        <f>G582-R582</f>
        <v/>
      </c>
      <c r="AC582" s="33" t="n"/>
    </row>
    <row r="583" ht="18.75" customHeight="1">
      <c r="A583" s="35">
        <f>SUBTOTAL(103,$B$24:B583)</f>
        <v/>
      </c>
      <c r="B583" s="36" t="inlineStr">
        <is>
          <t>Ванна для розморожування риби</t>
        </is>
      </c>
      <c r="C583" s="37" t="inlineStr">
        <is>
          <t>шт.</t>
        </is>
      </c>
      <c r="D583" s="33" t="n"/>
      <c r="E583" s="33" t="n"/>
      <c r="F583" s="33">
        <f>E583*0.05</f>
        <v/>
      </c>
      <c r="G583" s="33">
        <f>E583+F583</f>
        <v/>
      </c>
      <c r="H583" s="33" t="n"/>
      <c r="I583" s="33" t="n"/>
      <c r="J583" s="33" t="n"/>
      <c r="K583" s="33">
        <f>L583+M583+N583</f>
        <v/>
      </c>
      <c r="L583" s="33" t="n"/>
      <c r="M583" s="33" t="n"/>
      <c r="N583" s="33" t="n"/>
      <c r="O583" s="33">
        <f>P583+Q583</f>
        <v/>
      </c>
      <c r="P583" s="33" t="n"/>
      <c r="Q583" s="33" t="n"/>
      <c r="R583" s="33">
        <f>H583+K583-O583</f>
        <v/>
      </c>
      <c r="S583" s="33" t="n"/>
      <c r="T583" s="33" t="n"/>
      <c r="U583" s="33" t="n"/>
      <c r="V583" s="33" t="n"/>
      <c r="W583" s="33" t="n"/>
      <c r="X583" s="33" t="n"/>
      <c r="Y583" s="33" t="n"/>
      <c r="Z583" s="33" t="n"/>
      <c r="AA583" s="4">
        <f>R583-G583</f>
        <v/>
      </c>
      <c r="AB583" s="4">
        <f>G583-R583</f>
        <v/>
      </c>
      <c r="AC583" s="33" t="n"/>
    </row>
    <row r="584" ht="18.75" customHeight="1">
      <c r="A584" s="35">
        <f>SUBTOTAL(103,$B$24:B584)</f>
        <v/>
      </c>
      <c r="B584" s="36" t="inlineStr">
        <is>
          <t>Ванна односекційна алюм.</t>
        </is>
      </c>
      <c r="C584" s="37" t="inlineStr">
        <is>
          <t>шт.</t>
        </is>
      </c>
      <c r="D584" s="33" t="n"/>
      <c r="E584" s="33" t="n"/>
      <c r="F584" s="33">
        <f>E584*0.05</f>
        <v/>
      </c>
      <c r="G584" s="33">
        <f>E584+F584</f>
        <v/>
      </c>
      <c r="H584" s="33" t="n"/>
      <c r="I584" s="33" t="n"/>
      <c r="J584" s="33" t="n"/>
      <c r="K584" s="33">
        <f>L584+M584+N584</f>
        <v/>
      </c>
      <c r="L584" s="33" t="n"/>
      <c r="M584" s="33" t="n"/>
      <c r="N584" s="33" t="n"/>
      <c r="O584" s="33">
        <f>P584+Q584</f>
        <v/>
      </c>
      <c r="P584" s="33" t="n"/>
      <c r="Q584" s="33" t="n"/>
      <c r="R584" s="33">
        <f>H584+K584-O584</f>
        <v/>
      </c>
      <c r="S584" s="33" t="n"/>
      <c r="T584" s="33" t="n"/>
      <c r="U584" s="33" t="n"/>
      <c r="V584" s="33" t="n"/>
      <c r="W584" s="33" t="n"/>
      <c r="X584" s="33" t="n"/>
      <c r="Y584" s="33" t="n"/>
      <c r="Z584" s="33" t="n"/>
      <c r="AA584" s="4">
        <f>R584-G584</f>
        <v/>
      </c>
      <c r="AB584" s="4">
        <f>G584-R584</f>
        <v/>
      </c>
      <c r="AC584" s="33" t="n"/>
    </row>
    <row r="585" ht="18.75" customHeight="1">
      <c r="A585" s="35">
        <f>SUBTOTAL(103,$B$24:B585)</f>
        <v/>
      </c>
      <c r="B585" s="39" t="inlineStr">
        <is>
          <t>ЯЩИКИ</t>
        </is>
      </c>
      <c r="C585" s="37" t="n"/>
      <c r="D585" s="33" t="n"/>
      <c r="E585" s="33" t="n"/>
      <c r="F585" s="33">
        <f>E585*0.05</f>
        <v/>
      </c>
      <c r="G585" s="33">
        <f>E585+F585</f>
        <v/>
      </c>
      <c r="H585" s="33" t="n"/>
      <c r="I585" s="33" t="n"/>
      <c r="J585" s="33" t="n"/>
      <c r="K585" s="33">
        <f>L585+M585+N585</f>
        <v/>
      </c>
      <c r="L585" s="33" t="n"/>
      <c r="M585" s="33" t="n"/>
      <c r="N585" s="33" t="n"/>
      <c r="O585" s="33">
        <f>P585+Q585</f>
        <v/>
      </c>
      <c r="P585" s="33" t="n"/>
      <c r="Q585" s="33" t="n"/>
      <c r="R585" s="33">
        <f>H585+K585-O585</f>
        <v/>
      </c>
      <c r="S585" s="33" t="n"/>
      <c r="T585" s="33" t="n"/>
      <c r="U585" s="33" t="n"/>
      <c r="V585" s="33" t="n"/>
      <c r="W585" s="33" t="n"/>
      <c r="X585" s="33" t="n"/>
      <c r="Y585" s="33" t="n"/>
      <c r="Z585" s="33" t="n"/>
      <c r="AA585" s="4">
        <f>R585-G585</f>
        <v/>
      </c>
      <c r="AB585" s="4">
        <f>G585-R585</f>
        <v/>
      </c>
      <c r="AC585" s="33" t="n"/>
    </row>
    <row r="586" ht="18.75" customHeight="1">
      <c r="A586" s="35">
        <f>SUBTOTAL(103,$B$24:B586)</f>
        <v/>
      </c>
      <c r="B586" s="36" t="inlineStr">
        <is>
          <t xml:space="preserve">Ящики-носилки </t>
        </is>
      </c>
      <c r="C586" s="37" t="n"/>
      <c r="D586" s="33" t="n"/>
      <c r="E586" s="33" t="n"/>
      <c r="F586" s="33">
        <f>E586*0.05</f>
        <v/>
      </c>
      <c r="G586" s="33">
        <f>E586+F586</f>
        <v/>
      </c>
      <c r="H586" s="33" t="n"/>
      <c r="I586" s="33" t="n"/>
      <c r="J586" s="33" t="n"/>
      <c r="K586" s="33">
        <f>L586+M586+N586</f>
        <v/>
      </c>
      <c r="L586" s="33" t="n"/>
      <c r="M586" s="33" t="n"/>
      <c r="N586" s="33" t="n"/>
      <c r="O586" s="33">
        <f>P586+Q586</f>
        <v/>
      </c>
      <c r="P586" s="33" t="n"/>
      <c r="Q586" s="33" t="n"/>
      <c r="R586" s="33">
        <f>H586+K586-O586</f>
        <v/>
      </c>
      <c r="S586" s="33" t="n"/>
      <c r="T586" s="33" t="n"/>
      <c r="U586" s="33" t="n"/>
      <c r="V586" s="33" t="n"/>
      <c r="W586" s="33" t="n"/>
      <c r="X586" s="33" t="n"/>
      <c r="Y586" s="33" t="n"/>
      <c r="Z586" s="33" t="n"/>
      <c r="AA586" s="4">
        <f>R586-G586</f>
        <v/>
      </c>
      <c r="AB586" s="4">
        <f>G586-R586</f>
        <v/>
      </c>
      <c r="AC586" s="33" t="n"/>
    </row>
    <row r="587" ht="18.75" customHeight="1">
      <c r="A587" s="35">
        <f>SUBTOTAL(103,$B$24:B587)</f>
        <v/>
      </c>
      <c r="B587" s="36" t="inlineStr">
        <is>
          <t>Комплект тари для продуктів</t>
        </is>
      </c>
      <c r="C587" s="37" t="inlineStr">
        <is>
          <t>к-т</t>
        </is>
      </c>
      <c r="D587" s="33" t="n"/>
      <c r="E587" s="33" t="n"/>
      <c r="F587" s="33">
        <f>E587*0.05</f>
        <v/>
      </c>
      <c r="G587" s="33">
        <f>E587+F587</f>
        <v/>
      </c>
      <c r="H587" s="33" t="n"/>
      <c r="I587" s="33" t="n"/>
      <c r="J587" s="33" t="n"/>
      <c r="K587" s="33">
        <f>L587+M587+N587</f>
        <v/>
      </c>
      <c r="L587" s="33" t="n"/>
      <c r="M587" s="33" t="n"/>
      <c r="N587" s="33" t="n"/>
      <c r="O587" s="33">
        <f>P587+Q587</f>
        <v/>
      </c>
      <c r="P587" s="33" t="n"/>
      <c r="Q587" s="33" t="n"/>
      <c r="R587" s="33">
        <f>H587+K587-O587</f>
        <v/>
      </c>
      <c r="S587" s="33" t="n"/>
      <c r="T587" s="33" t="n"/>
      <c r="U587" s="33" t="n"/>
      <c r="V587" s="33" t="n"/>
      <c r="W587" s="33" t="n"/>
      <c r="X587" s="33" t="n"/>
      <c r="Y587" s="33" t="n"/>
      <c r="Z587" s="33" t="n"/>
      <c r="AA587" s="4">
        <f>R587-G587</f>
        <v/>
      </c>
      <c r="AB587" s="4">
        <f>G587-R587</f>
        <v/>
      </c>
      <c r="AC587" s="33" t="n"/>
    </row>
    <row r="588" ht="18.75" customHeight="1">
      <c r="A588" s="35">
        <f>SUBTOTAL(103,$B$24:B588)</f>
        <v/>
      </c>
      <c r="B588" s="36" t="inlineStr">
        <is>
          <t>Ящик-носилки для мяса</t>
        </is>
      </c>
      <c r="C588" s="37" t="inlineStr">
        <is>
          <t>шт.</t>
        </is>
      </c>
      <c r="D588" s="33" t="n"/>
      <c r="E588" s="33" t="n"/>
      <c r="F588" s="33">
        <f>E588*0.05</f>
        <v/>
      </c>
      <c r="G588" s="33">
        <f>E588+F588</f>
        <v/>
      </c>
      <c r="H588" s="33" t="n"/>
      <c r="I588" s="33" t="n"/>
      <c r="J588" s="33" t="n"/>
      <c r="K588" s="33">
        <f>L588+M588+N588</f>
        <v/>
      </c>
      <c r="L588" s="33" t="n"/>
      <c r="M588" s="33" t="n"/>
      <c r="N588" s="33" t="n"/>
      <c r="O588" s="33">
        <f>P588+Q588</f>
        <v/>
      </c>
      <c r="P588" s="33" t="n"/>
      <c r="Q588" s="33" t="n"/>
      <c r="R588" s="33">
        <f>H588+K588-O588</f>
        <v/>
      </c>
      <c r="S588" s="33" t="n"/>
      <c r="T588" s="33" t="n"/>
      <c r="U588" s="33" t="n"/>
      <c r="V588" s="33" t="n"/>
      <c r="W588" s="33" t="n"/>
      <c r="X588" s="33" t="n"/>
      <c r="Y588" s="33" t="n"/>
      <c r="Z588" s="33" t="n"/>
      <c r="AA588" s="4">
        <f>R588-G588</f>
        <v/>
      </c>
      <c r="AB588" s="4">
        <f>G588-R588</f>
        <v/>
      </c>
      <c r="AC588" s="33" t="n"/>
    </row>
    <row r="589" ht="18.75" customHeight="1">
      <c r="A589" s="35">
        <f>SUBTOTAL(103,$B$24:B589)</f>
        <v/>
      </c>
      <c r="B589" s="36" t="inlineStr">
        <is>
          <t>Ящик-носилки для риби</t>
        </is>
      </c>
      <c r="C589" s="37" t="inlineStr">
        <is>
          <t>шт.</t>
        </is>
      </c>
      <c r="D589" s="33" t="n"/>
      <c r="E589" s="33" t="n"/>
      <c r="F589" s="33">
        <f>E589*0.05</f>
        <v/>
      </c>
      <c r="G589" s="33">
        <f>E589+F589</f>
        <v/>
      </c>
      <c r="H589" s="33" t="n"/>
      <c r="I589" s="33" t="n"/>
      <c r="J589" s="33" t="n"/>
      <c r="K589" s="33">
        <f>L589+M589+N589</f>
        <v/>
      </c>
      <c r="L589" s="33" t="n"/>
      <c r="M589" s="33" t="n"/>
      <c r="N589" s="33" t="n"/>
      <c r="O589" s="33">
        <f>P589+Q589</f>
        <v/>
      </c>
      <c r="P589" s="33" t="n"/>
      <c r="Q589" s="33" t="n"/>
      <c r="R589" s="33">
        <f>H589+K589-O589</f>
        <v/>
      </c>
      <c r="S589" s="33" t="n"/>
      <c r="T589" s="33" t="n"/>
      <c r="U589" s="33" t="n"/>
      <c r="V589" s="33" t="n"/>
      <c r="W589" s="33" t="n"/>
      <c r="X589" s="33" t="n"/>
      <c r="Y589" s="33" t="n"/>
      <c r="Z589" s="33" t="n"/>
      <c r="AA589" s="4">
        <f>R589-G589</f>
        <v/>
      </c>
      <c r="AB589" s="4">
        <f>G589-R589</f>
        <v/>
      </c>
      <c r="AC589" s="33" t="n"/>
    </row>
    <row r="590" ht="18.75" customHeight="1">
      <c r="A590" s="35">
        <f>SUBTOTAL(103,$B$24:B590)</f>
        <v/>
      </c>
      <c r="B590" s="36" t="inlineStr">
        <is>
          <t>Ящик-носилки для картоплі</t>
        </is>
      </c>
      <c r="C590" s="37" t="inlineStr">
        <is>
          <t>шт.</t>
        </is>
      </c>
      <c r="D590" s="33" t="n"/>
      <c r="E590" s="33" t="n"/>
      <c r="F590" s="33">
        <f>E590*0.05</f>
        <v/>
      </c>
      <c r="G590" s="33">
        <f>E590+F590</f>
        <v/>
      </c>
      <c r="H590" s="33" t="n"/>
      <c r="I590" s="33" t="n"/>
      <c r="J590" s="33" t="n"/>
      <c r="K590" s="33">
        <f>L590+M590+N590</f>
        <v/>
      </c>
      <c r="L590" s="33" t="n"/>
      <c r="M590" s="33" t="n"/>
      <c r="N590" s="33" t="n"/>
      <c r="O590" s="33">
        <f>P590+Q590</f>
        <v/>
      </c>
      <c r="P590" s="33" t="n"/>
      <c r="Q590" s="33" t="n"/>
      <c r="R590" s="33">
        <f>H590+K590-O590</f>
        <v/>
      </c>
      <c r="S590" s="33" t="n"/>
      <c r="T590" s="33" t="n"/>
      <c r="U590" s="33" t="n"/>
      <c r="V590" s="33" t="n"/>
      <c r="W590" s="33" t="n"/>
      <c r="X590" s="33" t="n"/>
      <c r="Y590" s="33" t="n"/>
      <c r="Z590" s="33" t="n"/>
      <c r="AA590" s="4">
        <f>R590-G590</f>
        <v/>
      </c>
      <c r="AB590" s="4">
        <f>G590-R590</f>
        <v/>
      </c>
      <c r="AC590" s="33" t="n"/>
    </row>
    <row r="591" ht="18.75" customHeight="1">
      <c r="A591" s="35">
        <f>SUBTOTAL(103,$B$24:B591)</f>
        <v/>
      </c>
      <c r="B591" s="36" t="inlineStr">
        <is>
          <t>Ящик носилки для овочів</t>
        </is>
      </c>
      <c r="C591" s="37" t="inlineStr">
        <is>
          <t>шт.</t>
        </is>
      </c>
      <c r="D591" s="33" t="n"/>
      <c r="E591" s="33" t="n"/>
      <c r="F591" s="33">
        <f>E591*0.05</f>
        <v/>
      </c>
      <c r="G591" s="33">
        <f>E591+F591</f>
        <v/>
      </c>
      <c r="H591" s="33" t="n"/>
      <c r="I591" s="33" t="n"/>
      <c r="J591" s="33" t="n"/>
      <c r="K591" s="33">
        <f>L591+M591+N591</f>
        <v/>
      </c>
      <c r="L591" s="33" t="n"/>
      <c r="M591" s="33" t="n"/>
      <c r="N591" s="33" t="n"/>
      <c r="O591" s="33">
        <f>P591+Q591</f>
        <v/>
      </c>
      <c r="P591" s="33" t="n"/>
      <c r="Q591" s="33" t="n"/>
      <c r="R591" s="33">
        <f>H591+K591-O591</f>
        <v/>
      </c>
      <c r="S591" s="33" t="n"/>
      <c r="T591" s="33" t="n"/>
      <c r="U591" s="33" t="n"/>
      <c r="V591" s="33" t="n"/>
      <c r="W591" s="33" t="n"/>
      <c r="X591" s="33" t="n"/>
      <c r="Y591" s="33" t="n"/>
      <c r="Z591" s="33" t="n"/>
      <c r="AA591" s="4">
        <f>R591-G591</f>
        <v/>
      </c>
      <c r="AB591" s="4">
        <f>G591-R591</f>
        <v/>
      </c>
      <c r="AC591" s="33" t="n"/>
    </row>
    <row r="592" ht="18.75" customHeight="1">
      <c r="A592" s="35">
        <f>SUBTOTAL(103,$B$24:B592)</f>
        <v/>
      </c>
      <c r="B592" s="36" t="inlineStr">
        <is>
          <t>Ящик для продовольства</t>
        </is>
      </c>
      <c r="C592" s="37" t="inlineStr">
        <is>
          <t>шт.</t>
        </is>
      </c>
      <c r="D592" s="33" t="n"/>
      <c r="E592" s="33" t="n"/>
      <c r="F592" s="33">
        <f>E592*0.05</f>
        <v/>
      </c>
      <c r="G592" s="33">
        <f>E592+F592</f>
        <v/>
      </c>
      <c r="H592" s="33" t="n"/>
      <c r="I592" s="33" t="n"/>
      <c r="J592" s="33" t="n"/>
      <c r="K592" s="33">
        <f>L592+M592+N592</f>
        <v/>
      </c>
      <c r="L592" s="33" t="n"/>
      <c r="M592" s="33" t="n"/>
      <c r="N592" s="33" t="n"/>
      <c r="O592" s="33">
        <f>P592+Q592</f>
        <v/>
      </c>
      <c r="P592" s="33" t="n"/>
      <c r="Q592" s="33" t="n"/>
      <c r="R592" s="33">
        <f>H592+K592-O592</f>
        <v/>
      </c>
      <c r="S592" s="33" t="n"/>
      <c r="T592" s="33" t="n"/>
      <c r="U592" s="33" t="n"/>
      <c r="V592" s="33" t="n"/>
      <c r="W592" s="33" t="n"/>
      <c r="X592" s="33" t="n"/>
      <c r="Y592" s="33" t="n"/>
      <c r="Z592" s="33" t="n"/>
      <c r="AA592" s="4">
        <f>R592-G592</f>
        <v/>
      </c>
      <c r="AB592" s="4">
        <f>G592-R592</f>
        <v/>
      </c>
      <c r="AC592" s="33" t="n"/>
    </row>
    <row r="593" ht="18.75" customHeight="1">
      <c r="A593" s="35">
        <f>SUBTOTAL(103,$B$24:B593)</f>
        <v/>
      </c>
      <c r="B593" s="36" t="inlineStr">
        <is>
          <t xml:space="preserve">Ящик для солей і спецій </t>
        </is>
      </c>
      <c r="C593" s="37" t="inlineStr">
        <is>
          <t>шт.</t>
        </is>
      </c>
      <c r="D593" s="33" t="n"/>
      <c r="E593" s="33" t="n"/>
      <c r="F593" s="33">
        <f>E593*0.05</f>
        <v/>
      </c>
      <c r="G593" s="33">
        <f>E593+F593</f>
        <v/>
      </c>
      <c r="H593" s="33" t="n"/>
      <c r="I593" s="33" t="n"/>
      <c r="J593" s="33" t="n"/>
      <c r="K593" s="33">
        <f>L593+M593+N593</f>
        <v/>
      </c>
      <c r="L593" s="33" t="n"/>
      <c r="M593" s="33" t="n"/>
      <c r="N593" s="33" t="n"/>
      <c r="O593" s="33">
        <f>P593+Q593</f>
        <v/>
      </c>
      <c r="P593" s="33" t="n"/>
      <c r="Q593" s="33" t="n"/>
      <c r="R593" s="33">
        <f>H593+K593-O593</f>
        <v/>
      </c>
      <c r="S593" s="33" t="n"/>
      <c r="T593" s="33" t="n"/>
      <c r="U593" s="33" t="n"/>
      <c r="V593" s="33" t="n"/>
      <c r="W593" s="33" t="n"/>
      <c r="X593" s="33" t="n"/>
      <c r="Y593" s="33" t="n"/>
      <c r="Z593" s="33" t="n"/>
      <c r="AA593" s="4">
        <f>R593-G593</f>
        <v/>
      </c>
      <c r="AB593" s="4">
        <f>G593-R593</f>
        <v/>
      </c>
      <c r="AC593" s="33" t="n"/>
    </row>
    <row r="594" ht="18.75" customHeight="1">
      <c r="A594" s="35">
        <f>SUBTOTAL(103,$B$24:B594)</f>
        <v/>
      </c>
      <c r="B594" s="36" t="inlineStr">
        <is>
          <t>Ящик для цукру</t>
        </is>
      </c>
      <c r="C594" s="37" t="inlineStr">
        <is>
          <t>шт.</t>
        </is>
      </c>
      <c r="D594" s="33" t="n"/>
      <c r="E594" s="33" t="n"/>
      <c r="F594" s="33">
        <f>E594*0.05</f>
        <v/>
      </c>
      <c r="G594" s="33">
        <f>E594+F594</f>
        <v/>
      </c>
      <c r="H594" s="33" t="n"/>
      <c r="I594" s="33" t="n"/>
      <c r="J594" s="33" t="n"/>
      <c r="K594" s="33">
        <f>L594+M594+N594</f>
        <v/>
      </c>
      <c r="L594" s="33" t="n"/>
      <c r="M594" s="33" t="n"/>
      <c r="N594" s="33" t="n"/>
      <c r="O594" s="33">
        <f>P594+Q594</f>
        <v/>
      </c>
      <c r="P594" s="33" t="n"/>
      <c r="Q594" s="33" t="n"/>
      <c r="R594" s="33">
        <f>H594+K594-O594</f>
        <v/>
      </c>
      <c r="S594" s="33" t="n"/>
      <c r="T594" s="33" t="n"/>
      <c r="U594" s="33" t="n"/>
      <c r="V594" s="33" t="n"/>
      <c r="W594" s="33" t="n"/>
      <c r="X594" s="33" t="n"/>
      <c r="Y594" s="33" t="n"/>
      <c r="Z594" s="33" t="n"/>
      <c r="AA594" s="4">
        <f>R594-G594</f>
        <v/>
      </c>
      <c r="AB594" s="4">
        <f>G594-R594</f>
        <v/>
      </c>
      <c r="AC594" s="33" t="n"/>
    </row>
    <row r="595" ht="18.75" customHeight="1">
      <c r="A595" s="35">
        <f>SUBTOTAL(103,$B$24:B595)</f>
        <v/>
      </c>
      <c r="B595" s="36" t="inlineStr">
        <is>
          <t>Ящик для хліба</t>
        </is>
      </c>
      <c r="C595" s="37" t="inlineStr">
        <is>
          <t>шт.</t>
        </is>
      </c>
      <c r="D595" s="33" t="n"/>
      <c r="E595" s="33" t="n"/>
      <c r="F595" s="33">
        <f>E595*0.05</f>
        <v/>
      </c>
      <c r="G595" s="33">
        <f>E595+F595</f>
        <v/>
      </c>
      <c r="H595" s="33" t="n"/>
      <c r="I595" s="33" t="n"/>
      <c r="J595" s="33" t="n"/>
      <c r="K595" s="33">
        <f>L595+M595+N595</f>
        <v/>
      </c>
      <c r="L595" s="33" t="n"/>
      <c r="M595" s="33" t="n"/>
      <c r="N595" s="33" t="n"/>
      <c r="O595" s="33">
        <f>P595+Q595</f>
        <v/>
      </c>
      <c r="P595" s="33" t="n"/>
      <c r="Q595" s="33" t="n"/>
      <c r="R595" s="33">
        <f>H595+K595-O595</f>
        <v/>
      </c>
      <c r="S595" s="33" t="n"/>
      <c r="T595" s="33" t="n"/>
      <c r="U595" s="33" t="n"/>
      <c r="V595" s="33" t="n"/>
      <c r="W595" s="33" t="n"/>
      <c r="X595" s="33" t="n"/>
      <c r="Y595" s="33" t="n"/>
      <c r="Z595" s="33" t="n"/>
      <c r="AA595" s="4">
        <f>R595-G595</f>
        <v/>
      </c>
      <c r="AB595" s="4">
        <f>G595-R595</f>
        <v/>
      </c>
      <c r="AC595" s="33" t="n"/>
    </row>
    <row r="596" ht="18.75" customHeight="1">
      <c r="A596" s="35">
        <f>SUBTOTAL(103,$B$24:B596)</f>
        <v/>
      </c>
      <c r="B596" s="36" t="inlineStr">
        <is>
          <t>Ящик кондитерський</t>
        </is>
      </c>
      <c r="C596" s="37" t="inlineStr">
        <is>
          <t>шт.</t>
        </is>
      </c>
      <c r="D596" s="33" t="n"/>
      <c r="E596" s="33" t="n"/>
      <c r="F596" s="33">
        <f>E596*0.05</f>
        <v/>
      </c>
      <c r="G596" s="33">
        <f>E596+F596</f>
        <v/>
      </c>
      <c r="H596" s="33" t="n"/>
      <c r="I596" s="33" t="n"/>
      <c r="J596" s="33" t="n"/>
      <c r="K596" s="33">
        <f>L596+M596+N596</f>
        <v/>
      </c>
      <c r="L596" s="33" t="n"/>
      <c r="M596" s="33" t="n"/>
      <c r="N596" s="33" t="n"/>
      <c r="O596" s="33">
        <f>P596+Q596</f>
        <v/>
      </c>
      <c r="P596" s="33" t="n"/>
      <c r="Q596" s="33" t="n"/>
      <c r="R596" s="33">
        <f>H596+K596-O596</f>
        <v/>
      </c>
      <c r="S596" s="33" t="n"/>
      <c r="T596" s="33" t="n"/>
      <c r="U596" s="33" t="n"/>
      <c r="V596" s="33" t="n"/>
      <c r="W596" s="33" t="n"/>
      <c r="X596" s="33" t="n"/>
      <c r="Y596" s="33" t="n"/>
      <c r="Z596" s="33" t="n"/>
      <c r="AA596" s="4">
        <f>R596-G596</f>
        <v/>
      </c>
      <c r="AB596" s="4">
        <f>G596-R596</f>
        <v/>
      </c>
      <c r="AC596" s="33" t="n"/>
    </row>
    <row r="597" ht="18.75" customHeight="1">
      <c r="A597" s="35">
        <f>SUBTOTAL(103,$B$24:B597)</f>
        <v/>
      </c>
      <c r="B597" s="36" t="inlineStr">
        <is>
          <t>Ящик металевий</t>
        </is>
      </c>
      <c r="C597" s="37" t="inlineStr">
        <is>
          <t>шт.</t>
        </is>
      </c>
      <c r="D597" s="33" t="n"/>
      <c r="E597" s="33" t="n"/>
      <c r="F597" s="33">
        <f>E597*0.05</f>
        <v/>
      </c>
      <c r="G597" s="33">
        <f>E597+F597</f>
        <v/>
      </c>
      <c r="H597" s="33" t="n"/>
      <c r="I597" s="33" t="n"/>
      <c r="J597" s="33" t="n"/>
      <c r="K597" s="33">
        <f>L597+M597+N597</f>
        <v/>
      </c>
      <c r="L597" s="33" t="n"/>
      <c r="M597" s="33" t="n"/>
      <c r="N597" s="33" t="n"/>
      <c r="O597" s="33">
        <f>P597+Q597</f>
        <v/>
      </c>
      <c r="P597" s="33" t="n"/>
      <c r="Q597" s="33" t="n"/>
      <c r="R597" s="33">
        <f>H597+K597-O597</f>
        <v/>
      </c>
      <c r="S597" s="33" t="n"/>
      <c r="T597" s="33" t="n"/>
      <c r="U597" s="33" t="n"/>
      <c r="V597" s="33" t="n"/>
      <c r="W597" s="33" t="n"/>
      <c r="X597" s="33" t="n"/>
      <c r="Y597" s="33" t="n"/>
      <c r="Z597" s="33" t="n"/>
      <c r="AA597" s="4">
        <f>R597-G597</f>
        <v/>
      </c>
      <c r="AB597" s="4">
        <f>G597-R597</f>
        <v/>
      </c>
      <c r="AC597" s="33" t="n"/>
    </row>
    <row r="598" ht="18.75" customHeight="1">
      <c r="A598" s="35">
        <f>SUBTOTAL(103,$B$24:B598)</f>
        <v/>
      </c>
      <c r="B598" s="36" t="inlineStr">
        <is>
          <t>Ящик медичний</t>
        </is>
      </c>
      <c r="C598" s="37" t="inlineStr">
        <is>
          <t>шт.</t>
        </is>
      </c>
      <c r="D598" s="33" t="n"/>
      <c r="E598" s="33" t="n"/>
      <c r="F598" s="33">
        <f>E598*0.05</f>
        <v/>
      </c>
      <c r="G598" s="33">
        <f>E598+F598</f>
        <v/>
      </c>
      <c r="H598" s="33" t="n"/>
      <c r="I598" s="33" t="n"/>
      <c r="J598" s="33" t="n"/>
      <c r="K598" s="33">
        <f>L598+M598+N598</f>
        <v/>
      </c>
      <c r="L598" s="33" t="n"/>
      <c r="M598" s="33" t="n"/>
      <c r="N598" s="33" t="n"/>
      <c r="O598" s="33">
        <f>P598+Q598</f>
        <v/>
      </c>
      <c r="P598" s="33" t="n"/>
      <c r="Q598" s="33" t="n"/>
      <c r="R598" s="33">
        <f>H598+K598-O598</f>
        <v/>
      </c>
      <c r="S598" s="33" t="n"/>
      <c r="T598" s="33" t="n"/>
      <c r="U598" s="33" t="n"/>
      <c r="V598" s="33" t="n"/>
      <c r="W598" s="33" t="n"/>
      <c r="X598" s="33" t="n"/>
      <c r="Y598" s="33" t="n"/>
      <c r="Z598" s="33" t="n"/>
      <c r="AA598" s="4">
        <f>R598-G598</f>
        <v/>
      </c>
      <c r="AB598" s="4">
        <f>G598-R598</f>
        <v/>
      </c>
      <c r="AC598" s="33" t="n"/>
    </row>
    <row r="599" ht="18.75" customHeight="1">
      <c r="A599" s="35">
        <f>SUBTOTAL(103,$B$24:B599)</f>
        <v/>
      </c>
      <c r="B599" s="39" t="inlineStr">
        <is>
          <t>КОНТЕЙНЕРИ ДЛЯ ПРОДУКТІВ</t>
        </is>
      </c>
      <c r="C599" s="37" t="n"/>
      <c r="D599" s="33" t="n"/>
      <c r="E599" s="33" t="n"/>
      <c r="F599" s="33">
        <f>E599*0.05</f>
        <v/>
      </c>
      <c r="G599" s="33">
        <f>E599+F599</f>
        <v/>
      </c>
      <c r="H599" s="33" t="n"/>
      <c r="I599" s="33" t="n"/>
      <c r="J599" s="33" t="n"/>
      <c r="K599" s="33">
        <f>L599+M599+N599</f>
        <v/>
      </c>
      <c r="L599" s="33" t="n"/>
      <c r="M599" s="33" t="n"/>
      <c r="N599" s="33" t="n"/>
      <c r="O599" s="33">
        <f>P599+Q599</f>
        <v/>
      </c>
      <c r="P599" s="33" t="n"/>
      <c r="Q599" s="33" t="n"/>
      <c r="R599" s="33">
        <f>H599+K599-O599</f>
        <v/>
      </c>
      <c r="S599" s="33" t="n"/>
      <c r="T599" s="33" t="n"/>
      <c r="U599" s="33" t="n"/>
      <c r="V599" s="33" t="n"/>
      <c r="W599" s="33" t="n"/>
      <c r="X599" s="33" t="n"/>
      <c r="Y599" s="33" t="n"/>
      <c r="Z599" s="33" t="n"/>
      <c r="AA599" s="4">
        <f>R599-G599</f>
        <v/>
      </c>
      <c r="AB599" s="4">
        <f>G599-R599</f>
        <v/>
      </c>
      <c r="AC599" s="33" t="n"/>
    </row>
    <row r="600" ht="18.75" customHeight="1">
      <c r="A600" s="35">
        <f>SUBTOTAL(103,$B$24:B600)</f>
        <v/>
      </c>
      <c r="B600" s="36" t="inlineStr">
        <is>
          <t>Контейнер для продуктів</t>
        </is>
      </c>
      <c r="C600" s="37" t="inlineStr">
        <is>
          <t>шт.</t>
        </is>
      </c>
      <c r="D600" s="33" t="n"/>
      <c r="E600" s="33" t="n"/>
      <c r="F600" s="33">
        <f>E600*0.05</f>
        <v/>
      </c>
      <c r="G600" s="33">
        <f>E600+F600</f>
        <v/>
      </c>
      <c r="H600" s="33" t="n"/>
      <c r="I600" s="33" t="n"/>
      <c r="J600" s="33" t="n"/>
      <c r="K600" s="33">
        <f>L600+M600+N600</f>
        <v/>
      </c>
      <c r="L600" s="33" t="n"/>
      <c r="M600" s="33" t="n"/>
      <c r="N600" s="33" t="n"/>
      <c r="O600" s="33">
        <f>P600+Q600</f>
        <v/>
      </c>
      <c r="P600" s="33" t="n"/>
      <c r="Q600" s="33" t="n"/>
      <c r="R600" s="33">
        <f>H600+K600-O600</f>
        <v/>
      </c>
      <c r="S600" s="33" t="n"/>
      <c r="T600" s="33" t="n"/>
      <c r="U600" s="33" t="n"/>
      <c r="V600" s="33" t="n"/>
      <c r="W600" s="33" t="n"/>
      <c r="X600" s="33" t="n"/>
      <c r="Y600" s="33" t="n"/>
      <c r="Z600" s="33" t="n"/>
      <c r="AA600" s="4">
        <f>R600-G600</f>
        <v/>
      </c>
      <c r="AB600" s="4">
        <f>G600-R600</f>
        <v/>
      </c>
      <c r="AC600" s="33" t="n"/>
    </row>
    <row r="601" ht="18.75" customHeight="1">
      <c r="A601" s="35">
        <f>SUBTOTAL(103,$B$24:B601)</f>
        <v/>
      </c>
      <c r="B601" s="36" t="inlineStr">
        <is>
          <t>Контейнер для харчових відходів</t>
        </is>
      </c>
      <c r="C601" s="37" t="inlineStr">
        <is>
          <t>шт.</t>
        </is>
      </c>
      <c r="D601" s="33" t="n"/>
      <c r="E601" s="33" t="n"/>
      <c r="F601" s="33">
        <f>E601*0.05</f>
        <v/>
      </c>
      <c r="G601" s="33">
        <f>E601+F601</f>
        <v/>
      </c>
      <c r="H601" s="33" t="n"/>
      <c r="I601" s="33" t="n"/>
      <c r="J601" s="33" t="n"/>
      <c r="K601" s="33">
        <f>L601+M601+N601</f>
        <v/>
      </c>
      <c r="L601" s="33" t="n"/>
      <c r="M601" s="33" t="n"/>
      <c r="N601" s="33" t="n"/>
      <c r="O601" s="33">
        <f>P601+Q601</f>
        <v/>
      </c>
      <c r="P601" s="33" t="n"/>
      <c r="Q601" s="33" t="n"/>
      <c r="R601" s="33">
        <f>H601+K601-O601</f>
        <v/>
      </c>
      <c r="S601" s="33" t="n"/>
      <c r="T601" s="33" t="n"/>
      <c r="U601" s="33" t="n"/>
      <c r="V601" s="33" t="n"/>
      <c r="W601" s="33" t="n"/>
      <c r="X601" s="33" t="n"/>
      <c r="Y601" s="33" t="n"/>
      <c r="Z601" s="33" t="n"/>
      <c r="AA601" s="4">
        <f>R601-G601</f>
        <v/>
      </c>
      <c r="AB601" s="4">
        <f>G601-R601</f>
        <v/>
      </c>
      <c r="AC601" s="33" t="n"/>
    </row>
    <row r="602" ht="18.75" customHeight="1">
      <c r="A602" s="35">
        <f>SUBTOTAL(103,$B$24:B602)</f>
        <v/>
      </c>
      <c r="B602" s="36" t="inlineStr">
        <is>
          <t>Контейнер для зберігання картоплі</t>
        </is>
      </c>
      <c r="C602" s="37" t="inlineStr">
        <is>
          <t>шт.</t>
        </is>
      </c>
      <c r="D602" s="33" t="n"/>
      <c r="E602" s="33" t="n"/>
      <c r="F602" s="33">
        <f>E602*0.05</f>
        <v/>
      </c>
      <c r="G602" s="33">
        <f>E602+F602</f>
        <v/>
      </c>
      <c r="H602" s="33" t="n"/>
      <c r="I602" s="33" t="n"/>
      <c r="J602" s="33" t="n"/>
      <c r="K602" s="33">
        <f>L602+M602+N602</f>
        <v/>
      </c>
      <c r="L602" s="33" t="n"/>
      <c r="M602" s="33" t="n"/>
      <c r="N602" s="33" t="n"/>
      <c r="O602" s="33">
        <f>P602+Q602</f>
        <v/>
      </c>
      <c r="P602" s="33" t="n"/>
      <c r="Q602" s="33" t="n"/>
      <c r="R602" s="33">
        <f>H602+K602-O602</f>
        <v/>
      </c>
      <c r="S602" s="33" t="n"/>
      <c r="T602" s="33" t="n"/>
      <c r="U602" s="33" t="n"/>
      <c r="V602" s="33" t="n"/>
      <c r="W602" s="33" t="n"/>
      <c r="X602" s="33" t="n"/>
      <c r="Y602" s="33" t="n"/>
      <c r="Z602" s="33" t="n"/>
      <c r="AA602" s="4">
        <f>R602-G602</f>
        <v/>
      </c>
      <c r="AB602" s="4">
        <f>G602-R602</f>
        <v/>
      </c>
      <c r="AC602" s="33" t="n"/>
    </row>
    <row r="603" ht="18.75" customHeight="1">
      <c r="A603" s="35">
        <f>SUBTOTAL(103,$B$24:B603)</f>
        <v/>
      </c>
      <c r="B603" s="36" t="inlineStr">
        <is>
          <t>Контейнери для овочів</t>
        </is>
      </c>
      <c r="C603" s="37" t="inlineStr">
        <is>
          <t>шт.</t>
        </is>
      </c>
      <c r="D603" s="33" t="n"/>
      <c r="E603" s="33" t="n"/>
      <c r="F603" s="33">
        <f>E603*0.05</f>
        <v/>
      </c>
      <c r="G603" s="33">
        <f>E603+F603</f>
        <v/>
      </c>
      <c r="H603" s="33" t="n"/>
      <c r="I603" s="33" t="n"/>
      <c r="J603" s="33" t="n"/>
      <c r="K603" s="33">
        <f>L603+M603+N603</f>
        <v/>
      </c>
      <c r="L603" s="33" t="n"/>
      <c r="M603" s="33" t="n"/>
      <c r="N603" s="33" t="n"/>
      <c r="O603" s="33">
        <f>P603+Q603</f>
        <v/>
      </c>
      <c r="P603" s="33" t="n"/>
      <c r="Q603" s="33" t="n"/>
      <c r="R603" s="33">
        <f>H603+K603-O603</f>
        <v/>
      </c>
      <c r="S603" s="33" t="n"/>
      <c r="T603" s="33" t="n"/>
      <c r="U603" s="33" t="n"/>
      <c r="V603" s="33" t="n"/>
      <c r="W603" s="33" t="n"/>
      <c r="X603" s="33" t="n"/>
      <c r="Y603" s="33" t="n"/>
      <c r="Z603" s="33" t="n"/>
      <c r="AA603" s="4">
        <f>R603-G603</f>
        <v/>
      </c>
      <c r="AB603" s="4">
        <f>G603-R603</f>
        <v/>
      </c>
      <c r="AC603" s="33" t="n"/>
    </row>
    <row r="604" ht="37.5" customHeight="1">
      <c r="A604" s="35">
        <f>SUBTOTAL(103,$B$24:B604)</f>
        <v/>
      </c>
      <c r="B604" s="36" t="inlineStr">
        <is>
          <t>Контейнер для столових приборів з нержавіючої сталі</t>
        </is>
      </c>
      <c r="C604" s="37" t="inlineStr">
        <is>
          <t>шт.</t>
        </is>
      </c>
      <c r="D604" s="33" t="n"/>
      <c r="E604" s="33" t="n"/>
      <c r="F604" s="33">
        <f>E604*0.05</f>
        <v/>
      </c>
      <c r="G604" s="33">
        <f>E604+F604</f>
        <v/>
      </c>
      <c r="H604" s="33" t="n"/>
      <c r="I604" s="33" t="n"/>
      <c r="J604" s="33" t="n"/>
      <c r="K604" s="33">
        <f>L604+M604+N604</f>
        <v/>
      </c>
      <c r="L604" s="33" t="n"/>
      <c r="M604" s="33" t="n"/>
      <c r="N604" s="33" t="n"/>
      <c r="O604" s="33">
        <f>P604+Q604</f>
        <v/>
      </c>
      <c r="P604" s="33" t="n"/>
      <c r="Q604" s="33" t="n"/>
      <c r="R604" s="33">
        <f>H604+K604-O604</f>
        <v/>
      </c>
      <c r="S604" s="33" t="n"/>
      <c r="T604" s="33" t="n"/>
      <c r="U604" s="33" t="n"/>
      <c r="V604" s="33" t="n"/>
      <c r="W604" s="33" t="n"/>
      <c r="X604" s="33" t="n"/>
      <c r="Y604" s="33" t="n"/>
      <c r="Z604" s="33" t="n"/>
      <c r="AA604" s="4">
        <f>R604-G604</f>
        <v/>
      </c>
      <c r="AB604" s="4">
        <f>G604-R604</f>
        <v/>
      </c>
      <c r="AC604" s="33" t="n"/>
    </row>
    <row r="605" ht="18.75" customHeight="1">
      <c r="A605" s="35">
        <f>SUBTOTAL(103,$B$24:B605)</f>
        <v/>
      </c>
      <c r="B605" s="36" t="inlineStr">
        <is>
          <t>Контейнер "УУК-5"</t>
        </is>
      </c>
      <c r="C605" s="37" t="inlineStr">
        <is>
          <t>шт.</t>
        </is>
      </c>
      <c r="D605" s="33" t="n"/>
      <c r="E605" s="33" t="n"/>
      <c r="F605" s="33">
        <f>E605*0.05</f>
        <v/>
      </c>
      <c r="G605" s="33">
        <f>E605+F605</f>
        <v/>
      </c>
      <c r="H605" s="33" t="n"/>
      <c r="I605" s="33" t="n"/>
      <c r="J605" s="33" t="n"/>
      <c r="K605" s="33">
        <f>L605+M605+N605</f>
        <v/>
      </c>
      <c r="L605" s="33" t="n"/>
      <c r="M605" s="33" t="n"/>
      <c r="N605" s="33" t="n"/>
      <c r="O605" s="33">
        <f>P605+Q605</f>
        <v/>
      </c>
      <c r="P605" s="33" t="n"/>
      <c r="Q605" s="33" t="n"/>
      <c r="R605" s="33">
        <f>H605+K605-O605</f>
        <v/>
      </c>
      <c r="S605" s="33" t="n"/>
      <c r="T605" s="33" t="n"/>
      <c r="U605" s="33" t="n"/>
      <c r="V605" s="33" t="n"/>
      <c r="W605" s="33" t="n"/>
      <c r="X605" s="33" t="n"/>
      <c r="Y605" s="33" t="n"/>
      <c r="Z605" s="33" t="n"/>
      <c r="AA605" s="4">
        <f>R605-G605</f>
        <v/>
      </c>
      <c r="AB605" s="4">
        <f>G605-R605</f>
        <v/>
      </c>
      <c r="AC605" s="33" t="n"/>
    </row>
    <row r="606" ht="18.75" customHeight="1">
      <c r="A606" s="35">
        <f>SUBTOTAL(103,$B$24:B606)</f>
        <v/>
      </c>
      <c r="B606" s="36" t="inlineStr">
        <is>
          <t>Контейнер "УУК-3"</t>
        </is>
      </c>
      <c r="C606" s="37" t="inlineStr">
        <is>
          <t>шт.</t>
        </is>
      </c>
      <c r="D606" s="33" t="n"/>
      <c r="E606" s="33" t="n"/>
      <c r="F606" s="33">
        <f>E606*0.05</f>
        <v/>
      </c>
      <c r="G606" s="33">
        <f>E606+F606</f>
        <v/>
      </c>
      <c r="H606" s="33" t="n"/>
      <c r="I606" s="33" t="n"/>
      <c r="J606" s="33" t="n"/>
      <c r="K606" s="33">
        <f>L606+M606+N606</f>
        <v/>
      </c>
      <c r="L606" s="33" t="n"/>
      <c r="M606" s="33" t="n"/>
      <c r="N606" s="33" t="n"/>
      <c r="O606" s="33">
        <f>P606+Q606</f>
        <v/>
      </c>
      <c r="P606" s="33" t="n"/>
      <c r="Q606" s="33" t="n"/>
      <c r="R606" s="33">
        <f>H606+K606-O606</f>
        <v/>
      </c>
      <c r="S606" s="33" t="n"/>
      <c r="T606" s="33" t="n"/>
      <c r="U606" s="33" t="n"/>
      <c r="V606" s="33" t="n"/>
      <c r="W606" s="33" t="n"/>
      <c r="X606" s="33" t="n"/>
      <c r="Y606" s="33" t="n"/>
      <c r="Z606" s="33" t="n"/>
      <c r="AA606" s="4">
        <f>R606-G606</f>
        <v/>
      </c>
      <c r="AB606" s="4">
        <f>G606-R606</f>
        <v/>
      </c>
      <c r="AC606" s="33" t="n"/>
    </row>
    <row r="607" ht="18.75" customHeight="1">
      <c r="A607" s="35">
        <f>SUBTOTAL(103,$B$24:B607)</f>
        <v/>
      </c>
      <c r="B607" s="36" t="inlineStr">
        <is>
          <t>Контейнер пересувний "КП-300"</t>
        </is>
      </c>
      <c r="C607" s="37" t="inlineStr">
        <is>
          <t>шт.</t>
        </is>
      </c>
      <c r="D607" s="33" t="n"/>
      <c r="E607" s="33" t="n"/>
      <c r="F607" s="33">
        <f>E607*0.05</f>
        <v/>
      </c>
      <c r="G607" s="33">
        <f>E607+F607</f>
        <v/>
      </c>
      <c r="H607" s="33" t="n"/>
      <c r="I607" s="33" t="n"/>
      <c r="J607" s="33" t="n"/>
      <c r="K607" s="33">
        <f>L607+M607+N607</f>
        <v/>
      </c>
      <c r="L607" s="33" t="n"/>
      <c r="M607" s="33" t="n"/>
      <c r="N607" s="33" t="n"/>
      <c r="O607" s="33">
        <f>P607+Q607</f>
        <v/>
      </c>
      <c r="P607" s="33" t="n"/>
      <c r="Q607" s="33" t="n"/>
      <c r="R607" s="33">
        <f>H607+K607-O607</f>
        <v/>
      </c>
      <c r="S607" s="33" t="n"/>
      <c r="T607" s="33" t="n"/>
      <c r="U607" s="33" t="n"/>
      <c r="V607" s="33" t="n"/>
      <c r="W607" s="33" t="n"/>
      <c r="X607" s="33" t="n"/>
      <c r="Y607" s="33" t="n"/>
      <c r="Z607" s="33" t="n"/>
      <c r="AA607" s="4">
        <f>R607-G607</f>
        <v/>
      </c>
      <c r="AB607" s="4">
        <f>G607-R607</f>
        <v/>
      </c>
      <c r="AC607" s="33" t="n"/>
    </row>
    <row r="608" ht="18.75" customHeight="1">
      <c r="A608" s="35">
        <f>SUBTOTAL(103,$B$24:B608)</f>
        <v/>
      </c>
      <c r="B608" s="36" t="inlineStr">
        <is>
          <t>Контейнер пересувний "КП-160"</t>
        </is>
      </c>
      <c r="C608" s="37" t="inlineStr">
        <is>
          <t>шт.</t>
        </is>
      </c>
      <c r="D608" s="33" t="n"/>
      <c r="E608" s="33" t="n"/>
      <c r="F608" s="33">
        <f>E608*0.05</f>
        <v/>
      </c>
      <c r="G608" s="33">
        <f>E608+F608</f>
        <v/>
      </c>
      <c r="H608" s="33" t="n"/>
      <c r="I608" s="33" t="n"/>
      <c r="J608" s="33" t="n"/>
      <c r="K608" s="33">
        <f>L608+M608+N608</f>
        <v/>
      </c>
      <c r="L608" s="33" t="n"/>
      <c r="M608" s="33" t="n"/>
      <c r="N608" s="33" t="n"/>
      <c r="O608" s="33">
        <f>P608+Q608</f>
        <v/>
      </c>
      <c r="P608" s="33" t="n"/>
      <c r="Q608" s="33" t="n"/>
      <c r="R608" s="33">
        <f>H608+K608-O608</f>
        <v/>
      </c>
      <c r="S608" s="33" t="n"/>
      <c r="T608" s="33" t="n"/>
      <c r="U608" s="33" t="n"/>
      <c r="V608" s="33" t="n"/>
      <c r="W608" s="33" t="n"/>
      <c r="X608" s="33" t="n"/>
      <c r="Y608" s="33" t="n"/>
      <c r="Z608" s="33" t="n"/>
      <c r="AA608" s="4">
        <f>R608-G608</f>
        <v/>
      </c>
      <c r="AB608" s="4">
        <f>G608-R608</f>
        <v/>
      </c>
      <c r="AC608" s="33" t="n"/>
    </row>
    <row r="609" ht="18.75" customHeight="1">
      <c r="A609" s="35">
        <f>SUBTOTAL(103,$B$24:B609)</f>
        <v/>
      </c>
      <c r="B609" s="36" t="inlineStr">
        <is>
          <t>Контейнер-сітка</t>
        </is>
      </c>
      <c r="C609" s="37" t="inlineStr">
        <is>
          <t>шт.</t>
        </is>
      </c>
      <c r="D609" s="33" t="n"/>
      <c r="E609" s="33" t="n"/>
      <c r="F609" s="33">
        <f>E609*0.05</f>
        <v/>
      </c>
      <c r="G609" s="33">
        <f>E609+F609</f>
        <v/>
      </c>
      <c r="H609" s="33" t="n"/>
      <c r="I609" s="33" t="n"/>
      <c r="J609" s="33" t="n"/>
      <c r="K609" s="33">
        <f>L609+M609+N609</f>
        <v/>
      </c>
      <c r="L609" s="33" t="n"/>
      <c r="M609" s="33" t="n"/>
      <c r="N609" s="33" t="n"/>
      <c r="O609" s="33">
        <f>P609+Q609</f>
        <v/>
      </c>
      <c r="P609" s="33" t="n"/>
      <c r="Q609" s="33" t="n"/>
      <c r="R609" s="33">
        <f>H609+K609-O609</f>
        <v/>
      </c>
      <c r="S609" s="33" t="n"/>
      <c r="T609" s="33" t="n"/>
      <c r="U609" s="33" t="n"/>
      <c r="V609" s="33" t="n"/>
      <c r="W609" s="33" t="n"/>
      <c r="X609" s="33" t="n"/>
      <c r="Y609" s="33" t="n"/>
      <c r="Z609" s="33" t="n"/>
      <c r="AA609" s="4">
        <f>R609-G609</f>
        <v/>
      </c>
      <c r="AB609" s="4">
        <f>G609-R609</f>
        <v/>
      </c>
      <c r="AC609" s="33" t="n"/>
    </row>
    <row r="610" ht="37.5" customHeight="1">
      <c r="A610" s="35">
        <f>SUBTOTAL(103,$B$24:B610)</f>
        <v/>
      </c>
      <c r="B610" s="36" t="inlineStr">
        <is>
          <t>Контейнер для напоїв Thermi K 20 л. без підігріву</t>
        </is>
      </c>
      <c r="C610" s="37" t="inlineStr">
        <is>
          <t>шт.</t>
        </is>
      </c>
      <c r="D610" s="33" t="n"/>
      <c r="E610" s="33" t="n"/>
      <c r="F610" s="33">
        <f>E610*0.05</f>
        <v/>
      </c>
      <c r="G610" s="33">
        <f>E610+F610</f>
        <v/>
      </c>
      <c r="H610" s="33" t="n"/>
      <c r="I610" s="33" t="n"/>
      <c r="J610" s="33" t="n"/>
      <c r="K610" s="33">
        <f>L610+M610+N610</f>
        <v/>
      </c>
      <c r="L610" s="33" t="n"/>
      <c r="M610" s="33" t="n"/>
      <c r="N610" s="33" t="n"/>
      <c r="O610" s="33">
        <f>P610+Q610</f>
        <v/>
      </c>
      <c r="P610" s="33" t="n"/>
      <c r="Q610" s="33" t="n"/>
      <c r="R610" s="33">
        <f>H610+K610-O610</f>
        <v/>
      </c>
      <c r="S610" s="33" t="n"/>
      <c r="T610" s="33" t="n"/>
      <c r="U610" s="33" t="n"/>
      <c r="V610" s="33" t="n"/>
      <c r="W610" s="33" t="n"/>
      <c r="X610" s="33" t="n"/>
      <c r="Y610" s="33" t="n"/>
      <c r="Z610" s="33" t="n"/>
      <c r="AA610" s="4">
        <f>R610-G610</f>
        <v/>
      </c>
      <c r="AB610" s="4">
        <f>G610-R610</f>
        <v/>
      </c>
      <c r="AC610" s="33" t="n"/>
    </row>
    <row r="611" ht="18.75" customHeight="1">
      <c r="A611" s="35">
        <f>SUBTOTAL(103,$B$24:B611)</f>
        <v/>
      </c>
      <c r="B611" s="38" t="inlineStr">
        <is>
          <t xml:space="preserve">Контейнер ізотермічний К 100 з підігрівом </t>
        </is>
      </c>
      <c r="C611" s="33" t="inlineStr">
        <is>
          <t>шт.</t>
        </is>
      </c>
      <c r="D611" s="33" t="n"/>
      <c r="E611" s="33" t="n"/>
      <c r="F611" s="33">
        <f>E611*0.05</f>
        <v/>
      </c>
      <c r="G611" s="33">
        <f>E611+F611</f>
        <v/>
      </c>
      <c r="H611" s="33" t="n"/>
      <c r="I611" s="33" t="n"/>
      <c r="J611" s="33" t="n"/>
      <c r="K611" s="33">
        <f>L611+M611+N611</f>
        <v/>
      </c>
      <c r="L611" s="33" t="n"/>
      <c r="M611" s="33" t="n"/>
      <c r="N611" s="33" t="n"/>
      <c r="O611" s="33">
        <f>P611+Q611</f>
        <v/>
      </c>
      <c r="P611" s="33" t="n"/>
      <c r="Q611" s="33" t="n"/>
      <c r="R611" s="33">
        <f>H611+K611-O611</f>
        <v/>
      </c>
      <c r="S611" s="33" t="n"/>
      <c r="T611" s="33" t="n"/>
      <c r="U611" s="33" t="n"/>
      <c r="V611" s="33" t="n"/>
      <c r="W611" s="33" t="n"/>
      <c r="X611" s="33" t="n"/>
      <c r="Y611" s="33" t="n"/>
      <c r="Z611" s="33" t="n"/>
      <c r="AA611" s="4">
        <f>R611-G611</f>
        <v/>
      </c>
      <c r="AB611" s="4">
        <f>G611-R611</f>
        <v/>
      </c>
      <c r="AC611" s="33" t="n"/>
    </row>
    <row r="612" ht="18.75" customHeight="1">
      <c r="A612" s="35">
        <f>SUBTOTAL(103,$B$24:B612)</f>
        <v/>
      </c>
      <c r="B612" s="40" t="inlineStr">
        <is>
          <t xml:space="preserve">Контейнери різні </t>
        </is>
      </c>
      <c r="C612" s="37" t="inlineStr">
        <is>
          <t>шт.</t>
        </is>
      </c>
      <c r="D612" s="33" t="n"/>
      <c r="E612" s="33" t="n"/>
      <c r="F612" s="33">
        <f>E612*0.05</f>
        <v/>
      </c>
      <c r="G612" s="33">
        <f>E612+F612</f>
        <v/>
      </c>
      <c r="H612" s="33" t="n"/>
      <c r="I612" s="33" t="n"/>
      <c r="J612" s="33" t="n"/>
      <c r="K612" s="33">
        <f>L612+M612+N612</f>
        <v/>
      </c>
      <c r="L612" s="33" t="n"/>
      <c r="M612" s="33" t="n"/>
      <c r="N612" s="33" t="n"/>
      <c r="O612" s="33">
        <f>P612+Q612</f>
        <v/>
      </c>
      <c r="P612" s="33" t="n"/>
      <c r="Q612" s="33" t="n"/>
      <c r="R612" s="33">
        <f>H612+K612-O612</f>
        <v/>
      </c>
      <c r="S612" s="33" t="n"/>
      <c r="T612" s="33" t="n"/>
      <c r="U612" s="33" t="n"/>
      <c r="V612" s="33" t="n"/>
      <c r="W612" s="33" t="n"/>
      <c r="X612" s="33" t="n"/>
      <c r="Y612" s="33" t="n"/>
      <c r="Z612" s="33" t="n"/>
      <c r="AA612" s="4">
        <f>R612-G612</f>
        <v/>
      </c>
      <c r="AB612" s="4">
        <f>G612-R612</f>
        <v/>
      </c>
      <c r="AC612" s="33" t="n"/>
    </row>
    <row r="613" ht="56.25" customHeight="1">
      <c r="A613" s="35">
        <f>SUBTOTAL(103,$B$24:B613)</f>
        <v/>
      </c>
      <c r="B613" s="36" t="inlineStr">
        <is>
          <t>Тара одноразова жорстка полістриролова для пакування хол. та гар. прод. TR-059</t>
        </is>
      </c>
      <c r="C613" s="37" t="inlineStr">
        <is>
          <t>шт.</t>
        </is>
      </c>
      <c r="D613" s="33" t="n"/>
      <c r="E613" s="33" t="n"/>
      <c r="F613" s="33">
        <f>E613*0.05</f>
        <v/>
      </c>
      <c r="G613" s="33">
        <f>E613+F613</f>
        <v/>
      </c>
      <c r="H613" s="33" t="n"/>
      <c r="I613" s="33" t="n"/>
      <c r="J613" s="33" t="n"/>
      <c r="K613" s="33">
        <f>L613+M613+N613</f>
        <v/>
      </c>
      <c r="L613" s="33" t="n"/>
      <c r="M613" s="33" t="n"/>
      <c r="N613" s="33" t="n"/>
      <c r="O613" s="33">
        <f>P613+Q613</f>
        <v/>
      </c>
      <c r="P613" s="33" t="n"/>
      <c r="Q613" s="33" t="n"/>
      <c r="R613" s="33">
        <f>H613+K613-O613</f>
        <v/>
      </c>
      <c r="S613" s="33" t="n"/>
      <c r="T613" s="33" t="n"/>
      <c r="U613" s="33" t="n"/>
      <c r="V613" s="33" t="n"/>
      <c r="W613" s="33" t="n"/>
      <c r="X613" s="33" t="n"/>
      <c r="Y613" s="33" t="n"/>
      <c r="Z613" s="33" t="n"/>
      <c r="AA613" s="4">
        <f>R613-G613</f>
        <v/>
      </c>
      <c r="AB613" s="4">
        <f>G613-R613</f>
        <v/>
      </c>
      <c r="AC613" s="33" t="n"/>
    </row>
    <row r="614" ht="56.25" customHeight="1">
      <c r="A614" s="35">
        <f>SUBTOTAL(103,$B$24:B614)</f>
        <v/>
      </c>
      <c r="B614" s="36" t="inlineStr">
        <is>
          <t>Тара одноразова жорстка полістриролова для пакування хол. та гар. прод. TR-098</t>
        </is>
      </c>
      <c r="C614" s="37" t="inlineStr">
        <is>
          <t>шт.</t>
        </is>
      </c>
      <c r="D614" s="33" t="n"/>
      <c r="E614" s="33" t="n"/>
      <c r="F614" s="33">
        <f>E614*0.05</f>
        <v/>
      </c>
      <c r="G614" s="33">
        <f>E614+F614</f>
        <v/>
      </c>
      <c r="H614" s="33" t="n"/>
      <c r="I614" s="33" t="n"/>
      <c r="J614" s="33" t="n"/>
      <c r="K614" s="33">
        <f>L614+M614+N614</f>
        <v/>
      </c>
      <c r="L614" s="33" t="n"/>
      <c r="M614" s="33" t="n"/>
      <c r="N614" s="33" t="n"/>
      <c r="O614" s="33">
        <f>P614+Q614</f>
        <v/>
      </c>
      <c r="P614" s="33" t="n"/>
      <c r="Q614" s="33" t="n"/>
      <c r="R614" s="33">
        <f>H614+K614-O614</f>
        <v/>
      </c>
      <c r="S614" s="33" t="n"/>
      <c r="T614" s="33" t="n"/>
      <c r="U614" s="33" t="n"/>
      <c r="V614" s="33" t="n"/>
      <c r="W614" s="33" t="n"/>
      <c r="X614" s="33" t="n"/>
      <c r="Y614" s="33" t="n"/>
      <c r="Z614" s="33" t="n"/>
      <c r="AA614" s="4">
        <f>R614-G614</f>
        <v/>
      </c>
      <c r="AB614" s="4">
        <f>G614-R614</f>
        <v/>
      </c>
      <c r="AC614" s="33" t="n"/>
    </row>
    <row r="615" ht="56.25" customHeight="1">
      <c r="A615" s="35">
        <f>SUBTOTAL(103,$B$24:B615)</f>
        <v/>
      </c>
      <c r="B615" s="36" t="inlineStr">
        <is>
          <t>Тара одноразова жорстка полістриролова для пакування хол. та гар. прод. TR-119</t>
        </is>
      </c>
      <c r="C615" s="37" t="inlineStr">
        <is>
          <t>шт.</t>
        </is>
      </c>
      <c r="D615" s="33" t="n"/>
      <c r="E615" s="33" t="n"/>
      <c r="F615" s="33">
        <f>E615*0.05</f>
        <v/>
      </c>
      <c r="G615" s="33">
        <f>E615+F615</f>
        <v/>
      </c>
      <c r="H615" s="33" t="n"/>
      <c r="I615" s="33" t="n"/>
      <c r="J615" s="33" t="n"/>
      <c r="K615" s="33">
        <f>L615+M615+N615</f>
        <v/>
      </c>
      <c r="L615" s="33" t="n"/>
      <c r="M615" s="33" t="n"/>
      <c r="N615" s="33" t="n"/>
      <c r="O615" s="33">
        <f>P615+Q615</f>
        <v/>
      </c>
      <c r="P615" s="33" t="n"/>
      <c r="Q615" s="33" t="n"/>
      <c r="R615" s="33">
        <f>H615+K615-O615</f>
        <v/>
      </c>
      <c r="S615" s="33" t="n"/>
      <c r="T615" s="33" t="n"/>
      <c r="U615" s="33" t="n"/>
      <c r="V615" s="33" t="n"/>
      <c r="W615" s="33" t="n"/>
      <c r="X615" s="33" t="n"/>
      <c r="Y615" s="33" t="n"/>
      <c r="Z615" s="33" t="n"/>
      <c r="AA615" s="4">
        <f>R615-G615</f>
        <v/>
      </c>
      <c r="AB615" s="4">
        <f>G615-R615</f>
        <v/>
      </c>
      <c r="AC615" s="33" t="n"/>
    </row>
    <row r="616" ht="56.25" customHeight="1">
      <c r="A616" s="35">
        <f>SUBTOTAL(103,$B$24:B616)</f>
        <v/>
      </c>
      <c r="B616" s="36" t="inlineStr">
        <is>
          <t>Тара одноразова жорстка полістриролова для пакування хол. та гар. прод. TR-128</t>
        </is>
      </c>
      <c r="C616" s="37" t="inlineStr">
        <is>
          <t>шт.</t>
        </is>
      </c>
      <c r="D616" s="33" t="n"/>
      <c r="E616" s="33" t="n"/>
      <c r="F616" s="33">
        <f>E616*0.05</f>
        <v/>
      </c>
      <c r="G616" s="33">
        <f>E616+F616</f>
        <v/>
      </c>
      <c r="H616" s="33" t="n"/>
      <c r="I616" s="33" t="n"/>
      <c r="J616" s="33" t="n"/>
      <c r="K616" s="33">
        <f>L616+M616+N616</f>
        <v/>
      </c>
      <c r="L616" s="33" t="n"/>
      <c r="M616" s="33" t="n"/>
      <c r="N616" s="33" t="n"/>
      <c r="O616" s="33">
        <f>P616+Q616</f>
        <v/>
      </c>
      <c r="P616" s="33" t="n"/>
      <c r="Q616" s="33" t="n"/>
      <c r="R616" s="33">
        <f>H616+K616-O616</f>
        <v/>
      </c>
      <c r="S616" s="33" t="n"/>
      <c r="T616" s="33" t="n"/>
      <c r="U616" s="33" t="n"/>
      <c r="V616" s="33" t="n"/>
      <c r="W616" s="33" t="n"/>
      <c r="X616" s="33" t="n"/>
      <c r="Y616" s="33" t="n"/>
      <c r="Z616" s="33" t="n"/>
      <c r="AA616" s="4">
        <f>R616-G616</f>
        <v/>
      </c>
      <c r="AB616" s="4">
        <f>G616-R616</f>
        <v/>
      </c>
      <c r="AC616" s="33" t="n"/>
    </row>
    <row r="617" ht="37.5" customHeight="1">
      <c r="A617" s="35">
        <f>SUBTOTAL(103,$B$24:B617)</f>
        <v/>
      </c>
      <c r="B617" s="36" t="inlineStr">
        <is>
          <t>Контейнер харчовий пластиковий з кришкою 3-5 л.</t>
        </is>
      </c>
      <c r="C617" s="37" t="inlineStr">
        <is>
          <t>шт.</t>
        </is>
      </c>
      <c r="D617" s="33" t="n"/>
      <c r="E617" s="33" t="n"/>
      <c r="F617" s="33">
        <f>E617*0.05</f>
        <v/>
      </c>
      <c r="G617" s="33">
        <f>E617+F617</f>
        <v/>
      </c>
      <c r="H617" s="33" t="n"/>
      <c r="I617" s="33" t="n"/>
      <c r="J617" s="33" t="n"/>
      <c r="K617" s="33">
        <f>L617+M617+N617</f>
        <v/>
      </c>
      <c r="L617" s="33" t="n"/>
      <c r="M617" s="33" t="n"/>
      <c r="N617" s="33" t="n"/>
      <c r="O617" s="33">
        <f>P617+Q617</f>
        <v/>
      </c>
      <c r="P617" s="33" t="n"/>
      <c r="Q617" s="33" t="n"/>
      <c r="R617" s="33">
        <f>H617+K617-O617</f>
        <v/>
      </c>
      <c r="S617" s="33" t="n"/>
      <c r="T617" s="33" t="n"/>
      <c r="U617" s="33" t="n"/>
      <c r="V617" s="33" t="n"/>
      <c r="W617" s="33" t="n"/>
      <c r="X617" s="33" t="n"/>
      <c r="Y617" s="33" t="n"/>
      <c r="Z617" s="33" t="n"/>
      <c r="AA617" s="4">
        <f>R617-G617</f>
        <v/>
      </c>
      <c r="AB617" s="4">
        <f>G617-R617</f>
        <v/>
      </c>
      <c r="AC617" s="33" t="n"/>
    </row>
    <row r="618" ht="37.5" customHeight="1">
      <c r="A618" s="35">
        <f>SUBTOTAL(103,$B$24:B618)</f>
        <v/>
      </c>
      <c r="B618" s="36" t="inlineStr">
        <is>
          <t>Контейнер харчовий пластиковий з кришкою 5-7 л.</t>
        </is>
      </c>
      <c r="C618" s="37" t="n"/>
      <c r="D618" s="33" t="n"/>
      <c r="E618" s="33" t="n"/>
      <c r="F618" s="33">
        <f>E618*0.05</f>
        <v/>
      </c>
      <c r="G618" s="33">
        <f>E618+F618</f>
        <v/>
      </c>
      <c r="H618" s="33" t="n"/>
      <c r="I618" s="33" t="n"/>
      <c r="J618" s="33" t="n"/>
      <c r="K618" s="33">
        <f>L618+M618+N618</f>
        <v/>
      </c>
      <c r="L618" s="33" t="n"/>
      <c r="M618" s="33" t="n"/>
      <c r="N618" s="33" t="n"/>
      <c r="O618" s="33">
        <f>P618+Q618</f>
        <v/>
      </c>
      <c r="P618" s="33" t="n"/>
      <c r="Q618" s="33" t="n"/>
      <c r="R618" s="33">
        <f>H618+K618-O618</f>
        <v/>
      </c>
      <c r="S618" s="33" t="n"/>
      <c r="T618" s="33" t="n"/>
      <c r="U618" s="33" t="n"/>
      <c r="V618" s="33" t="n"/>
      <c r="W618" s="33" t="n"/>
      <c r="X618" s="33" t="n"/>
      <c r="Y618" s="33" t="n"/>
      <c r="Z618" s="33" t="n"/>
      <c r="AA618" s="4">
        <f>R618-G618</f>
        <v/>
      </c>
      <c r="AB618" s="4">
        <f>G618-R618</f>
        <v/>
      </c>
      <c r="AC618" s="33" t="n"/>
    </row>
    <row r="619" ht="37.5" customHeight="1">
      <c r="A619" s="35">
        <f>SUBTOTAL(103,$B$24:B619)</f>
        <v/>
      </c>
      <c r="B619" s="36" t="inlineStr">
        <is>
          <t>Контейнер харчовий пластиковий з кришкою 7-10 л.</t>
        </is>
      </c>
      <c r="C619" s="37" t="inlineStr">
        <is>
          <t>шт.</t>
        </is>
      </c>
      <c r="D619" s="33" t="n"/>
      <c r="E619" s="33" t="n"/>
      <c r="F619" s="33">
        <f>E619*0.05</f>
        <v/>
      </c>
      <c r="G619" s="33">
        <f>E619+F619</f>
        <v/>
      </c>
      <c r="H619" s="33" t="n"/>
      <c r="I619" s="33" t="n"/>
      <c r="J619" s="33" t="n"/>
      <c r="K619" s="33">
        <f>L619+M619+N619</f>
        <v/>
      </c>
      <c r="L619" s="33" t="n"/>
      <c r="M619" s="33" t="n"/>
      <c r="N619" s="33" t="n"/>
      <c r="O619" s="33">
        <f>P619+Q619</f>
        <v/>
      </c>
      <c r="P619" s="33" t="n"/>
      <c r="Q619" s="33" t="n"/>
      <c r="R619" s="33">
        <f>H619+K619-O619</f>
        <v/>
      </c>
      <c r="S619" s="33" t="n"/>
      <c r="T619" s="33" t="n"/>
      <c r="U619" s="33" t="n"/>
      <c r="V619" s="33" t="n"/>
      <c r="W619" s="33" t="n"/>
      <c r="X619" s="33" t="n"/>
      <c r="Y619" s="33" t="n"/>
      <c r="Z619" s="33" t="n"/>
      <c r="AA619" s="4">
        <f>R619-G619</f>
        <v/>
      </c>
      <c r="AB619" s="4">
        <f>G619-R619</f>
        <v/>
      </c>
      <c r="AC619" s="33" t="n"/>
    </row>
    <row r="620" ht="37.5" customHeight="1">
      <c r="A620" s="35">
        <f>SUBTOTAL(103,$B$24:B620)</f>
        <v/>
      </c>
      <c r="B620" s="36" t="inlineStr">
        <is>
          <t>Контейнер харчовий пластиковий з кришкою 10-20 л.</t>
        </is>
      </c>
      <c r="C620" s="37" t="inlineStr">
        <is>
          <t>шт.</t>
        </is>
      </c>
      <c r="D620" s="33" t="n"/>
      <c r="E620" s="33" t="n"/>
      <c r="F620" s="33">
        <f>E620*0.05</f>
        <v/>
      </c>
      <c r="G620" s="33">
        <f>E620+F620</f>
        <v/>
      </c>
      <c r="H620" s="33" t="n"/>
      <c r="I620" s="33" t="n"/>
      <c r="J620" s="33" t="n"/>
      <c r="K620" s="33">
        <f>L620+M620+N620</f>
        <v/>
      </c>
      <c r="L620" s="33" t="n"/>
      <c r="M620" s="33" t="n"/>
      <c r="N620" s="33" t="n"/>
      <c r="O620" s="33">
        <f>P620+Q620</f>
        <v/>
      </c>
      <c r="P620" s="33" t="n"/>
      <c r="Q620" s="33" t="n"/>
      <c r="R620" s="33">
        <f>H620+K620-O620</f>
        <v/>
      </c>
      <c r="S620" s="33" t="n"/>
      <c r="T620" s="33" t="n"/>
      <c r="U620" s="33" t="n"/>
      <c r="V620" s="33" t="n"/>
      <c r="W620" s="33" t="n"/>
      <c r="X620" s="33" t="n"/>
      <c r="Y620" s="33" t="n"/>
      <c r="Z620" s="33" t="n"/>
      <c r="AA620" s="4">
        <f>R620-G620</f>
        <v/>
      </c>
      <c r="AB620" s="4">
        <f>G620-R620</f>
        <v/>
      </c>
      <c r="AC620" s="33" t="n"/>
    </row>
    <row r="621" ht="37.5" customHeight="1">
      <c r="A621" s="35">
        <f>SUBTOTAL(103,$B$24:B621)</f>
        <v/>
      </c>
      <c r="B621" s="36" t="inlineStr">
        <is>
          <t>Контейнер харчовий пластиковий з кришкою 18-20 л.</t>
        </is>
      </c>
      <c r="C621" s="37" t="inlineStr">
        <is>
          <t>шт.</t>
        </is>
      </c>
      <c r="D621" s="33" t="n"/>
      <c r="E621" s="33" t="n"/>
      <c r="F621" s="33">
        <f>E621*0.05</f>
        <v/>
      </c>
      <c r="G621" s="33">
        <f>E621+F621</f>
        <v/>
      </c>
      <c r="H621" s="33" t="n"/>
      <c r="I621" s="33" t="n"/>
      <c r="J621" s="33" t="n"/>
      <c r="K621" s="33">
        <f>L621+M621+N621</f>
        <v/>
      </c>
      <c r="L621" s="33" t="n"/>
      <c r="M621" s="33" t="n"/>
      <c r="N621" s="33" t="n"/>
      <c r="O621" s="33">
        <f>P621+Q621</f>
        <v/>
      </c>
      <c r="P621" s="33" t="n"/>
      <c r="Q621" s="33" t="n"/>
      <c r="R621" s="33">
        <f>H621+K621-O621</f>
        <v/>
      </c>
      <c r="S621" s="33" t="n"/>
      <c r="T621" s="33" t="n"/>
      <c r="U621" s="33" t="n"/>
      <c r="V621" s="33" t="n"/>
      <c r="W621" s="33" t="n"/>
      <c r="X621" s="33" t="n"/>
      <c r="Y621" s="33" t="n"/>
      <c r="Z621" s="33" t="n"/>
      <c r="AA621" s="4">
        <f>R621-G621</f>
        <v/>
      </c>
      <c r="AB621" s="4">
        <f>G621-R621</f>
        <v/>
      </c>
      <c r="AC621" s="33" t="n"/>
    </row>
    <row r="622" ht="37.5" customHeight="1">
      <c r="A622" s="35">
        <f>SUBTOTAL(103,$B$24:B622)</f>
        <v/>
      </c>
      <c r="B622" s="36" t="inlineStr">
        <is>
          <t>Контейнер харчовий пластиковий з кришкою 20-30л.</t>
        </is>
      </c>
      <c r="C622" s="37" t="inlineStr">
        <is>
          <t>шт.</t>
        </is>
      </c>
      <c r="D622" s="33" t="n"/>
      <c r="E622" s="33" t="n"/>
      <c r="F622" s="33">
        <f>E622*0.05</f>
        <v/>
      </c>
      <c r="G622" s="33">
        <f>E622+F622</f>
        <v/>
      </c>
      <c r="H622" s="33" t="n"/>
      <c r="I622" s="33" t="n"/>
      <c r="J622" s="33" t="n"/>
      <c r="K622" s="33">
        <f>L622+M622+N622</f>
        <v/>
      </c>
      <c r="L622" s="33" t="n"/>
      <c r="M622" s="33" t="n"/>
      <c r="N622" s="33" t="n"/>
      <c r="O622" s="33">
        <f>P622+Q622</f>
        <v/>
      </c>
      <c r="P622" s="33" t="n"/>
      <c r="Q622" s="33" t="n"/>
      <c r="R622" s="33">
        <f>H622+K622-O622</f>
        <v/>
      </c>
      <c r="S622" s="33" t="n"/>
      <c r="T622" s="33" t="n"/>
      <c r="U622" s="33" t="n"/>
      <c r="V622" s="33" t="n"/>
      <c r="W622" s="33" t="n"/>
      <c r="X622" s="33" t="n"/>
      <c r="Y622" s="33" t="n"/>
      <c r="Z622" s="33" t="n"/>
      <c r="AA622" s="4">
        <f>R622-G622</f>
        <v/>
      </c>
      <c r="AB622" s="4">
        <f>G622-R622</f>
        <v/>
      </c>
      <c r="AC622" s="33" t="n"/>
    </row>
    <row r="623" ht="18.75" customHeight="1">
      <c r="A623" s="35">
        <f>SUBTOTAL(103,$B$24:B623)</f>
        <v/>
      </c>
      <c r="B623" s="39" t="inlineStr">
        <is>
          <t xml:space="preserve">ВІЗКИ </t>
        </is>
      </c>
      <c r="C623" s="37" t="n"/>
      <c r="D623" s="33" t="n"/>
      <c r="E623" s="33" t="n"/>
      <c r="F623" s="33">
        <f>E623*0.05</f>
        <v/>
      </c>
      <c r="G623" s="33">
        <f>E623+F623</f>
        <v/>
      </c>
      <c r="H623" s="33" t="n"/>
      <c r="I623" s="33" t="n"/>
      <c r="J623" s="33" t="n"/>
      <c r="K623" s="33">
        <f>L623+M623+N623</f>
        <v/>
      </c>
      <c r="L623" s="33" t="n"/>
      <c r="M623" s="33" t="n"/>
      <c r="N623" s="33" t="n"/>
      <c r="O623" s="33">
        <f>P623+Q623</f>
        <v/>
      </c>
      <c r="P623" s="33" t="n"/>
      <c r="Q623" s="33" t="n"/>
      <c r="R623" s="33">
        <f>H623+K623-O623</f>
        <v/>
      </c>
      <c r="S623" s="33" t="n"/>
      <c r="T623" s="33" t="n"/>
      <c r="U623" s="33" t="n"/>
      <c r="V623" s="33" t="n"/>
      <c r="W623" s="33" t="n"/>
      <c r="X623" s="33" t="n"/>
      <c r="Y623" s="33" t="n"/>
      <c r="Z623" s="33" t="n"/>
      <c r="AA623" s="4">
        <f>R623-G623</f>
        <v/>
      </c>
      <c r="AB623" s="4">
        <f>G623-R623</f>
        <v/>
      </c>
      <c r="AC623" s="33" t="n"/>
    </row>
    <row r="624" ht="37.5" customHeight="1">
      <c r="A624" s="35">
        <f>SUBTOTAL(103,$B$24:B624)</f>
        <v/>
      </c>
      <c r="B624" s="36" t="inlineStr">
        <is>
          <t xml:space="preserve">Візок для підвезення їжі та збирання залишків </t>
        </is>
      </c>
      <c r="C624" s="37" t="inlineStr">
        <is>
          <t>шт.</t>
        </is>
      </c>
      <c r="D624" s="33" t="n"/>
      <c r="E624" s="33" t="n"/>
      <c r="F624" s="33">
        <f>E624*0.05</f>
        <v/>
      </c>
      <c r="G624" s="33">
        <f>E624+F624</f>
        <v/>
      </c>
      <c r="H624" s="33" t="n"/>
      <c r="I624" s="33" t="n"/>
      <c r="J624" s="33" t="n"/>
      <c r="K624" s="33">
        <f>L624+M624+N624</f>
        <v/>
      </c>
      <c r="L624" s="33" t="n"/>
      <c r="M624" s="33" t="n"/>
      <c r="N624" s="33" t="n"/>
      <c r="O624" s="33">
        <f>P624+Q624</f>
        <v/>
      </c>
      <c r="P624" s="33" t="n"/>
      <c r="Q624" s="33" t="n"/>
      <c r="R624" s="33">
        <f>H624+K624-O624</f>
        <v/>
      </c>
      <c r="S624" s="33" t="n"/>
      <c r="T624" s="33" t="n"/>
      <c r="U624" s="33" t="n"/>
      <c r="V624" s="33" t="n"/>
      <c r="W624" s="33" t="n"/>
      <c r="X624" s="33" t="n"/>
      <c r="Y624" s="33" t="n"/>
      <c r="Z624" s="33" t="n"/>
      <c r="AA624" s="4">
        <f>R624-G624</f>
        <v/>
      </c>
      <c r="AB624" s="4">
        <f>G624-R624</f>
        <v/>
      </c>
      <c r="AC624" s="33" t="n"/>
    </row>
    <row r="625" ht="37.5" customHeight="1">
      <c r="A625" s="35">
        <f>SUBTOTAL(103,$B$24:B625)</f>
        <v/>
      </c>
      <c r="B625" s="36" t="inlineStr">
        <is>
          <t>Візок для підвезення їжі та збирання посуду</t>
        </is>
      </c>
      <c r="C625" s="37" t="inlineStr">
        <is>
          <t>шт.</t>
        </is>
      </c>
      <c r="D625" s="33" t="n"/>
      <c r="E625" s="33" t="n"/>
      <c r="F625" s="33">
        <f>E625*0.05</f>
        <v/>
      </c>
      <c r="G625" s="33">
        <f>E625+F625</f>
        <v/>
      </c>
      <c r="H625" s="33" t="n"/>
      <c r="I625" s="33" t="n"/>
      <c r="J625" s="33" t="n"/>
      <c r="K625" s="33">
        <f>L625+M625+N625</f>
        <v/>
      </c>
      <c r="L625" s="33" t="n"/>
      <c r="M625" s="33" t="n"/>
      <c r="N625" s="33" t="n"/>
      <c r="O625" s="33">
        <f>P625+Q625</f>
        <v/>
      </c>
      <c r="P625" s="33" t="n"/>
      <c r="Q625" s="33" t="n"/>
      <c r="R625" s="33">
        <f>H625+K625-O625</f>
        <v/>
      </c>
      <c r="S625" s="33" t="n"/>
      <c r="T625" s="33" t="n"/>
      <c r="U625" s="33" t="n"/>
      <c r="V625" s="33" t="n"/>
      <c r="W625" s="33" t="n"/>
      <c r="X625" s="33" t="n"/>
      <c r="Y625" s="33" t="n"/>
      <c r="Z625" s="33" t="n"/>
      <c r="AA625" s="4">
        <f>R625-G625</f>
        <v/>
      </c>
      <c r="AB625" s="4">
        <f>G625-R625</f>
        <v/>
      </c>
      <c r="AC625" s="33" t="n"/>
    </row>
    <row r="626" ht="18.75" customHeight="1">
      <c r="A626" s="35">
        <f>SUBTOTAL(103,$B$24:B626)</f>
        <v/>
      </c>
      <c r="B626" s="36" t="inlineStr">
        <is>
          <t xml:space="preserve">Візок офіціанський </t>
        </is>
      </c>
      <c r="C626" s="37" t="inlineStr">
        <is>
          <t>шт.</t>
        </is>
      </c>
      <c r="D626" s="33" t="n"/>
      <c r="E626" s="33" t="n"/>
      <c r="F626" s="33">
        <f>E626*0.05</f>
        <v/>
      </c>
      <c r="G626" s="33">
        <f>E626+F626</f>
        <v/>
      </c>
      <c r="H626" s="33" t="n"/>
      <c r="I626" s="33" t="n"/>
      <c r="J626" s="33" t="n"/>
      <c r="K626" s="33">
        <f>L626+M626+N626</f>
        <v/>
      </c>
      <c r="L626" s="33" t="n"/>
      <c r="M626" s="33" t="n"/>
      <c r="N626" s="33" t="n"/>
      <c r="O626" s="33">
        <f>P626+Q626</f>
        <v/>
      </c>
      <c r="P626" s="33" t="n"/>
      <c r="Q626" s="33" t="n"/>
      <c r="R626" s="33">
        <f>H626+K626-O626</f>
        <v/>
      </c>
      <c r="S626" s="33" t="n"/>
      <c r="T626" s="33" t="n"/>
      <c r="U626" s="33" t="n"/>
      <c r="V626" s="33" t="n"/>
      <c r="W626" s="33" t="n"/>
      <c r="X626" s="33" t="n"/>
      <c r="Y626" s="33" t="n"/>
      <c r="Z626" s="33" t="n"/>
      <c r="AA626" s="4">
        <f>R626-G626</f>
        <v/>
      </c>
      <c r="AB626" s="4">
        <f>G626-R626</f>
        <v/>
      </c>
      <c r="AC626" s="33" t="n"/>
    </row>
    <row r="627" ht="18.75" customHeight="1">
      <c r="A627" s="35">
        <f>SUBTOTAL(103,$B$24:B627)</f>
        <v/>
      </c>
      <c r="B627" s="36" t="inlineStr">
        <is>
          <t>Візок для посуду</t>
        </is>
      </c>
      <c r="C627" s="37" t="inlineStr">
        <is>
          <t>шт.</t>
        </is>
      </c>
      <c r="D627" s="33" t="n"/>
      <c r="E627" s="33" t="n"/>
      <c r="F627" s="33">
        <f>E627*0.05</f>
        <v/>
      </c>
      <c r="G627" s="33">
        <f>E627+F627</f>
        <v/>
      </c>
      <c r="H627" s="33" t="n"/>
      <c r="I627" s="33" t="n"/>
      <c r="J627" s="33" t="n"/>
      <c r="K627" s="33">
        <f>L627+M627+N627</f>
        <v/>
      </c>
      <c r="L627" s="33" t="n"/>
      <c r="M627" s="33" t="n"/>
      <c r="N627" s="33" t="n"/>
      <c r="O627" s="33">
        <f>P627+Q627</f>
        <v/>
      </c>
      <c r="P627" s="33" t="n"/>
      <c r="Q627" s="33" t="n"/>
      <c r="R627" s="33">
        <f>H627+K627-O627</f>
        <v/>
      </c>
      <c r="S627" s="33" t="n"/>
      <c r="T627" s="33" t="n"/>
      <c r="U627" s="33" t="n"/>
      <c r="V627" s="33" t="n"/>
      <c r="W627" s="33" t="n"/>
      <c r="X627" s="33" t="n"/>
      <c r="Y627" s="33" t="n"/>
      <c r="Z627" s="33" t="n"/>
      <c r="AA627" s="4">
        <f>R627-G627</f>
        <v/>
      </c>
      <c r="AB627" s="4">
        <f>G627-R627</f>
        <v/>
      </c>
      <c r="AC627" s="33" t="n"/>
    </row>
    <row r="628" ht="18.75" customHeight="1">
      <c r="A628" s="35">
        <f>SUBTOTAL(103,$B$24:B628)</f>
        <v/>
      </c>
      <c r="B628" s="36" t="inlineStr">
        <is>
          <t>Візок ресторанний</t>
        </is>
      </c>
      <c r="C628" s="37" t="inlineStr">
        <is>
          <t>шт.</t>
        </is>
      </c>
      <c r="D628" s="33" t="n"/>
      <c r="E628" s="33" t="n"/>
      <c r="F628" s="33">
        <f>E628*0.05</f>
        <v/>
      </c>
      <c r="G628" s="33">
        <f>E628+F628</f>
        <v/>
      </c>
      <c r="H628" s="33" t="n"/>
      <c r="I628" s="33" t="n"/>
      <c r="J628" s="33" t="n"/>
      <c r="K628" s="33">
        <f>L628+M628+N628</f>
        <v/>
      </c>
      <c r="L628" s="33" t="n"/>
      <c r="M628" s="33" t="n"/>
      <c r="N628" s="33" t="n"/>
      <c r="O628" s="33">
        <f>P628+Q628</f>
        <v/>
      </c>
      <c r="P628" s="33" t="n"/>
      <c r="Q628" s="33" t="n"/>
      <c r="R628" s="33">
        <f>H628+K628-O628</f>
        <v/>
      </c>
      <c r="S628" s="33" t="n"/>
      <c r="T628" s="33" t="n"/>
      <c r="U628" s="33" t="n"/>
      <c r="V628" s="33" t="n"/>
      <c r="W628" s="33" t="n"/>
      <c r="X628" s="33" t="n"/>
      <c r="Y628" s="33" t="n"/>
      <c r="Z628" s="33" t="n"/>
      <c r="AA628" s="4">
        <f>R628-G628</f>
        <v/>
      </c>
      <c r="AB628" s="4">
        <f>G628-R628</f>
        <v/>
      </c>
      <c r="AC628" s="33" t="n"/>
    </row>
    <row r="629" ht="18.75" customHeight="1">
      <c r="A629" s="35">
        <f>SUBTOTAL(103,$B$24:B629)</f>
        <v/>
      </c>
      <c r="B629" s="36" t="inlineStr">
        <is>
          <t>Візок для прибирання</t>
        </is>
      </c>
      <c r="C629" s="37" t="inlineStr">
        <is>
          <t>шт.</t>
        </is>
      </c>
      <c r="D629" s="33" t="n"/>
      <c r="E629" s="33" t="n"/>
      <c r="F629" s="33">
        <f>E629*0.05</f>
        <v/>
      </c>
      <c r="G629" s="33">
        <f>E629+F629</f>
        <v/>
      </c>
      <c r="H629" s="33" t="n"/>
      <c r="I629" s="33" t="n"/>
      <c r="J629" s="33" t="n"/>
      <c r="K629" s="33">
        <f>L629+M629+N629</f>
        <v/>
      </c>
      <c r="L629" s="33" t="n"/>
      <c r="M629" s="33" t="n"/>
      <c r="N629" s="33" t="n"/>
      <c r="O629" s="33">
        <f>P629+Q629</f>
        <v/>
      </c>
      <c r="P629" s="33" t="n"/>
      <c r="Q629" s="33" t="n"/>
      <c r="R629" s="33">
        <f>H629+K629-O629</f>
        <v/>
      </c>
      <c r="S629" s="33" t="n"/>
      <c r="T629" s="33" t="n"/>
      <c r="U629" s="33" t="n"/>
      <c r="V629" s="33" t="n"/>
      <c r="W629" s="33" t="n"/>
      <c r="X629" s="33" t="n"/>
      <c r="Y629" s="33" t="n"/>
      <c r="Z629" s="33" t="n"/>
      <c r="AA629" s="4">
        <f>R629-G629</f>
        <v/>
      </c>
      <c r="AB629" s="4">
        <f>G629-R629</f>
        <v/>
      </c>
      <c r="AC629" s="33" t="n"/>
    </row>
    <row r="630" ht="18.75" customHeight="1">
      <c r="A630" s="35">
        <f>SUBTOTAL(103,$B$24:B630)</f>
        <v/>
      </c>
      <c r="B630" s="36" t="inlineStr">
        <is>
          <t>Візок ТГВ-1000</t>
        </is>
      </c>
      <c r="C630" s="37" t="inlineStr">
        <is>
          <t>шт.</t>
        </is>
      </c>
      <c r="D630" s="33" t="n"/>
      <c r="E630" s="33" t="n"/>
      <c r="F630" s="33">
        <f>E630*0.05</f>
        <v/>
      </c>
      <c r="G630" s="33">
        <f>E630+F630</f>
        <v/>
      </c>
      <c r="H630" s="33" t="n"/>
      <c r="I630" s="33" t="n"/>
      <c r="J630" s="33" t="n"/>
      <c r="K630" s="33">
        <f>L630+M630+N630</f>
        <v/>
      </c>
      <c r="L630" s="33" t="n"/>
      <c r="M630" s="33" t="n"/>
      <c r="N630" s="33" t="n"/>
      <c r="O630" s="33">
        <f>P630+Q630</f>
        <v/>
      </c>
      <c r="P630" s="33" t="n"/>
      <c r="Q630" s="33" t="n"/>
      <c r="R630" s="33">
        <f>H630+K630-O630</f>
        <v/>
      </c>
      <c r="S630" s="33" t="n"/>
      <c r="T630" s="33" t="n"/>
      <c r="U630" s="33" t="n"/>
      <c r="V630" s="33" t="n"/>
      <c r="W630" s="33" t="n"/>
      <c r="X630" s="33" t="n"/>
      <c r="Y630" s="33" t="n"/>
      <c r="Z630" s="33" t="n"/>
      <c r="AA630" s="4">
        <f>R630-G630</f>
        <v/>
      </c>
      <c r="AB630" s="4">
        <f>G630-R630</f>
        <v/>
      </c>
      <c r="AC630" s="33" t="n"/>
    </row>
    <row r="631" ht="18.75" customHeight="1">
      <c r="A631" s="35">
        <f>SUBTOTAL(103,$B$24:B631)</f>
        <v/>
      </c>
      <c r="B631" s="36" t="inlineStr">
        <is>
          <t>Візок ТГВ-1250</t>
        </is>
      </c>
      <c r="C631" s="37" t="inlineStr">
        <is>
          <t>шт.</t>
        </is>
      </c>
      <c r="D631" s="33" t="n"/>
      <c r="E631" s="33" t="n"/>
      <c r="F631" s="33">
        <f>E631*0.05</f>
        <v/>
      </c>
      <c r="G631" s="33">
        <f>E631+F631</f>
        <v/>
      </c>
      <c r="H631" s="33" t="n"/>
      <c r="I631" s="33" t="n"/>
      <c r="J631" s="33" t="n"/>
      <c r="K631" s="33">
        <f>L631+M631+N631</f>
        <v/>
      </c>
      <c r="L631" s="33" t="n"/>
      <c r="M631" s="33" t="n"/>
      <c r="N631" s="33" t="n"/>
      <c r="O631" s="33">
        <f>P631+Q631</f>
        <v/>
      </c>
      <c r="P631" s="33" t="n"/>
      <c r="Q631" s="33" t="n"/>
      <c r="R631" s="33">
        <f>H631+K631-O631</f>
        <v/>
      </c>
      <c r="S631" s="33" t="n"/>
      <c r="T631" s="33" t="n"/>
      <c r="U631" s="33" t="n"/>
      <c r="V631" s="33" t="n"/>
      <c r="W631" s="33" t="n"/>
      <c r="X631" s="33" t="n"/>
      <c r="Y631" s="33" t="n"/>
      <c r="Z631" s="33" t="n"/>
      <c r="AA631" s="4">
        <f>R631-G631</f>
        <v/>
      </c>
      <c r="AB631" s="4">
        <f>G631-R631</f>
        <v/>
      </c>
      <c r="AC631" s="33" t="n"/>
    </row>
    <row r="632" ht="18.75" customHeight="1">
      <c r="A632" s="35">
        <f>SUBTOTAL(103,$B$24:B632)</f>
        <v/>
      </c>
      <c r="B632" s="36" t="inlineStr">
        <is>
          <t>Візок ТПП-1</t>
        </is>
      </c>
      <c r="C632" s="37" t="inlineStr">
        <is>
          <t>шт.</t>
        </is>
      </c>
      <c r="D632" s="33" t="n"/>
      <c r="E632" s="33" t="n"/>
      <c r="F632" s="33">
        <f>E632*0.05</f>
        <v/>
      </c>
      <c r="G632" s="33">
        <f>E632+F632</f>
        <v/>
      </c>
      <c r="H632" s="33" t="n"/>
      <c r="I632" s="33" t="n"/>
      <c r="J632" s="33" t="n"/>
      <c r="K632" s="33">
        <f>L632+M632+N632</f>
        <v/>
      </c>
      <c r="L632" s="33" t="n"/>
      <c r="M632" s="33" t="n"/>
      <c r="N632" s="33" t="n"/>
      <c r="O632" s="33">
        <f>P632+Q632</f>
        <v/>
      </c>
      <c r="P632" s="33" t="n"/>
      <c r="Q632" s="33" t="n"/>
      <c r="R632" s="33">
        <f>H632+K632-O632</f>
        <v/>
      </c>
      <c r="S632" s="33" t="n"/>
      <c r="T632" s="33" t="n"/>
      <c r="U632" s="33" t="n"/>
      <c r="V632" s="33" t="n"/>
      <c r="W632" s="33" t="n"/>
      <c r="X632" s="33" t="n"/>
      <c r="Y632" s="33" t="n"/>
      <c r="Z632" s="33" t="n"/>
      <c r="AA632" s="4">
        <f>R632-G632</f>
        <v/>
      </c>
      <c r="AB632" s="4">
        <f>G632-R632</f>
        <v/>
      </c>
      <c r="AC632" s="33" t="n"/>
    </row>
    <row r="633" ht="18.75" customHeight="1">
      <c r="A633" s="35">
        <f>SUBTOTAL(103,$B$24:B633)</f>
        <v/>
      </c>
      <c r="B633" s="36" t="inlineStr">
        <is>
          <t>Візки ТТМ-125</t>
        </is>
      </c>
      <c r="C633" s="37" t="inlineStr">
        <is>
          <t>шт.</t>
        </is>
      </c>
      <c r="D633" s="33" t="n"/>
      <c r="E633" s="33" t="n"/>
      <c r="F633" s="33">
        <f>E633*0.05</f>
        <v/>
      </c>
      <c r="G633" s="33">
        <f>E633+F633</f>
        <v/>
      </c>
      <c r="H633" s="33" t="n"/>
      <c r="I633" s="33" t="n"/>
      <c r="J633" s="33" t="n"/>
      <c r="K633" s="33">
        <f>L633+M633+N633</f>
        <v/>
      </c>
      <c r="L633" s="33" t="n"/>
      <c r="M633" s="33" t="n"/>
      <c r="N633" s="33" t="n"/>
      <c r="O633" s="33">
        <f>P633+Q633</f>
        <v/>
      </c>
      <c r="P633" s="33" t="n"/>
      <c r="Q633" s="33" t="n"/>
      <c r="R633" s="33">
        <f>H633+K633-O633</f>
        <v/>
      </c>
      <c r="S633" s="33" t="n"/>
      <c r="T633" s="33" t="n"/>
      <c r="U633" s="33" t="n"/>
      <c r="V633" s="33" t="n"/>
      <c r="W633" s="33" t="n"/>
      <c r="X633" s="33" t="n"/>
      <c r="Y633" s="33" t="n"/>
      <c r="Z633" s="33" t="n"/>
      <c r="AA633" s="4">
        <f>R633-G633</f>
        <v/>
      </c>
      <c r="AB633" s="4">
        <f>G633-R633</f>
        <v/>
      </c>
      <c r="AC633" s="33" t="n"/>
    </row>
    <row r="634" ht="18.75" customHeight="1">
      <c r="A634" s="35">
        <f>SUBTOTAL(103,$B$24:B634)</f>
        <v/>
      </c>
      <c r="B634" s="36" t="inlineStr">
        <is>
          <t>Візок ТПП-125</t>
        </is>
      </c>
      <c r="C634" s="37" t="inlineStr">
        <is>
          <t>шт.</t>
        </is>
      </c>
      <c r="D634" s="33" t="n"/>
      <c r="E634" s="33" t="n"/>
      <c r="F634" s="33">
        <f>E634*0.05</f>
        <v/>
      </c>
      <c r="G634" s="33">
        <f>E634+F634</f>
        <v/>
      </c>
      <c r="H634" s="33" t="n"/>
      <c r="I634" s="33" t="n"/>
      <c r="J634" s="33" t="n"/>
      <c r="K634" s="33">
        <f>L634+M634+N634</f>
        <v/>
      </c>
      <c r="L634" s="33" t="n"/>
      <c r="M634" s="33" t="n"/>
      <c r="N634" s="33" t="n"/>
      <c r="O634" s="33">
        <f>P634+Q634</f>
        <v/>
      </c>
      <c r="P634" s="33" t="n"/>
      <c r="Q634" s="33" t="n"/>
      <c r="R634" s="33">
        <f>H634+K634-O634</f>
        <v/>
      </c>
      <c r="S634" s="33" t="n"/>
      <c r="T634" s="33" t="n"/>
      <c r="U634" s="33" t="n"/>
      <c r="V634" s="33" t="n"/>
      <c r="W634" s="33" t="n"/>
      <c r="X634" s="33" t="n"/>
      <c r="Y634" s="33" t="n"/>
      <c r="Z634" s="33" t="n"/>
      <c r="AA634" s="4">
        <f>R634-G634</f>
        <v/>
      </c>
      <c r="AB634" s="4">
        <f>G634-R634</f>
        <v/>
      </c>
      <c r="AC634" s="33" t="n"/>
    </row>
    <row r="635" ht="18.75" customHeight="1">
      <c r="A635" s="35">
        <f>SUBTOTAL(103,$B$24:B635)</f>
        <v/>
      </c>
      <c r="B635" s="36" t="inlineStr">
        <is>
          <t>Візок ТПП-150</t>
        </is>
      </c>
      <c r="C635" s="37" t="inlineStr">
        <is>
          <t>шт.</t>
        </is>
      </c>
      <c r="D635" s="33" t="n"/>
      <c r="E635" s="33" t="n"/>
      <c r="F635" s="33">
        <f>E635*0.05</f>
        <v/>
      </c>
      <c r="G635" s="33">
        <f>E635+F635</f>
        <v/>
      </c>
      <c r="H635" s="33" t="n"/>
      <c r="I635" s="33" t="n"/>
      <c r="J635" s="33" t="n"/>
      <c r="K635" s="33">
        <f>L635+M635+N635</f>
        <v/>
      </c>
      <c r="L635" s="33" t="n"/>
      <c r="M635" s="33" t="n"/>
      <c r="N635" s="33" t="n"/>
      <c r="O635" s="33">
        <f>P635+Q635</f>
        <v/>
      </c>
      <c r="P635" s="33" t="n"/>
      <c r="Q635" s="33" t="n"/>
      <c r="R635" s="33">
        <f>H635+K635-O635</f>
        <v/>
      </c>
      <c r="S635" s="33" t="n"/>
      <c r="T635" s="33" t="n"/>
      <c r="U635" s="33" t="n"/>
      <c r="V635" s="33" t="n"/>
      <c r="W635" s="33" t="n"/>
      <c r="X635" s="33" t="n"/>
      <c r="Y635" s="33" t="n"/>
      <c r="Z635" s="33" t="n"/>
      <c r="AA635" s="4">
        <f>R635-G635</f>
        <v/>
      </c>
      <c r="AB635" s="4">
        <f>G635-R635</f>
        <v/>
      </c>
      <c r="AC635" s="33" t="n"/>
    </row>
    <row r="636" ht="18.75" customHeight="1">
      <c r="A636" s="35">
        <f>SUBTOTAL(103,$B$24:B636)</f>
        <v/>
      </c>
      <c r="B636" s="36" t="inlineStr">
        <is>
          <t>Візок ТТ-25</t>
        </is>
      </c>
      <c r="C636" s="37" t="inlineStr">
        <is>
          <t>шт.</t>
        </is>
      </c>
      <c r="D636" s="33" t="n"/>
      <c r="E636" s="33" t="n"/>
      <c r="F636" s="33">
        <f>E636*0.05</f>
        <v/>
      </c>
      <c r="G636" s="33">
        <f>E636+F636</f>
        <v/>
      </c>
      <c r="H636" s="33" t="n"/>
      <c r="I636" s="33" t="n"/>
      <c r="J636" s="33" t="n"/>
      <c r="K636" s="33">
        <f>L636+M636+N636</f>
        <v/>
      </c>
      <c r="L636" s="33" t="n"/>
      <c r="M636" s="33" t="n"/>
      <c r="N636" s="33" t="n"/>
      <c r="O636" s="33">
        <f>P636+Q636</f>
        <v/>
      </c>
      <c r="P636" s="33" t="n"/>
      <c r="Q636" s="33" t="n"/>
      <c r="R636" s="33">
        <f>H636+K636-O636</f>
        <v/>
      </c>
      <c r="S636" s="33" t="n"/>
      <c r="T636" s="33" t="n"/>
      <c r="U636" s="33" t="n"/>
      <c r="V636" s="33" t="n"/>
      <c r="W636" s="33" t="n"/>
      <c r="X636" s="33" t="n"/>
      <c r="Y636" s="33" t="n"/>
      <c r="Z636" s="33" t="n"/>
      <c r="AA636" s="4">
        <f>R636-G636</f>
        <v/>
      </c>
      <c r="AB636" s="4">
        <f>G636-R636</f>
        <v/>
      </c>
      <c r="AC636" s="33" t="n"/>
    </row>
    <row r="637" ht="18.75" customHeight="1">
      <c r="A637" s="35">
        <f>SUBTOTAL(103,$B$24:B637)</f>
        <v/>
      </c>
      <c r="B637" s="36" t="inlineStr">
        <is>
          <t>Візок ручний гідравлічний 2.5т</t>
        </is>
      </c>
      <c r="C637" s="37" t="inlineStr">
        <is>
          <t>шт.</t>
        </is>
      </c>
      <c r="D637" s="33" t="n"/>
      <c r="E637" s="33" t="n"/>
      <c r="F637" s="33">
        <f>E637*0.05</f>
        <v/>
      </c>
      <c r="G637" s="33">
        <f>E637+F637</f>
        <v/>
      </c>
      <c r="H637" s="33" t="n"/>
      <c r="I637" s="33" t="n"/>
      <c r="J637" s="33" t="n"/>
      <c r="K637" s="33">
        <f>L637+M637+N637</f>
        <v/>
      </c>
      <c r="L637" s="33" t="n"/>
      <c r="M637" s="33" t="n"/>
      <c r="N637" s="33" t="n"/>
      <c r="O637" s="33">
        <f>P637+Q637</f>
        <v/>
      </c>
      <c r="P637" s="33" t="n"/>
      <c r="Q637" s="33" t="n"/>
      <c r="R637" s="33">
        <f>H637+K637-O637</f>
        <v/>
      </c>
      <c r="S637" s="33" t="n"/>
      <c r="T637" s="33" t="n"/>
      <c r="U637" s="33" t="n"/>
      <c r="V637" s="33" t="n"/>
      <c r="W637" s="33" t="n"/>
      <c r="X637" s="33" t="n"/>
      <c r="Y637" s="33" t="n"/>
      <c r="Z637" s="33" t="n"/>
      <c r="AA637" s="4">
        <f>R637-G637</f>
        <v/>
      </c>
      <c r="AB637" s="4">
        <f>G637-R637</f>
        <v/>
      </c>
      <c r="AC637" s="33" t="n"/>
    </row>
    <row r="638" ht="18.75" customHeight="1">
      <c r="A638" s="35">
        <f>SUBTOTAL(103,$B$24:B638)</f>
        <v/>
      </c>
      <c r="B638" s="36" t="inlineStr">
        <is>
          <t>Візок ВНЧ-400</t>
        </is>
      </c>
      <c r="C638" s="37" t="inlineStr">
        <is>
          <t>шт.</t>
        </is>
      </c>
      <c r="D638" s="33" t="n"/>
      <c r="E638" s="33" t="n"/>
      <c r="F638" s="33">
        <f>E638*0.05</f>
        <v/>
      </c>
      <c r="G638" s="33">
        <f>E638+F638</f>
        <v/>
      </c>
      <c r="H638" s="33" t="n"/>
      <c r="I638" s="33" t="n"/>
      <c r="J638" s="33" t="n"/>
      <c r="K638" s="33">
        <f>L638+M638+N638</f>
        <v/>
      </c>
      <c r="L638" s="33" t="n"/>
      <c r="M638" s="33" t="n"/>
      <c r="N638" s="33" t="n"/>
      <c r="O638" s="33">
        <f>P638+Q638</f>
        <v/>
      </c>
      <c r="P638" s="33" t="n"/>
      <c r="Q638" s="33" t="n"/>
      <c r="R638" s="33">
        <f>H638+K638-O638</f>
        <v/>
      </c>
      <c r="S638" s="33" t="n"/>
      <c r="T638" s="33" t="n"/>
      <c r="U638" s="33" t="n"/>
      <c r="V638" s="33" t="n"/>
      <c r="W638" s="33" t="n"/>
      <c r="X638" s="33" t="n"/>
      <c r="Y638" s="33" t="n"/>
      <c r="Z638" s="33" t="n"/>
      <c r="AA638" s="4">
        <f>R638-G638</f>
        <v/>
      </c>
      <c r="AB638" s="4">
        <f>G638-R638</f>
        <v/>
      </c>
      <c r="AC638" s="33" t="n"/>
    </row>
    <row r="639" ht="37.5" customHeight="1">
      <c r="A639" s="35">
        <f>SUBTOTAL(103,$B$24:B639)</f>
        <v/>
      </c>
      <c r="B639" s="36" t="inlineStr">
        <is>
          <t>Візок для підвезення їжі та збирання посуду BR-T2</t>
        </is>
      </c>
      <c r="C639" s="37" t="inlineStr">
        <is>
          <t>шт.</t>
        </is>
      </c>
      <c r="D639" s="33" t="n"/>
      <c r="E639" s="33" t="n"/>
      <c r="F639" s="33">
        <f>E639*0.05</f>
        <v/>
      </c>
      <c r="G639" s="33">
        <f>E639+F639</f>
        <v/>
      </c>
      <c r="H639" s="33" t="n"/>
      <c r="I639" s="33" t="n"/>
      <c r="J639" s="33" t="n"/>
      <c r="K639" s="33">
        <f>L639+M639+N639</f>
        <v/>
      </c>
      <c r="L639" s="33" t="n"/>
      <c r="M639" s="33" t="n"/>
      <c r="N639" s="33" t="n"/>
      <c r="O639" s="33">
        <f>P639+Q639</f>
        <v/>
      </c>
      <c r="P639" s="33" t="n"/>
      <c r="Q639" s="33" t="n"/>
      <c r="R639" s="33">
        <f>H639+K639-O639</f>
        <v/>
      </c>
      <c r="S639" s="33" t="n"/>
      <c r="T639" s="33" t="n"/>
      <c r="U639" s="33" t="n"/>
      <c r="V639" s="33" t="n"/>
      <c r="W639" s="33" t="n"/>
      <c r="X639" s="33" t="n"/>
      <c r="Y639" s="33" t="n"/>
      <c r="Z639" s="33" t="n"/>
      <c r="AA639" s="4">
        <f>R639-G639</f>
        <v/>
      </c>
      <c r="AB639" s="4">
        <f>G639-R639</f>
        <v/>
      </c>
      <c r="AC639" s="33" t="n"/>
    </row>
    <row r="640" ht="37.5" customHeight="1">
      <c r="A640" s="35">
        <f>SUBTOTAL(103,$B$24:B640)</f>
        <v/>
      </c>
      <c r="B640" s="36" t="inlineStr">
        <is>
          <t>Візок для підвезення їжі та збирання посуду В2ПМ</t>
        </is>
      </c>
      <c r="C640" s="37" t="inlineStr">
        <is>
          <t>шт.</t>
        </is>
      </c>
      <c r="D640" s="33" t="n"/>
      <c r="E640" s="33" t="n"/>
      <c r="F640" s="33">
        <f>E640*0.05</f>
        <v/>
      </c>
      <c r="G640" s="33">
        <f>E640+F640</f>
        <v/>
      </c>
      <c r="H640" s="33" t="n"/>
      <c r="I640" s="33" t="n"/>
      <c r="J640" s="33" t="n"/>
      <c r="K640" s="33">
        <f>L640+M640+N640</f>
        <v/>
      </c>
      <c r="L640" s="33" t="n"/>
      <c r="M640" s="33" t="n"/>
      <c r="N640" s="33" t="n"/>
      <c r="O640" s="33">
        <f>P640+Q640</f>
        <v/>
      </c>
      <c r="P640" s="33" t="n"/>
      <c r="Q640" s="33" t="n"/>
      <c r="R640" s="33">
        <f>H640+K640-O640</f>
        <v/>
      </c>
      <c r="S640" s="33" t="n"/>
      <c r="T640" s="33" t="n"/>
      <c r="U640" s="33" t="n"/>
      <c r="V640" s="33" t="n"/>
      <c r="W640" s="33" t="n"/>
      <c r="X640" s="33" t="n"/>
      <c r="Y640" s="33" t="n"/>
      <c r="Z640" s="33" t="n"/>
      <c r="AA640" s="4">
        <f>R640-G640</f>
        <v/>
      </c>
      <c r="AB640" s="4">
        <f>G640-R640</f>
        <v/>
      </c>
      <c r="AC640" s="33" t="n"/>
    </row>
    <row r="641" ht="18.75" customHeight="1">
      <c r="A641" s="35">
        <f>SUBTOTAL(103,$B$24:B641)</f>
        <v/>
      </c>
      <c r="B641" s="36" t="inlineStr">
        <is>
          <t>Візок вантажний ВВДМ</t>
        </is>
      </c>
      <c r="C641" s="37" t="inlineStr">
        <is>
          <t>шт.</t>
        </is>
      </c>
      <c r="D641" s="33" t="n"/>
      <c r="E641" s="33" t="n"/>
      <c r="F641" s="33">
        <f>E641*0.05</f>
        <v/>
      </c>
      <c r="G641" s="33">
        <f>E641+F641</f>
        <v/>
      </c>
      <c r="H641" s="33" t="n"/>
      <c r="I641" s="33" t="n"/>
      <c r="J641" s="33" t="n"/>
      <c r="K641" s="33">
        <f>L641+M641+N641</f>
        <v/>
      </c>
      <c r="L641" s="33" t="n"/>
      <c r="M641" s="33" t="n"/>
      <c r="N641" s="33" t="n"/>
      <c r="O641" s="33">
        <f>P641+Q641</f>
        <v/>
      </c>
      <c r="P641" s="33" t="n"/>
      <c r="Q641" s="33" t="n"/>
      <c r="R641" s="33">
        <f>H641+K641-O641</f>
        <v/>
      </c>
      <c r="S641" s="33" t="n"/>
      <c r="T641" s="33" t="n"/>
      <c r="U641" s="33" t="n"/>
      <c r="V641" s="33" t="n"/>
      <c r="W641" s="33" t="n"/>
      <c r="X641" s="33" t="n"/>
      <c r="Y641" s="33" t="n"/>
      <c r="Z641" s="33" t="n"/>
      <c r="AA641" s="4">
        <f>R641-G641</f>
        <v/>
      </c>
      <c r="AB641" s="4">
        <f>G641-R641</f>
        <v/>
      </c>
      <c r="AC641" s="33" t="n"/>
    </row>
    <row r="642" ht="18.75" customHeight="1">
      <c r="A642" s="35">
        <f>SUBTOTAL(103,$B$24:B642)</f>
        <v/>
      </c>
      <c r="B642" s="36" t="inlineStr">
        <is>
          <t>Візок ТРП</t>
        </is>
      </c>
      <c r="C642" s="37" t="inlineStr">
        <is>
          <t>шт.</t>
        </is>
      </c>
      <c r="D642" s="33" t="n"/>
      <c r="E642" s="33" t="n"/>
      <c r="F642" s="33">
        <f>E642*0.05</f>
        <v/>
      </c>
      <c r="G642" s="33">
        <f>E642+F642</f>
        <v/>
      </c>
      <c r="H642" s="33" t="n"/>
      <c r="I642" s="33" t="n"/>
      <c r="J642" s="33" t="n"/>
      <c r="K642" s="33">
        <f>L642+M642+N642</f>
        <v/>
      </c>
      <c r="L642" s="33" t="n"/>
      <c r="M642" s="33" t="n"/>
      <c r="N642" s="33" t="n"/>
      <c r="O642" s="33">
        <f>P642+Q642</f>
        <v/>
      </c>
      <c r="P642" s="33" t="n"/>
      <c r="Q642" s="33" t="n"/>
      <c r="R642" s="33">
        <f>H642+K642-O642</f>
        <v/>
      </c>
      <c r="S642" s="33" t="n"/>
      <c r="T642" s="33" t="n"/>
      <c r="U642" s="33" t="n"/>
      <c r="V642" s="33" t="n"/>
      <c r="W642" s="33" t="n"/>
      <c r="X642" s="33" t="n"/>
      <c r="Y642" s="33" t="n"/>
      <c r="Z642" s="33" t="n"/>
      <c r="AA642" s="4">
        <f>R642-G642</f>
        <v/>
      </c>
      <c r="AB642" s="4">
        <f>G642-R642</f>
        <v/>
      </c>
      <c r="AC642" s="33" t="n"/>
    </row>
    <row r="643" ht="18.75" customHeight="1">
      <c r="A643" s="35">
        <f>SUBTOTAL(103,$B$24:B643)</f>
        <v/>
      </c>
      <c r="B643" s="36" t="inlineStr">
        <is>
          <t>Візок ТРО</t>
        </is>
      </c>
      <c r="C643" s="37" t="inlineStr">
        <is>
          <t>шт.</t>
        </is>
      </c>
      <c r="D643" s="33" t="n"/>
      <c r="E643" s="33" t="n"/>
      <c r="F643" s="33">
        <f>E643*0.05</f>
        <v/>
      </c>
      <c r="G643" s="33">
        <f>E643+F643</f>
        <v/>
      </c>
      <c r="H643" s="33" t="n"/>
      <c r="I643" s="33" t="n"/>
      <c r="J643" s="33" t="n"/>
      <c r="K643" s="33">
        <f>L643+M643+N643</f>
        <v/>
      </c>
      <c r="L643" s="33" t="n"/>
      <c r="M643" s="33" t="n"/>
      <c r="N643" s="33" t="n"/>
      <c r="O643" s="33">
        <f>P643+Q643</f>
        <v/>
      </c>
      <c r="P643" s="33" t="n"/>
      <c r="Q643" s="33" t="n"/>
      <c r="R643" s="33">
        <f>H643+K643-O643</f>
        <v/>
      </c>
      <c r="S643" s="33" t="n"/>
      <c r="T643" s="33" t="n"/>
      <c r="U643" s="33" t="n"/>
      <c r="V643" s="33" t="n"/>
      <c r="W643" s="33" t="n"/>
      <c r="X643" s="33" t="n"/>
      <c r="Y643" s="33" t="n"/>
      <c r="Z643" s="33" t="n"/>
      <c r="AA643" s="4">
        <f>R643-G643</f>
        <v/>
      </c>
      <c r="AB643" s="4">
        <f>G643-R643</f>
        <v/>
      </c>
      <c r="AC643" s="33" t="n"/>
    </row>
    <row r="644" ht="18.75" customHeight="1">
      <c r="A644" s="35">
        <f>SUBTOTAL(103,$B$24:B644)</f>
        <v/>
      </c>
      <c r="B644" s="36" t="inlineStr">
        <is>
          <t xml:space="preserve">Візок вантажний </t>
        </is>
      </c>
      <c r="C644" s="37" t="inlineStr">
        <is>
          <t>шт.</t>
        </is>
      </c>
      <c r="D644" s="33" t="n"/>
      <c r="E644" s="33" t="n"/>
      <c r="F644" s="33">
        <f>E644*0.05</f>
        <v/>
      </c>
      <c r="G644" s="33">
        <f>E644+F644</f>
        <v/>
      </c>
      <c r="H644" s="33" t="n"/>
      <c r="I644" s="33" t="n"/>
      <c r="J644" s="33" t="n"/>
      <c r="K644" s="33">
        <f>L644+M644+N644</f>
        <v/>
      </c>
      <c r="L644" s="33" t="n"/>
      <c r="M644" s="33" t="n"/>
      <c r="N644" s="33" t="n"/>
      <c r="O644" s="33">
        <f>P644+Q644</f>
        <v/>
      </c>
      <c r="P644" s="33" t="n"/>
      <c r="Q644" s="33" t="n"/>
      <c r="R644" s="33">
        <f>H644+K644-O644</f>
        <v/>
      </c>
      <c r="S644" s="33" t="n"/>
      <c r="T644" s="33" t="n"/>
      <c r="U644" s="33" t="n"/>
      <c r="V644" s="33" t="n"/>
      <c r="W644" s="33" t="n"/>
      <c r="X644" s="33" t="n"/>
      <c r="Y644" s="33" t="n"/>
      <c r="Z644" s="33" t="n"/>
      <c r="AA644" s="4">
        <f>R644-G644</f>
        <v/>
      </c>
      <c r="AB644" s="4">
        <f>G644-R644</f>
        <v/>
      </c>
      <c r="AC644" s="33" t="n"/>
    </row>
    <row r="645" ht="18.75" customHeight="1">
      <c r="A645" s="35">
        <f>SUBTOTAL(103,$B$24:B645)</f>
        <v/>
      </c>
      <c r="B645" s="36" t="inlineStr">
        <is>
          <t>Візки інші</t>
        </is>
      </c>
      <c r="C645" s="37" t="inlineStr">
        <is>
          <t>шт.</t>
        </is>
      </c>
      <c r="D645" s="33" t="n"/>
      <c r="E645" s="33" t="n"/>
      <c r="F645" s="33">
        <f>E645*0.05</f>
        <v/>
      </c>
      <c r="G645" s="33">
        <f>E645+F645</f>
        <v/>
      </c>
      <c r="H645" s="33" t="n"/>
      <c r="I645" s="33" t="n"/>
      <c r="J645" s="33" t="n"/>
      <c r="K645" s="33">
        <f>L645+M645+N645</f>
        <v/>
      </c>
      <c r="L645" s="33" t="n"/>
      <c r="M645" s="33" t="n"/>
      <c r="N645" s="33" t="n"/>
      <c r="O645" s="33">
        <f>P645+Q645</f>
        <v/>
      </c>
      <c r="P645" s="33" t="n"/>
      <c r="Q645" s="33" t="n"/>
      <c r="R645" s="33">
        <f>H645+K645-O645</f>
        <v/>
      </c>
      <c r="S645" s="33" t="n"/>
      <c r="T645" s="33" t="n"/>
      <c r="U645" s="33" t="n"/>
      <c r="V645" s="33" t="n"/>
      <c r="W645" s="33" t="n"/>
      <c r="X645" s="33" t="n"/>
      <c r="Y645" s="33" t="n"/>
      <c r="Z645" s="33" t="n"/>
      <c r="AA645" s="4">
        <f>R645-G645</f>
        <v/>
      </c>
      <c r="AB645" s="4">
        <f>G645-R645</f>
        <v/>
      </c>
      <c r="AC645" s="33" t="n"/>
    </row>
    <row r="646" ht="37.5" customHeight="1">
      <c r="A646" s="35">
        <f>SUBTOTAL(103,$B$24:B646)</f>
        <v/>
      </c>
      <c r="B646" s="39" t="inlineStr">
        <is>
          <t>ІНШЕ НЕ МЕХАНІЧНЕ ОБЛАДНАННЯ</t>
        </is>
      </c>
      <c r="C646" s="37" t="inlineStr">
        <is>
          <t>шт.</t>
        </is>
      </c>
      <c r="D646" s="33" t="n"/>
      <c r="E646" s="33" t="n"/>
      <c r="F646" s="33">
        <f>E646*0.05</f>
        <v/>
      </c>
      <c r="G646" s="33">
        <f>E646+F646</f>
        <v/>
      </c>
      <c r="H646" s="33" t="n"/>
      <c r="I646" s="33" t="n"/>
      <c r="J646" s="33" t="n"/>
      <c r="K646" s="33">
        <f>L646+M646+N646</f>
        <v/>
      </c>
      <c r="L646" s="33" t="n"/>
      <c r="M646" s="33" t="n"/>
      <c r="N646" s="33" t="n"/>
      <c r="O646" s="33">
        <f>P646+Q646</f>
        <v/>
      </c>
      <c r="P646" s="33" t="n"/>
      <c r="Q646" s="33" t="n"/>
      <c r="R646" s="33">
        <f>H646+K646-O646</f>
        <v/>
      </c>
      <c r="S646" s="33" t="n"/>
      <c r="T646" s="33" t="n"/>
      <c r="U646" s="33" t="n"/>
      <c r="V646" s="33" t="n"/>
      <c r="W646" s="33" t="n"/>
      <c r="X646" s="33" t="n"/>
      <c r="Y646" s="33" t="n"/>
      <c r="Z646" s="33" t="n"/>
      <c r="AA646" s="4">
        <f>R646-G646</f>
        <v/>
      </c>
      <c r="AB646" s="4">
        <f>G646-R646</f>
        <v/>
      </c>
      <c r="AC646" s="33" t="n"/>
    </row>
    <row r="647" ht="37.5" customHeight="1">
      <c r="A647" s="35">
        <f>SUBTOTAL(103,$B$24:B647)</f>
        <v/>
      </c>
      <c r="B647" s="36" t="inlineStr">
        <is>
          <t>Гастроємності до лінії роздачі їжі та пароконвектомату GN 1/1 530*325*20</t>
        </is>
      </c>
      <c r="C647" s="37" t="n"/>
      <c r="D647" s="33" t="n"/>
      <c r="E647" s="33" t="n"/>
      <c r="F647" s="33">
        <f>E647*0.05</f>
        <v/>
      </c>
      <c r="G647" s="33">
        <f>E647+F647</f>
        <v/>
      </c>
      <c r="H647" s="33" t="n"/>
      <c r="I647" s="33" t="n"/>
      <c r="J647" s="33" t="n"/>
      <c r="K647" s="33">
        <f>L647+M647+N647</f>
        <v/>
      </c>
      <c r="L647" s="33" t="n"/>
      <c r="M647" s="33" t="n"/>
      <c r="N647" s="33" t="n"/>
      <c r="O647" s="33">
        <f>P647+Q647</f>
        <v/>
      </c>
      <c r="P647" s="33" t="n"/>
      <c r="Q647" s="33" t="n"/>
      <c r="R647" s="33">
        <f>H647+K647-O647</f>
        <v/>
      </c>
      <c r="S647" s="33" t="n"/>
      <c r="T647" s="33" t="n"/>
      <c r="U647" s="33" t="n"/>
      <c r="V647" s="33" t="n"/>
      <c r="W647" s="33" t="n"/>
      <c r="X647" s="33" t="n"/>
      <c r="Y647" s="33" t="n"/>
      <c r="Z647" s="33" t="n"/>
      <c r="AA647" s="4">
        <f>R647-G647</f>
        <v/>
      </c>
      <c r="AB647" s="4">
        <f>G647-R647</f>
        <v/>
      </c>
      <c r="AC647" s="33" t="n"/>
    </row>
    <row r="648" ht="37.5" customHeight="1">
      <c r="A648" s="35">
        <f>SUBTOTAL(103,$B$24:B648)</f>
        <v/>
      </c>
      <c r="B648" s="36" t="inlineStr">
        <is>
          <t>Гастроємності до лінії роздачі їжі та пароконвектомату GN 1/1 530*325*40</t>
        </is>
      </c>
      <c r="C648" s="37" t="n"/>
      <c r="D648" s="33" t="n"/>
      <c r="E648" s="33" t="n"/>
      <c r="F648" s="33">
        <f>E648*0.05</f>
        <v/>
      </c>
      <c r="G648" s="33">
        <f>E648+F648</f>
        <v/>
      </c>
      <c r="H648" s="33" t="n"/>
      <c r="I648" s="33" t="n"/>
      <c r="J648" s="33" t="n"/>
      <c r="K648" s="33">
        <f>L648+M648+N648</f>
        <v/>
      </c>
      <c r="L648" s="33" t="n"/>
      <c r="M648" s="33" t="n"/>
      <c r="N648" s="33" t="n"/>
      <c r="O648" s="33">
        <f>P648+Q648</f>
        <v/>
      </c>
      <c r="P648" s="33" t="n"/>
      <c r="Q648" s="33" t="n"/>
      <c r="R648" s="33">
        <f>H648+K648-O648</f>
        <v/>
      </c>
      <c r="S648" s="33" t="n"/>
      <c r="T648" s="33" t="n"/>
      <c r="U648" s="33" t="n"/>
      <c r="V648" s="33" t="n"/>
      <c r="W648" s="33" t="n"/>
      <c r="X648" s="33" t="n"/>
      <c r="Y648" s="33" t="n"/>
      <c r="Z648" s="33" t="n"/>
      <c r="AA648" s="4">
        <f>R648-G648</f>
        <v/>
      </c>
      <c r="AB648" s="4">
        <f>G648-R648</f>
        <v/>
      </c>
      <c r="AC648" s="33" t="n"/>
    </row>
    <row r="649" ht="37.5" customHeight="1">
      <c r="A649" s="35">
        <f>SUBTOTAL(103,$B$24:B649)</f>
        <v/>
      </c>
      <c r="B649" s="36" t="inlineStr">
        <is>
          <t>Гастроємності до лінії роздачі їжі та пароконвектомату GN 1/1 530*325*65</t>
        </is>
      </c>
      <c r="C649" s="37" t="inlineStr">
        <is>
          <t>шт.</t>
        </is>
      </c>
      <c r="D649" s="33" t="n"/>
      <c r="E649" s="33" t="n"/>
      <c r="F649" s="33">
        <f>E649*0.05</f>
        <v/>
      </c>
      <c r="G649" s="33">
        <f>E649+F649</f>
        <v/>
      </c>
      <c r="H649" s="33" t="n"/>
      <c r="I649" s="33" t="n"/>
      <c r="J649" s="33" t="n"/>
      <c r="K649" s="33">
        <f>L649+M649+N649</f>
        <v/>
      </c>
      <c r="L649" s="33" t="n"/>
      <c r="M649" s="33" t="n"/>
      <c r="N649" s="33" t="n"/>
      <c r="O649" s="33">
        <f>P649+Q649</f>
        <v/>
      </c>
      <c r="P649" s="33" t="n"/>
      <c r="Q649" s="33" t="n"/>
      <c r="R649" s="33">
        <f>H649+K649-O649</f>
        <v/>
      </c>
      <c r="S649" s="33" t="n"/>
      <c r="T649" s="33" t="n"/>
      <c r="U649" s="33" t="n"/>
      <c r="V649" s="33" t="n"/>
      <c r="W649" s="33" t="n"/>
      <c r="X649" s="33" t="n"/>
      <c r="Y649" s="33" t="n"/>
      <c r="Z649" s="33" t="n"/>
      <c r="AA649" s="4">
        <f>R649-G649</f>
        <v/>
      </c>
      <c r="AB649" s="4">
        <f>G649-R649</f>
        <v/>
      </c>
      <c r="AC649" s="33" t="n"/>
    </row>
    <row r="650" ht="37.5" customHeight="1">
      <c r="A650" s="35">
        <f>SUBTOTAL(103,$B$24:B650)</f>
        <v/>
      </c>
      <c r="B650" s="36" t="inlineStr">
        <is>
          <t>Гастроємності до лінії роздачі їжі та пароконвектомату GN 1/1 530*325*100</t>
        </is>
      </c>
      <c r="C650" s="37" t="inlineStr">
        <is>
          <t>шт.</t>
        </is>
      </c>
      <c r="D650" s="33" t="n"/>
      <c r="E650" s="33" t="n"/>
      <c r="F650" s="33">
        <f>E650*0.05</f>
        <v/>
      </c>
      <c r="G650" s="33">
        <f>E650+F650</f>
        <v/>
      </c>
      <c r="H650" s="33" t="n"/>
      <c r="I650" s="33" t="n"/>
      <c r="J650" s="33" t="n"/>
      <c r="K650" s="33">
        <f>L650+M650+N650</f>
        <v/>
      </c>
      <c r="L650" s="33" t="n"/>
      <c r="M650" s="33" t="n"/>
      <c r="N650" s="33" t="n"/>
      <c r="O650" s="33">
        <f>P650+Q650</f>
        <v/>
      </c>
      <c r="P650" s="33" t="n"/>
      <c r="Q650" s="33" t="n"/>
      <c r="R650" s="33">
        <f>H650+K650-O650</f>
        <v/>
      </c>
      <c r="S650" s="33" t="n"/>
      <c r="T650" s="33" t="n"/>
      <c r="U650" s="33" t="n"/>
      <c r="V650" s="33" t="n"/>
      <c r="W650" s="33" t="n"/>
      <c r="X650" s="33" t="n"/>
      <c r="Y650" s="33" t="n"/>
      <c r="Z650" s="33" t="n"/>
      <c r="AA650" s="4">
        <f>R650-G650</f>
        <v/>
      </c>
      <c r="AB650" s="4">
        <f>G650-R650</f>
        <v/>
      </c>
      <c r="AC650" s="33" t="n"/>
    </row>
    <row r="651" ht="37.5" customHeight="1">
      <c r="A651" s="35">
        <f>SUBTOTAL(103,$B$24:B651)</f>
        <v/>
      </c>
      <c r="B651" s="36" t="inlineStr">
        <is>
          <t>Гастроємності до лінії роздачі їжі та пароконвектомату GN 1/1 530*325*150</t>
        </is>
      </c>
      <c r="C651" s="37" t="inlineStr">
        <is>
          <t>шт.</t>
        </is>
      </c>
      <c r="D651" s="33" t="n"/>
      <c r="E651" s="33" t="n"/>
      <c r="F651" s="33">
        <f>E651*0.05</f>
        <v/>
      </c>
      <c r="G651" s="33">
        <f>E651+F651</f>
        <v/>
      </c>
      <c r="H651" s="33" t="n"/>
      <c r="I651" s="33" t="n"/>
      <c r="J651" s="33" t="n"/>
      <c r="K651" s="33">
        <f>L651+M651+N651</f>
        <v/>
      </c>
      <c r="L651" s="33" t="n"/>
      <c r="M651" s="33" t="n"/>
      <c r="N651" s="33" t="n"/>
      <c r="O651" s="33">
        <f>P651+Q651</f>
        <v/>
      </c>
      <c r="P651" s="33" t="n"/>
      <c r="Q651" s="33" t="n"/>
      <c r="R651" s="33">
        <f>H651+K651-O651</f>
        <v/>
      </c>
      <c r="S651" s="33" t="n"/>
      <c r="T651" s="33" t="n"/>
      <c r="U651" s="33" t="n"/>
      <c r="V651" s="33" t="n"/>
      <c r="W651" s="33" t="n"/>
      <c r="X651" s="33" t="n"/>
      <c r="Y651" s="33" t="n"/>
      <c r="Z651" s="33" t="n"/>
      <c r="AA651" s="4">
        <f>R651-G651</f>
        <v/>
      </c>
      <c r="AB651" s="4">
        <f>G651-R651</f>
        <v/>
      </c>
      <c r="AC651" s="33" t="n"/>
    </row>
    <row r="652" ht="37.5" customHeight="1">
      <c r="A652" s="35">
        <f>SUBTOTAL(103,$B$24:B652)</f>
        <v/>
      </c>
      <c r="B652" s="36" t="inlineStr">
        <is>
          <t>Гастроємності до лінії роздачі їжі та пароконвектомату GN 1/1 530*325*200</t>
        </is>
      </c>
      <c r="C652" s="37" t="n"/>
      <c r="D652" s="33" t="n"/>
      <c r="E652" s="33" t="n"/>
      <c r="F652" s="33">
        <f>E652*0.05</f>
        <v/>
      </c>
      <c r="G652" s="33">
        <f>E652+F652</f>
        <v/>
      </c>
      <c r="H652" s="33" t="n"/>
      <c r="I652" s="33" t="n"/>
      <c r="J652" s="33" t="n"/>
      <c r="K652" s="33">
        <f>L652+M652+N652</f>
        <v/>
      </c>
      <c r="L652" s="33" t="n"/>
      <c r="M652" s="33" t="n"/>
      <c r="N652" s="33" t="n"/>
      <c r="O652" s="33">
        <f>P652+Q652</f>
        <v/>
      </c>
      <c r="P652" s="33" t="n"/>
      <c r="Q652" s="33" t="n"/>
      <c r="R652" s="33">
        <f>H652+K652-O652</f>
        <v/>
      </c>
      <c r="S652" s="33" t="n"/>
      <c r="T652" s="33" t="n"/>
      <c r="U652" s="33" t="n"/>
      <c r="V652" s="33" t="n"/>
      <c r="W652" s="33" t="n"/>
      <c r="X652" s="33" t="n"/>
      <c r="Y652" s="33" t="n"/>
      <c r="Z652" s="33" t="n"/>
      <c r="AA652" s="4">
        <f>R652-G652</f>
        <v/>
      </c>
      <c r="AB652" s="4">
        <f>G652-R652</f>
        <v/>
      </c>
      <c r="AC652" s="33" t="n"/>
    </row>
    <row r="653" ht="37.5" customHeight="1">
      <c r="A653" s="35">
        <f>SUBTOTAL(103,$B$24:B653)</f>
        <v/>
      </c>
      <c r="B653" s="36" t="inlineStr">
        <is>
          <t>Кришка для гастроємностей GN 1/1 530*325</t>
        </is>
      </c>
      <c r="C653" s="37" t="inlineStr">
        <is>
          <t>шт.</t>
        </is>
      </c>
      <c r="D653" s="33" t="n"/>
      <c r="E653" s="33" t="n"/>
      <c r="F653" s="33">
        <f>E653*0.05</f>
        <v/>
      </c>
      <c r="G653" s="33">
        <f>E653+F653</f>
        <v/>
      </c>
      <c r="H653" s="33" t="n"/>
      <c r="I653" s="33" t="n"/>
      <c r="J653" s="33" t="n"/>
      <c r="K653" s="33">
        <f>L653+M653+N653</f>
        <v/>
      </c>
      <c r="L653" s="33" t="n"/>
      <c r="M653" s="33" t="n"/>
      <c r="N653" s="33" t="n"/>
      <c r="O653" s="33">
        <f>P653+Q653</f>
        <v/>
      </c>
      <c r="P653" s="33" t="n"/>
      <c r="Q653" s="33" t="n"/>
      <c r="R653" s="33">
        <f>H653+K653-O653</f>
        <v/>
      </c>
      <c r="S653" s="33" t="n"/>
      <c r="T653" s="33" t="n"/>
      <c r="U653" s="33" t="n"/>
      <c r="V653" s="33" t="n"/>
      <c r="W653" s="33" t="n"/>
      <c r="X653" s="33" t="n"/>
      <c r="Y653" s="33" t="n"/>
      <c r="Z653" s="33" t="n"/>
      <c r="AA653" s="4">
        <f>R653-G653</f>
        <v/>
      </c>
      <c r="AB653" s="4">
        <f>G653-R653</f>
        <v/>
      </c>
      <c r="AC653" s="33" t="n"/>
    </row>
    <row r="654" ht="37.5" customHeight="1">
      <c r="A654" s="35">
        <f>SUBTOTAL(103,$B$24:B654)</f>
        <v/>
      </c>
      <c r="B654" s="36" t="inlineStr">
        <is>
          <t>Термоконтейнер на 4-6 гастроємностей типу GN 1/1</t>
        </is>
      </c>
      <c r="C654" s="37" t="inlineStr">
        <is>
          <t>к-т</t>
        </is>
      </c>
      <c r="D654" s="33" t="n"/>
      <c r="E654" s="33" t="n"/>
      <c r="F654" s="33">
        <f>E654*0.05</f>
        <v/>
      </c>
      <c r="G654" s="33">
        <f>E654+F654</f>
        <v/>
      </c>
      <c r="H654" s="33" t="n"/>
      <c r="I654" s="33" t="n"/>
      <c r="J654" s="33" t="n"/>
      <c r="K654" s="33">
        <f>L654+M654+N654</f>
        <v/>
      </c>
      <c r="L654" s="33" t="n"/>
      <c r="M654" s="33" t="n"/>
      <c r="N654" s="33" t="n"/>
      <c r="O654" s="33">
        <f>P654+Q654</f>
        <v/>
      </c>
      <c r="P654" s="33" t="n"/>
      <c r="Q654" s="33" t="n"/>
      <c r="R654" s="33">
        <f>H654+K654-O654</f>
        <v/>
      </c>
      <c r="S654" s="33" t="n"/>
      <c r="T654" s="33" t="n"/>
      <c r="U654" s="33" t="n"/>
      <c r="V654" s="33" t="n"/>
      <c r="W654" s="33" t="n"/>
      <c r="X654" s="33" t="n"/>
      <c r="Y654" s="33" t="n"/>
      <c r="Z654" s="33" t="n"/>
      <c r="AA654" s="4">
        <f>R654-G654</f>
        <v/>
      </c>
      <c r="AB654" s="4">
        <f>G654-R654</f>
        <v/>
      </c>
      <c r="AC654" s="33" t="n"/>
    </row>
    <row r="655" ht="37.5" customHeight="1">
      <c r="A655" s="35">
        <f>SUBTOTAL(103,$B$24:B655)</f>
        <v/>
      </c>
      <c r="B655" s="36" t="inlineStr">
        <is>
          <t>Термоконтейнер на 6-8 гастроємностей типу GN 1/1</t>
        </is>
      </c>
      <c r="C655" s="37" t="inlineStr">
        <is>
          <t>к-т</t>
        </is>
      </c>
      <c r="D655" s="33" t="n"/>
      <c r="E655" s="33" t="n"/>
      <c r="F655" s="33">
        <f>E655*0.05</f>
        <v/>
      </c>
      <c r="G655" s="33">
        <f>E655+F655</f>
        <v/>
      </c>
      <c r="H655" s="33" t="n"/>
      <c r="I655" s="33" t="n"/>
      <c r="J655" s="33" t="n"/>
      <c r="K655" s="33">
        <f>L655+M655+N655</f>
        <v/>
      </c>
      <c r="L655" s="33" t="n"/>
      <c r="M655" s="33" t="n"/>
      <c r="N655" s="33" t="n"/>
      <c r="O655" s="33">
        <f>P655+Q655</f>
        <v/>
      </c>
      <c r="P655" s="33" t="n"/>
      <c r="Q655" s="33" t="n"/>
      <c r="R655" s="33">
        <f>H655+K655-O655</f>
        <v/>
      </c>
      <c r="S655" s="33" t="n"/>
      <c r="T655" s="33" t="n"/>
      <c r="U655" s="33" t="n"/>
      <c r="V655" s="33" t="n"/>
      <c r="W655" s="33" t="n"/>
      <c r="X655" s="33" t="n"/>
      <c r="Y655" s="33" t="n"/>
      <c r="Z655" s="33" t="n"/>
      <c r="AA655" s="4">
        <f>R655-G655</f>
        <v/>
      </c>
      <c r="AB655" s="4">
        <f>G655-R655</f>
        <v/>
      </c>
      <c r="AC655" s="33" t="n"/>
    </row>
    <row r="656" ht="37.5" customHeight="1">
      <c r="A656" s="35">
        <f>SUBTOTAL(103,$B$24:B656)</f>
        <v/>
      </c>
      <c r="B656" s="36" t="inlineStr">
        <is>
          <t>Термоконтейнер на 6 гастроємностей А90в з візком-платформою СРХТС-6</t>
        </is>
      </c>
      <c r="C656" s="37" t="inlineStr">
        <is>
          <t>к-т</t>
        </is>
      </c>
      <c r="D656" s="33" t="n"/>
      <c r="E656" s="33" t="n"/>
      <c r="F656" s="33">
        <f>E656*0.05</f>
        <v/>
      </c>
      <c r="G656" s="33">
        <f>E656+F656</f>
        <v/>
      </c>
      <c r="H656" s="33" t="n"/>
      <c r="I656" s="33" t="n"/>
      <c r="J656" s="33" t="n"/>
      <c r="K656" s="33">
        <f>L656+M656+N656</f>
        <v/>
      </c>
      <c r="L656" s="33" t="n"/>
      <c r="M656" s="33" t="n"/>
      <c r="N656" s="33" t="n"/>
      <c r="O656" s="33">
        <f>P656+Q656</f>
        <v/>
      </c>
      <c r="P656" s="33" t="n"/>
      <c r="Q656" s="33" t="n"/>
      <c r="R656" s="33">
        <f>H656+K656-O656</f>
        <v/>
      </c>
      <c r="S656" s="33" t="n"/>
      <c r="T656" s="33" t="n"/>
      <c r="U656" s="33" t="n"/>
      <c r="V656" s="33" t="n"/>
      <c r="W656" s="33" t="n"/>
      <c r="X656" s="33" t="n"/>
      <c r="Y656" s="33" t="n"/>
      <c r="Z656" s="33" t="n"/>
      <c r="AA656" s="4">
        <f>R656-G656</f>
        <v/>
      </c>
      <c r="AB656" s="4">
        <f>G656-R656</f>
        <v/>
      </c>
      <c r="AC656" s="33" t="n"/>
    </row>
    <row r="657" ht="18.75" customHeight="1">
      <c r="A657" s="35">
        <f>SUBTOTAL(103,$B$24:B657)</f>
        <v/>
      </c>
      <c r="B657" s="36" t="inlineStr">
        <is>
          <t>Термоконтейнер пересувний</t>
        </is>
      </c>
      <c r="C657" s="37" t="inlineStr">
        <is>
          <t>шт.</t>
        </is>
      </c>
      <c r="D657" s="33" t="n"/>
      <c r="E657" s="33" t="n"/>
      <c r="F657" s="33">
        <f>E657*0.05</f>
        <v/>
      </c>
      <c r="G657" s="33">
        <f>E657+F657</f>
        <v/>
      </c>
      <c r="H657" s="33" t="n"/>
      <c r="I657" s="33" t="n"/>
      <c r="J657" s="33" t="n"/>
      <c r="K657" s="33">
        <f>L657+M657+N657</f>
        <v/>
      </c>
      <c r="L657" s="33" t="n"/>
      <c r="M657" s="33" t="n"/>
      <c r="N657" s="33" t="n"/>
      <c r="O657" s="33">
        <f>P657+Q657</f>
        <v/>
      </c>
      <c r="P657" s="33" t="n"/>
      <c r="Q657" s="33" t="n"/>
      <c r="R657" s="33">
        <f>H657+K657-O657</f>
        <v/>
      </c>
      <c r="S657" s="33" t="n"/>
      <c r="T657" s="33" t="n"/>
      <c r="U657" s="33" t="n"/>
      <c r="V657" s="33" t="n"/>
      <c r="W657" s="33" t="n"/>
      <c r="X657" s="33" t="n"/>
      <c r="Y657" s="33" t="n"/>
      <c r="Z657" s="33" t="n"/>
      <c r="AA657" s="4">
        <f>R657-G657</f>
        <v/>
      </c>
      <c r="AB657" s="4">
        <f>G657-R657</f>
        <v/>
      </c>
      <c r="AC657" s="33" t="n"/>
    </row>
    <row r="658" ht="37.5" customHeight="1">
      <c r="A658" s="35">
        <f>SUBTOTAL(103,$B$24:B658)</f>
        <v/>
      </c>
      <c r="B658" s="36" t="inlineStr">
        <is>
          <t>Шафа для гастроємностей (термоконтейнер)</t>
        </is>
      </c>
      <c r="C658" s="37" t="inlineStr">
        <is>
          <t>шт.</t>
        </is>
      </c>
      <c r="D658" s="33" t="n"/>
      <c r="E658" s="33" t="n"/>
      <c r="F658" s="33">
        <f>E658*0.05</f>
        <v/>
      </c>
      <c r="G658" s="33">
        <f>E658+F658</f>
        <v/>
      </c>
      <c r="H658" s="33" t="n"/>
      <c r="I658" s="33" t="n"/>
      <c r="J658" s="33" t="n"/>
      <c r="K658" s="33">
        <f>L658+M658+N658</f>
        <v/>
      </c>
      <c r="L658" s="33" t="n"/>
      <c r="M658" s="33" t="n"/>
      <c r="N658" s="33" t="n"/>
      <c r="O658" s="33">
        <f>P658+Q658</f>
        <v/>
      </c>
      <c r="P658" s="33" t="n"/>
      <c r="Q658" s="33" t="n"/>
      <c r="R658" s="33">
        <f>H658+K658-O658</f>
        <v/>
      </c>
      <c r="S658" s="33" t="n"/>
      <c r="T658" s="33" t="n"/>
      <c r="U658" s="33" t="n"/>
      <c r="V658" s="33" t="n"/>
      <c r="W658" s="33" t="n"/>
      <c r="X658" s="33" t="n"/>
      <c r="Y658" s="33" t="n"/>
      <c r="Z658" s="33" t="n"/>
      <c r="AA658" s="4">
        <f>R658-G658</f>
        <v/>
      </c>
      <c r="AB658" s="4">
        <f>G658-R658</f>
        <v/>
      </c>
      <c r="AC658" s="33" t="n"/>
    </row>
    <row r="659" ht="18.75" customHeight="1">
      <c r="A659" s="35">
        <f>SUBTOTAL(103,$B$24:B659)</f>
        <v/>
      </c>
      <c r="B659" s="36" t="inlineStr">
        <is>
          <t>Пакувальник вакуумний</t>
        </is>
      </c>
      <c r="C659" s="37" t="inlineStr">
        <is>
          <t>шт.</t>
        </is>
      </c>
      <c r="D659" s="33" t="n"/>
      <c r="E659" s="33" t="n"/>
      <c r="F659" s="33">
        <f>E659*0.05</f>
        <v/>
      </c>
      <c r="G659" s="33">
        <f>E659+F659</f>
        <v/>
      </c>
      <c r="H659" s="33" t="n"/>
      <c r="I659" s="33" t="n"/>
      <c r="J659" s="33" t="n"/>
      <c r="K659" s="33">
        <f>L659+M659+N659</f>
        <v/>
      </c>
      <c r="L659" s="33" t="n"/>
      <c r="M659" s="33" t="n"/>
      <c r="N659" s="33" t="n"/>
      <c r="O659" s="33">
        <f>P659+Q659</f>
        <v/>
      </c>
      <c r="P659" s="33" t="n"/>
      <c r="Q659" s="33" t="n"/>
      <c r="R659" s="33">
        <f>H659+K659-O659</f>
        <v/>
      </c>
      <c r="S659" s="33" t="n"/>
      <c r="T659" s="33" t="n"/>
      <c r="U659" s="33" t="n"/>
      <c r="V659" s="33" t="n"/>
      <c r="W659" s="33" t="n"/>
      <c r="X659" s="33" t="n"/>
      <c r="Y659" s="33" t="n"/>
      <c r="Z659" s="33" t="n"/>
      <c r="AA659" s="4">
        <f>R659-G659</f>
        <v/>
      </c>
      <c r="AB659" s="4">
        <f>G659-R659</f>
        <v/>
      </c>
      <c r="AC659" s="33" t="n"/>
    </row>
    <row r="660" ht="18.75" customHeight="1">
      <c r="A660" s="35">
        <f>SUBTOTAL(103,$B$24:B660)</f>
        <v/>
      </c>
      <c r="B660" s="36" t="inlineStr">
        <is>
          <t>Касета для ошпарювання</t>
        </is>
      </c>
      <c r="C660" s="37" t="inlineStr">
        <is>
          <t>шт.</t>
        </is>
      </c>
      <c r="D660" s="33" t="n"/>
      <c r="E660" s="33" t="n"/>
      <c r="F660" s="33">
        <f>E660*0.05</f>
        <v/>
      </c>
      <c r="G660" s="33">
        <f>E660+F660</f>
        <v/>
      </c>
      <c r="H660" s="33" t="n"/>
      <c r="I660" s="33" t="n"/>
      <c r="J660" s="33" t="n"/>
      <c r="K660" s="33">
        <f>L660+M660+N660</f>
        <v/>
      </c>
      <c r="L660" s="33" t="n"/>
      <c r="M660" s="33" t="n"/>
      <c r="N660" s="33" t="n"/>
      <c r="O660" s="33">
        <f>P660+Q660</f>
        <v/>
      </c>
      <c r="P660" s="33" t="n"/>
      <c r="Q660" s="33" t="n"/>
      <c r="R660" s="33">
        <f>H660+K660-O660</f>
        <v/>
      </c>
      <c r="S660" s="33" t="n"/>
      <c r="T660" s="33" t="n"/>
      <c r="U660" s="33" t="n"/>
      <c r="V660" s="33" t="n"/>
      <c r="W660" s="33" t="n"/>
      <c r="X660" s="33" t="n"/>
      <c r="Y660" s="33" t="n"/>
      <c r="Z660" s="33" t="n"/>
      <c r="AA660" s="4">
        <f>R660-G660</f>
        <v/>
      </c>
      <c r="AB660" s="4">
        <f>G660-R660</f>
        <v/>
      </c>
      <c r="AC660" s="33" t="n"/>
    </row>
    <row r="661" ht="18.75" customHeight="1">
      <c r="A661" s="35">
        <f>SUBTOTAL(103,$B$24:B661)</f>
        <v/>
      </c>
      <c r="B661" s="36" t="inlineStr">
        <is>
          <t>Ларь глухий</t>
        </is>
      </c>
      <c r="C661" s="37" t="inlineStr">
        <is>
          <t>шт.</t>
        </is>
      </c>
      <c r="D661" s="33" t="n"/>
      <c r="E661" s="33" t="n"/>
      <c r="F661" s="33">
        <f>E661*0.05</f>
        <v/>
      </c>
      <c r="G661" s="33">
        <f>E661+F661</f>
        <v/>
      </c>
      <c r="H661" s="33" t="n"/>
      <c r="I661" s="33" t="n"/>
      <c r="J661" s="33" t="n"/>
      <c r="K661" s="33">
        <f>L661+M661+N661</f>
        <v/>
      </c>
      <c r="L661" s="33" t="n"/>
      <c r="M661" s="33" t="n"/>
      <c r="N661" s="33" t="n"/>
      <c r="O661" s="33">
        <f>P661+Q661</f>
        <v/>
      </c>
      <c r="P661" s="33" t="n"/>
      <c r="Q661" s="33" t="n"/>
      <c r="R661" s="33">
        <f>H661+K661-O661</f>
        <v/>
      </c>
      <c r="S661" s="33" t="n"/>
      <c r="T661" s="33" t="n"/>
      <c r="U661" s="33" t="n"/>
      <c r="V661" s="33" t="n"/>
      <c r="W661" s="33" t="n"/>
      <c r="X661" s="33" t="n"/>
      <c r="Y661" s="33" t="n"/>
      <c r="Z661" s="33" t="n"/>
      <c r="AA661" s="4">
        <f>R661-G661</f>
        <v/>
      </c>
      <c r="AB661" s="4">
        <f>G661-R661</f>
        <v/>
      </c>
      <c r="AC661" s="33" t="n"/>
    </row>
    <row r="662" ht="18.75" customHeight="1">
      <c r="A662" s="35">
        <f>SUBTOTAL(103,$B$24:B662)</f>
        <v/>
      </c>
      <c r="B662" s="36" t="inlineStr">
        <is>
          <t>Ларь для зберігання борошна</t>
        </is>
      </c>
      <c r="C662" s="37" t="inlineStr">
        <is>
          <t>шт.</t>
        </is>
      </c>
      <c r="D662" s="33" t="n"/>
      <c r="E662" s="33" t="n"/>
      <c r="F662" s="33">
        <f>E662*0.05</f>
        <v/>
      </c>
      <c r="G662" s="33">
        <f>E662+F662</f>
        <v/>
      </c>
      <c r="H662" s="33" t="n"/>
      <c r="I662" s="33" t="n"/>
      <c r="J662" s="33" t="n"/>
      <c r="K662" s="33">
        <f>L662+M662+N662</f>
        <v/>
      </c>
      <c r="L662" s="33" t="n"/>
      <c r="M662" s="33" t="n"/>
      <c r="N662" s="33" t="n"/>
      <c r="O662" s="33">
        <f>P662+Q662</f>
        <v/>
      </c>
      <c r="P662" s="33" t="n"/>
      <c r="Q662" s="33" t="n"/>
      <c r="R662" s="33">
        <f>H662+K662-O662</f>
        <v/>
      </c>
      <c r="S662" s="33" t="n"/>
      <c r="T662" s="33" t="n"/>
      <c r="U662" s="33" t="n"/>
      <c r="V662" s="33" t="n"/>
      <c r="W662" s="33" t="n"/>
      <c r="X662" s="33" t="n"/>
      <c r="Y662" s="33" t="n"/>
      <c r="Z662" s="33" t="n"/>
      <c r="AA662" s="4">
        <f>R662-G662</f>
        <v/>
      </c>
      <c r="AB662" s="4">
        <f>G662-R662</f>
        <v/>
      </c>
      <c r="AC662" s="33" t="n"/>
    </row>
    <row r="663" ht="18.75" customHeight="1">
      <c r="A663" s="35">
        <f>SUBTOTAL(103,$B$24:B663)</f>
        <v/>
      </c>
      <c r="B663" s="36" t="inlineStr">
        <is>
          <t>Ларь для продовольства</t>
        </is>
      </c>
      <c r="C663" s="37" t="inlineStr">
        <is>
          <t>шт.</t>
        </is>
      </c>
      <c r="D663" s="33" t="n"/>
      <c r="E663" s="33" t="n"/>
      <c r="F663" s="33">
        <f>E663*0.05</f>
        <v/>
      </c>
      <c r="G663" s="33">
        <f>E663+F663</f>
        <v/>
      </c>
      <c r="H663" s="33" t="n"/>
      <c r="I663" s="33" t="n"/>
      <c r="J663" s="33" t="n"/>
      <c r="K663" s="33">
        <f>L663+M663+N663</f>
        <v/>
      </c>
      <c r="L663" s="33" t="n"/>
      <c r="M663" s="33" t="n"/>
      <c r="N663" s="33" t="n"/>
      <c r="O663" s="33">
        <f>P663+Q663</f>
        <v/>
      </c>
      <c r="P663" s="33" t="n"/>
      <c r="Q663" s="33" t="n"/>
      <c r="R663" s="33">
        <f>H663+K663-O663</f>
        <v/>
      </c>
      <c r="S663" s="33" t="n"/>
      <c r="T663" s="33" t="n"/>
      <c r="U663" s="33" t="n"/>
      <c r="V663" s="33" t="n"/>
      <c r="W663" s="33" t="n"/>
      <c r="X663" s="33" t="n"/>
      <c r="Y663" s="33" t="n"/>
      <c r="Z663" s="33" t="n"/>
      <c r="AA663" s="4">
        <f>R663-G663</f>
        <v/>
      </c>
      <c r="AB663" s="4">
        <f>G663-R663</f>
        <v/>
      </c>
      <c r="AC663" s="33" t="n"/>
    </row>
    <row r="664" ht="18.75" customHeight="1">
      <c r="A664" s="35">
        <f>SUBTOTAL(103,$B$24:B664)</f>
        <v/>
      </c>
      <c r="B664" s="36" t="inlineStr">
        <is>
          <t xml:space="preserve">Ємкість багатофункціональна </t>
        </is>
      </c>
      <c r="C664" s="37" t="inlineStr">
        <is>
          <t>шт.</t>
        </is>
      </c>
      <c r="D664" s="33" t="n"/>
      <c r="E664" s="33" t="n"/>
      <c r="F664" s="33">
        <f>E664*0.05</f>
        <v/>
      </c>
      <c r="G664" s="33">
        <f>E664+F664</f>
        <v/>
      </c>
      <c r="H664" s="33" t="n"/>
      <c r="I664" s="33" t="n"/>
      <c r="J664" s="33" t="n"/>
      <c r="K664" s="33">
        <f>L664+M664+N664</f>
        <v/>
      </c>
      <c r="L664" s="33" t="n"/>
      <c r="M664" s="33" t="n"/>
      <c r="N664" s="33" t="n"/>
      <c r="O664" s="33">
        <f>P664+Q664</f>
        <v/>
      </c>
      <c r="P664" s="33" t="n"/>
      <c r="Q664" s="33" t="n"/>
      <c r="R664" s="33">
        <f>H664+K664-O664</f>
        <v/>
      </c>
      <c r="S664" s="33" t="n"/>
      <c r="T664" s="33" t="n"/>
      <c r="U664" s="33" t="n"/>
      <c r="V664" s="33" t="n"/>
      <c r="W664" s="33" t="n"/>
      <c r="X664" s="33" t="n"/>
      <c r="Y664" s="33" t="n"/>
      <c r="Z664" s="33" t="n"/>
      <c r="AA664" s="4">
        <f>R664-G664</f>
        <v/>
      </c>
      <c r="AB664" s="4">
        <f>G664-R664</f>
        <v/>
      </c>
      <c r="AC664" s="33" t="n"/>
    </row>
    <row r="665" ht="18.75" customHeight="1">
      <c r="A665" s="35">
        <f>SUBTOTAL(103,$B$24:B665)</f>
        <v/>
      </c>
      <c r="B665" s="36" t="inlineStr">
        <is>
          <t>Ємкість для меду</t>
        </is>
      </c>
      <c r="C665" s="37" t="inlineStr">
        <is>
          <t>шт.</t>
        </is>
      </c>
      <c r="D665" s="33" t="n"/>
      <c r="E665" s="33" t="n"/>
      <c r="F665" s="33">
        <f>E665*0.05</f>
        <v/>
      </c>
      <c r="G665" s="33">
        <f>E665+F665</f>
        <v/>
      </c>
      <c r="H665" s="33" t="n"/>
      <c r="I665" s="33" t="n"/>
      <c r="J665" s="33" t="n"/>
      <c r="K665" s="33">
        <f>L665+M665+N665</f>
        <v/>
      </c>
      <c r="L665" s="33" t="n"/>
      <c r="M665" s="33" t="n"/>
      <c r="N665" s="33" t="n"/>
      <c r="O665" s="33">
        <f>P665+Q665</f>
        <v/>
      </c>
      <c r="P665" s="33" t="n"/>
      <c r="Q665" s="33" t="n"/>
      <c r="R665" s="33">
        <f>H665+K665-O665</f>
        <v/>
      </c>
      <c r="S665" s="33" t="n"/>
      <c r="T665" s="33" t="n"/>
      <c r="U665" s="33" t="n"/>
      <c r="V665" s="33" t="n"/>
      <c r="W665" s="33" t="n"/>
      <c r="X665" s="33" t="n"/>
      <c r="Y665" s="33" t="n"/>
      <c r="Z665" s="33" t="n"/>
      <c r="AA665" s="4">
        <f>R665-G665</f>
        <v/>
      </c>
      <c r="AB665" s="4">
        <f>G665-R665</f>
        <v/>
      </c>
      <c r="AC665" s="33" t="n"/>
    </row>
    <row r="666" ht="18.75" customHeight="1">
      <c r="A666" s="35">
        <f>SUBTOTAL(103,$B$24:B666)</f>
        <v/>
      </c>
      <c r="B666" s="36" t="inlineStr">
        <is>
          <t>Підставка під казани</t>
        </is>
      </c>
      <c r="C666" s="37" t="inlineStr">
        <is>
          <t>шт.</t>
        </is>
      </c>
      <c r="D666" s="33" t="n"/>
      <c r="E666" s="33" t="n"/>
      <c r="F666" s="33">
        <f>E666*0.05</f>
        <v/>
      </c>
      <c r="G666" s="33">
        <f>E666+F666</f>
        <v/>
      </c>
      <c r="H666" s="33" t="n"/>
      <c r="I666" s="33" t="n"/>
      <c r="J666" s="33" t="n"/>
      <c r="K666" s="33">
        <f>L666+M666+N666</f>
        <v/>
      </c>
      <c r="L666" s="33" t="n"/>
      <c r="M666" s="33" t="n"/>
      <c r="N666" s="33" t="n"/>
      <c r="O666" s="33">
        <f>P666+Q666</f>
        <v/>
      </c>
      <c r="P666" s="33" t="n"/>
      <c r="Q666" s="33" t="n"/>
      <c r="R666" s="33">
        <f>H666+K666-O666</f>
        <v/>
      </c>
      <c r="S666" s="33" t="n"/>
      <c r="T666" s="33" t="n"/>
      <c r="U666" s="33" t="n"/>
      <c r="V666" s="33" t="n"/>
      <c r="W666" s="33" t="n"/>
      <c r="X666" s="33" t="n"/>
      <c r="Y666" s="33" t="n"/>
      <c r="Z666" s="33" t="n"/>
      <c r="AA666" s="4">
        <f>R666-G666</f>
        <v/>
      </c>
      <c r="AB666" s="4">
        <f>G666-R666</f>
        <v/>
      </c>
      <c r="AC666" s="33" t="n"/>
    </row>
    <row r="667" ht="18.75" customHeight="1">
      <c r="A667" s="35">
        <f>SUBTOTAL(103,$B$24:B667)</f>
        <v/>
      </c>
      <c r="B667" s="36" t="inlineStr">
        <is>
          <t>Підставка під сокиру</t>
        </is>
      </c>
      <c r="C667" s="37" t="inlineStr">
        <is>
          <t>шт.</t>
        </is>
      </c>
      <c r="D667" s="33" t="n"/>
      <c r="E667" s="33" t="n"/>
      <c r="F667" s="33">
        <f>E667*0.05</f>
        <v/>
      </c>
      <c r="G667" s="33">
        <f>E667+F667</f>
        <v/>
      </c>
      <c r="H667" s="33" t="n"/>
      <c r="I667" s="33" t="n"/>
      <c r="J667" s="33" t="n"/>
      <c r="K667" s="33">
        <f>L667+M667+N667</f>
        <v/>
      </c>
      <c r="L667" s="33" t="n"/>
      <c r="M667" s="33" t="n"/>
      <c r="N667" s="33" t="n"/>
      <c r="O667" s="33">
        <f>P667+Q667</f>
        <v/>
      </c>
      <c r="P667" s="33" t="n"/>
      <c r="Q667" s="33" t="n"/>
      <c r="R667" s="33">
        <f>H667+K667-O667</f>
        <v/>
      </c>
      <c r="S667" s="33" t="n"/>
      <c r="T667" s="33" t="n"/>
      <c r="U667" s="33" t="n"/>
      <c r="V667" s="33" t="n"/>
      <c r="W667" s="33" t="n"/>
      <c r="X667" s="33" t="n"/>
      <c r="Y667" s="33" t="n"/>
      <c r="Z667" s="33" t="n"/>
      <c r="AA667" s="4">
        <f>R667-G667</f>
        <v/>
      </c>
      <c r="AB667" s="4">
        <f>G667-R667</f>
        <v/>
      </c>
      <c r="AC667" s="33" t="n"/>
    </row>
    <row r="668" ht="18.75" customHeight="1">
      <c r="A668" s="35">
        <f>SUBTOTAL(103,$B$24:B668)</f>
        <v/>
      </c>
      <c r="B668" s="36" t="inlineStr">
        <is>
          <t>Пристрій для видачі кипяченої води</t>
        </is>
      </c>
      <c r="C668" s="37" t="inlineStr">
        <is>
          <t>шт.</t>
        </is>
      </c>
      <c r="D668" s="33" t="n"/>
      <c r="E668" s="33" t="n"/>
      <c r="F668" s="33">
        <f>E668*0.05</f>
        <v/>
      </c>
      <c r="G668" s="33">
        <f>E668+F668</f>
        <v/>
      </c>
      <c r="H668" s="33" t="n"/>
      <c r="I668" s="33" t="n"/>
      <c r="J668" s="33" t="n"/>
      <c r="K668" s="33">
        <f>L668+M668+N668</f>
        <v/>
      </c>
      <c r="L668" s="33" t="n"/>
      <c r="M668" s="33" t="n"/>
      <c r="N668" s="33" t="n"/>
      <c r="O668" s="33">
        <f>P668+Q668</f>
        <v/>
      </c>
      <c r="P668" s="33" t="n"/>
      <c r="Q668" s="33" t="n"/>
      <c r="R668" s="33">
        <f>H668+K668-O668</f>
        <v/>
      </c>
      <c r="S668" s="33" t="n"/>
      <c r="T668" s="33" t="n"/>
      <c r="U668" s="33" t="n"/>
      <c r="V668" s="33" t="n"/>
      <c r="W668" s="33" t="n"/>
      <c r="X668" s="33" t="n"/>
      <c r="Y668" s="33" t="n"/>
      <c r="Z668" s="33" t="n"/>
      <c r="AA668" s="4">
        <f>R668-G668</f>
        <v/>
      </c>
      <c r="AB668" s="4">
        <f>G668-R668</f>
        <v/>
      </c>
      <c r="AC668" s="33" t="n"/>
    </row>
    <row r="669" ht="18.75" customHeight="1">
      <c r="A669" s="35">
        <f>SUBTOTAL(103,$B$24:B669)</f>
        <v/>
      </c>
      <c r="B669" s="36" t="inlineStr">
        <is>
          <t xml:space="preserve">Підтоварник </t>
        </is>
      </c>
      <c r="C669" s="37" t="inlineStr">
        <is>
          <t>шт.</t>
        </is>
      </c>
      <c r="D669" s="33" t="n"/>
      <c r="E669" s="33" t="n"/>
      <c r="F669" s="33">
        <f>E669*0.05</f>
        <v/>
      </c>
      <c r="G669" s="33">
        <f>E669+F669</f>
        <v/>
      </c>
      <c r="H669" s="33" t="n"/>
      <c r="I669" s="33" t="n"/>
      <c r="J669" s="33" t="n"/>
      <c r="K669" s="33">
        <f>L669+M669+N669</f>
        <v/>
      </c>
      <c r="L669" s="33" t="n"/>
      <c r="M669" s="33" t="n"/>
      <c r="N669" s="33" t="n"/>
      <c r="O669" s="33">
        <f>P669+Q669</f>
        <v/>
      </c>
      <c r="P669" s="33" t="n"/>
      <c r="Q669" s="33" t="n"/>
      <c r="R669" s="33">
        <f>H669+K669-O669</f>
        <v/>
      </c>
      <c r="S669" s="33" t="n"/>
      <c r="T669" s="33" t="n"/>
      <c r="U669" s="33" t="n"/>
      <c r="V669" s="33" t="n"/>
      <c r="W669" s="33" t="n"/>
      <c r="X669" s="33" t="n"/>
      <c r="Y669" s="33" t="n"/>
      <c r="Z669" s="33" t="n"/>
      <c r="AA669" s="4">
        <f>R669-G669</f>
        <v/>
      </c>
      <c r="AB669" s="4">
        <f>G669-R669</f>
        <v/>
      </c>
      <c r="AC669" s="33" t="n"/>
    </row>
    <row r="670" ht="18.75" customHeight="1">
      <c r="A670" s="35">
        <f>SUBTOTAL(103,$B$24:B670)</f>
        <v/>
      </c>
      <c r="B670" s="36" t="inlineStr">
        <is>
          <t xml:space="preserve">Гачок для мяса </t>
        </is>
      </c>
      <c r="C670" s="37" t="inlineStr">
        <is>
          <t>шт.</t>
        </is>
      </c>
      <c r="D670" s="33" t="n"/>
      <c r="E670" s="33" t="n"/>
      <c r="F670" s="33">
        <f>E670*0.05</f>
        <v/>
      </c>
      <c r="G670" s="33">
        <f>E670+F670</f>
        <v/>
      </c>
      <c r="H670" s="33" t="n"/>
      <c r="I670" s="33" t="n"/>
      <c r="J670" s="33" t="n"/>
      <c r="K670" s="33">
        <f>L670+M670+N670</f>
        <v/>
      </c>
      <c r="L670" s="33" t="n"/>
      <c r="M670" s="33" t="n"/>
      <c r="N670" s="33" t="n"/>
      <c r="O670" s="33">
        <f>P670+Q670</f>
        <v/>
      </c>
      <c r="P670" s="33" t="n"/>
      <c r="Q670" s="33" t="n"/>
      <c r="R670" s="33">
        <f>H670+K670-O670</f>
        <v/>
      </c>
      <c r="S670" s="33" t="n"/>
      <c r="T670" s="33" t="n"/>
      <c r="U670" s="33" t="n"/>
      <c r="V670" s="33" t="n"/>
      <c r="W670" s="33" t="n"/>
      <c r="X670" s="33" t="n"/>
      <c r="Y670" s="33" t="n"/>
      <c r="Z670" s="33" t="n"/>
      <c r="AA670" s="4">
        <f>R670-G670</f>
        <v/>
      </c>
      <c r="AB670" s="4">
        <f>G670-R670</f>
        <v/>
      </c>
      <c r="AC670" s="33" t="n"/>
    </row>
    <row r="671" ht="18.75" customHeight="1">
      <c r="A671" s="35">
        <f>SUBTOTAL(103,$B$24:B671)</f>
        <v/>
      </c>
      <c r="B671" s="44" t="inlineStr">
        <is>
          <t>ХОЛОДИЛЬНЕ ОБЛАДНАННЯ</t>
        </is>
      </c>
      <c r="C671" s="37" t="n"/>
      <c r="D671" s="33" t="n"/>
      <c r="E671" s="33" t="n"/>
      <c r="F671" s="33">
        <f>E671*0.05</f>
        <v/>
      </c>
      <c r="G671" s="33">
        <f>E671+F671</f>
        <v/>
      </c>
      <c r="H671" s="33" t="n"/>
      <c r="I671" s="33" t="n"/>
      <c r="J671" s="33" t="n"/>
      <c r="K671" s="33">
        <f>L671+M671+N671</f>
        <v/>
      </c>
      <c r="L671" s="33" t="n"/>
      <c r="M671" s="33" t="n"/>
      <c r="N671" s="33" t="n"/>
      <c r="O671" s="33">
        <f>P671+Q671</f>
        <v/>
      </c>
      <c r="P671" s="33" t="n"/>
      <c r="Q671" s="33" t="n"/>
      <c r="R671" s="33">
        <f>H671+K671-O671</f>
        <v/>
      </c>
      <c r="S671" s="33" t="n"/>
      <c r="T671" s="33" t="n"/>
      <c r="U671" s="33" t="n"/>
      <c r="V671" s="33" t="n"/>
      <c r="W671" s="33" t="n"/>
      <c r="X671" s="33" t="n"/>
      <c r="Y671" s="33" t="n"/>
      <c r="Z671" s="33" t="n"/>
      <c r="AA671" s="4">
        <f>R671-G671</f>
        <v/>
      </c>
      <c r="AB671" s="4">
        <f>G671-R671</f>
        <v/>
      </c>
      <c r="AC671" s="33" t="n"/>
    </row>
    <row r="672" ht="18.75" customHeight="1">
      <c r="A672" s="35">
        <f>SUBTOTAL(103,$B$24:B672)</f>
        <v/>
      </c>
      <c r="B672" s="39" t="inlineStr">
        <is>
          <t>ХОЛОДИЛЬНІ ШАФИ</t>
        </is>
      </c>
      <c r="C672" s="37" t="inlineStr">
        <is>
          <t>к-т</t>
        </is>
      </c>
      <c r="D672" s="33" t="n"/>
      <c r="E672" s="33" t="n"/>
      <c r="F672" s="33">
        <f>E672*0.05</f>
        <v/>
      </c>
      <c r="G672" s="33">
        <f>E672+F672</f>
        <v/>
      </c>
      <c r="H672" s="33" t="n"/>
      <c r="I672" s="33" t="n"/>
      <c r="J672" s="33" t="n"/>
      <c r="K672" s="33">
        <f>L672+M672+N672</f>
        <v/>
      </c>
      <c r="L672" s="33" t="n"/>
      <c r="M672" s="33" t="n"/>
      <c r="N672" s="33" t="n"/>
      <c r="O672" s="33">
        <f>P672+Q672</f>
        <v/>
      </c>
      <c r="P672" s="33" t="n"/>
      <c r="Q672" s="33" t="n"/>
      <c r="R672" s="33">
        <f>H672+K672-O672</f>
        <v/>
      </c>
      <c r="S672" s="33" t="n"/>
      <c r="T672" s="33" t="n"/>
      <c r="U672" s="33" t="n"/>
      <c r="V672" s="33" t="n"/>
      <c r="W672" s="33" t="n"/>
      <c r="X672" s="33" t="n"/>
      <c r="Y672" s="33" t="n"/>
      <c r="Z672" s="33" t="n"/>
      <c r="AA672" s="4">
        <f>R672-G672</f>
        <v/>
      </c>
      <c r="AB672" s="4">
        <f>G672-R672</f>
        <v/>
      </c>
      <c r="AC672" s="33" t="n"/>
    </row>
    <row r="673" ht="37.5" customHeight="1">
      <c r="A673" s="35">
        <f>SUBTOTAL(103,$B$24:B673)</f>
        <v/>
      </c>
      <c r="B673" s="36" t="inlineStr">
        <is>
          <t>Холодильна шафа "KLIMASAN"  S9 SC DD</t>
        </is>
      </c>
      <c r="C673" s="37" t="inlineStr">
        <is>
          <t>к-т</t>
        </is>
      </c>
      <c r="D673" s="33" t="n"/>
      <c r="E673" s="33" t="n"/>
      <c r="F673" s="33">
        <f>E673*0.05</f>
        <v/>
      </c>
      <c r="G673" s="33">
        <f>E673+F673</f>
        <v/>
      </c>
      <c r="H673" s="33" t="n"/>
      <c r="I673" s="33" t="n"/>
      <c r="J673" s="33" t="n"/>
      <c r="K673" s="33">
        <f>L673+M673+N673</f>
        <v/>
      </c>
      <c r="L673" s="33" t="n"/>
      <c r="M673" s="33" t="n"/>
      <c r="N673" s="33" t="n"/>
      <c r="O673" s="33">
        <f>P673+Q673</f>
        <v/>
      </c>
      <c r="P673" s="33" t="n"/>
      <c r="Q673" s="33" t="n"/>
      <c r="R673" s="33">
        <f>H673+K673-O673</f>
        <v/>
      </c>
      <c r="S673" s="33" t="n"/>
      <c r="T673" s="33" t="n"/>
      <c r="U673" s="33" t="n"/>
      <c r="V673" s="33" t="n"/>
      <c r="W673" s="33" t="n"/>
      <c r="X673" s="33" t="n"/>
      <c r="Y673" s="33" t="n"/>
      <c r="Z673" s="33" t="n"/>
      <c r="AA673" s="4">
        <f>R673-G673</f>
        <v/>
      </c>
      <c r="AB673" s="4">
        <f>G673-R673</f>
        <v/>
      </c>
      <c r="AC673" s="33" t="n"/>
    </row>
    <row r="674" ht="37.5" customHeight="1">
      <c r="A674" s="35">
        <f>SUBTOTAL(103,$B$24:B674)</f>
        <v/>
      </c>
      <c r="B674" s="36" t="inlineStr">
        <is>
          <t>Шафи холодильні низькотемпературні ШН-1,4</t>
        </is>
      </c>
      <c r="C674" s="37" t="inlineStr">
        <is>
          <t>к-т</t>
        </is>
      </c>
      <c r="D674" s="33" t="n"/>
      <c r="E674" s="33" t="n"/>
      <c r="F674" s="33">
        <f>E674*0.05</f>
        <v/>
      </c>
      <c r="G674" s="33">
        <f>E674+F674</f>
        <v/>
      </c>
      <c r="H674" s="33" t="n"/>
      <c r="I674" s="33" t="n"/>
      <c r="J674" s="33" t="n"/>
      <c r="K674" s="33">
        <f>L674+M674+N674</f>
        <v/>
      </c>
      <c r="L674" s="33" t="n"/>
      <c r="M674" s="33" t="n"/>
      <c r="N674" s="33" t="n"/>
      <c r="O674" s="33">
        <f>P674+Q674</f>
        <v/>
      </c>
      <c r="P674" s="33" t="n"/>
      <c r="Q674" s="33" t="n"/>
      <c r="R674" s="33">
        <f>H674+K674-O674</f>
        <v/>
      </c>
      <c r="S674" s="33" t="n"/>
      <c r="T674" s="33" t="n"/>
      <c r="U674" s="33" t="n"/>
      <c r="V674" s="33" t="n"/>
      <c r="W674" s="33" t="n"/>
      <c r="X674" s="33" t="n"/>
      <c r="Y674" s="33" t="n"/>
      <c r="Z674" s="33" t="n"/>
      <c r="AA674" s="4">
        <f>R674-G674</f>
        <v/>
      </c>
      <c r="AB674" s="4">
        <f>G674-R674</f>
        <v/>
      </c>
      <c r="AC674" s="33" t="n"/>
    </row>
    <row r="675" ht="37.5" customHeight="1">
      <c r="A675" s="35">
        <f>SUBTOTAL(103,$B$24:B675)</f>
        <v/>
      </c>
      <c r="B675" s="36" t="inlineStr">
        <is>
          <t>Шафаморозильна низькотемп. одно дверна,обємом 700л</t>
        </is>
      </c>
      <c r="C675" s="37" t="inlineStr">
        <is>
          <t>к-т</t>
        </is>
      </c>
      <c r="D675" s="33" t="n"/>
      <c r="E675" s="33" t="n"/>
      <c r="F675" s="33">
        <f>E675*0.05</f>
        <v/>
      </c>
      <c r="G675" s="33">
        <f>E675+F675</f>
        <v/>
      </c>
      <c r="H675" s="33" t="n"/>
      <c r="I675" s="33" t="n"/>
      <c r="J675" s="33" t="n"/>
      <c r="K675" s="33">
        <f>L675+M675+N675</f>
        <v/>
      </c>
      <c r="L675" s="33" t="n"/>
      <c r="M675" s="33" t="n"/>
      <c r="N675" s="33" t="n"/>
      <c r="O675" s="33">
        <f>P675+Q675</f>
        <v/>
      </c>
      <c r="P675" s="33" t="n"/>
      <c r="Q675" s="33" t="n"/>
      <c r="R675" s="33">
        <f>H675+K675-O675</f>
        <v/>
      </c>
      <c r="S675" s="33" t="n"/>
      <c r="T675" s="33" t="n"/>
      <c r="U675" s="33" t="n"/>
      <c r="V675" s="33" t="n"/>
      <c r="W675" s="33" t="n"/>
      <c r="X675" s="33" t="n"/>
      <c r="Y675" s="33" t="n"/>
      <c r="Z675" s="33" t="n"/>
      <c r="AA675" s="4">
        <f>R675-G675</f>
        <v/>
      </c>
      <c r="AB675" s="4">
        <f>G675-R675</f>
        <v/>
      </c>
      <c r="AC675" s="33" t="n"/>
    </row>
    <row r="676" ht="18.75" customHeight="1">
      <c r="A676" s="35">
        <f>SUBTOTAL(103,$B$24:B676)</f>
        <v/>
      </c>
      <c r="B676" s="36" t="inlineStr">
        <is>
          <t>Шафи холодильні ШХ-0,4</t>
        </is>
      </c>
      <c r="C676" s="37" t="inlineStr">
        <is>
          <t>к-т</t>
        </is>
      </c>
      <c r="D676" s="33" t="n"/>
      <c r="E676" s="33" t="n"/>
      <c r="F676" s="33">
        <f>E676*0.05</f>
        <v/>
      </c>
      <c r="G676" s="33">
        <f>E676+F676</f>
        <v/>
      </c>
      <c r="H676" s="33" t="n"/>
      <c r="I676" s="33" t="n"/>
      <c r="J676" s="33" t="n"/>
      <c r="K676" s="33">
        <f>L676+M676+N676</f>
        <v/>
      </c>
      <c r="L676" s="33" t="n"/>
      <c r="M676" s="33" t="n"/>
      <c r="N676" s="33" t="n"/>
      <c r="O676" s="33">
        <f>P676+Q676</f>
        <v/>
      </c>
      <c r="P676" s="33" t="n"/>
      <c r="Q676" s="33" t="n"/>
      <c r="R676" s="33">
        <f>H676+K676-O676</f>
        <v/>
      </c>
      <c r="S676" s="33" t="n"/>
      <c r="T676" s="33" t="n"/>
      <c r="U676" s="33" t="n"/>
      <c r="V676" s="33" t="n"/>
      <c r="W676" s="33" t="n"/>
      <c r="X676" s="33" t="n"/>
      <c r="Y676" s="33" t="n"/>
      <c r="Z676" s="33" t="n"/>
      <c r="AA676" s="4">
        <f>R676-G676</f>
        <v/>
      </c>
      <c r="AB676" s="4">
        <f>G676-R676</f>
        <v/>
      </c>
      <c r="AC676" s="33" t="n"/>
    </row>
    <row r="677" ht="18.75" customHeight="1">
      <c r="A677" s="35">
        <f>SUBTOTAL(103,$B$24:B677)</f>
        <v/>
      </c>
      <c r="B677" s="36" t="inlineStr">
        <is>
          <t>Шафи холодильні ШХ-1,8</t>
        </is>
      </c>
      <c r="C677" s="37" t="inlineStr">
        <is>
          <t>к-т</t>
        </is>
      </c>
      <c r="D677" s="33" t="n"/>
      <c r="E677" s="33" t="n"/>
      <c r="F677" s="33">
        <f>E677*0.05</f>
        <v/>
      </c>
      <c r="G677" s="33">
        <f>E677+F677</f>
        <v/>
      </c>
      <c r="H677" s="33" t="n"/>
      <c r="I677" s="33" t="n"/>
      <c r="J677" s="33" t="n"/>
      <c r="K677" s="33">
        <f>L677+M677+N677</f>
        <v/>
      </c>
      <c r="L677" s="33" t="n"/>
      <c r="M677" s="33" t="n"/>
      <c r="N677" s="33" t="n"/>
      <c r="O677" s="33">
        <f>P677+Q677</f>
        <v/>
      </c>
      <c r="P677" s="33" t="n"/>
      <c r="Q677" s="33" t="n"/>
      <c r="R677" s="33">
        <f>H677+K677-O677</f>
        <v/>
      </c>
      <c r="S677" s="33" t="n"/>
      <c r="T677" s="33" t="n"/>
      <c r="U677" s="33" t="n"/>
      <c r="V677" s="33" t="n"/>
      <c r="W677" s="33" t="n"/>
      <c r="X677" s="33" t="n"/>
      <c r="Y677" s="33" t="n"/>
      <c r="Z677" s="33" t="n"/>
      <c r="AA677" s="4">
        <f>R677-G677</f>
        <v/>
      </c>
      <c r="AB677" s="4">
        <f>G677-R677</f>
        <v/>
      </c>
      <c r="AC677" s="33" t="n"/>
    </row>
    <row r="678" ht="18.75" customHeight="1">
      <c r="A678" s="35">
        <f>SUBTOTAL(103,$B$24:B678)</f>
        <v/>
      </c>
      <c r="B678" s="36" t="inlineStr">
        <is>
          <t>Шафи холодильні ШХ-1,5</t>
        </is>
      </c>
      <c r="C678" s="37" t="inlineStr">
        <is>
          <t>к-т</t>
        </is>
      </c>
      <c r="D678" s="33" t="n"/>
      <c r="E678" s="33" t="n"/>
      <c r="F678" s="33">
        <f>E678*0.05</f>
        <v/>
      </c>
      <c r="G678" s="33">
        <f>E678+F678</f>
        <v/>
      </c>
      <c r="H678" s="33" t="n"/>
      <c r="I678" s="33" t="n"/>
      <c r="J678" s="33" t="n"/>
      <c r="K678" s="33">
        <f>L678+M678+N678</f>
        <v/>
      </c>
      <c r="L678" s="33" t="n"/>
      <c r="M678" s="33" t="n"/>
      <c r="N678" s="33" t="n"/>
      <c r="O678" s="33">
        <f>P678+Q678</f>
        <v/>
      </c>
      <c r="P678" s="33" t="n"/>
      <c r="Q678" s="33" t="n"/>
      <c r="R678" s="33">
        <f>H678+K678-O678</f>
        <v/>
      </c>
      <c r="S678" s="33" t="n"/>
      <c r="T678" s="33" t="n"/>
      <c r="U678" s="33" t="n"/>
      <c r="V678" s="33" t="n"/>
      <c r="W678" s="33" t="n"/>
      <c r="X678" s="33" t="n"/>
      <c r="Y678" s="33" t="n"/>
      <c r="Z678" s="33" t="n"/>
      <c r="AA678" s="4">
        <f>R678-G678</f>
        <v/>
      </c>
      <c r="AB678" s="4">
        <f>G678-R678</f>
        <v/>
      </c>
      <c r="AC678" s="33" t="n"/>
    </row>
    <row r="679" ht="18.75" customHeight="1">
      <c r="A679" s="35">
        <f>SUBTOTAL(103,$B$24:B679)</f>
        <v/>
      </c>
      <c r="B679" s="36" t="inlineStr">
        <is>
          <t>Шафи холодильні ШХ-1,4</t>
        </is>
      </c>
      <c r="C679" s="37" t="inlineStr">
        <is>
          <t>к-т</t>
        </is>
      </c>
      <c r="D679" s="33" t="n"/>
      <c r="E679" s="33" t="n"/>
      <c r="F679" s="33">
        <f>E679*0.05</f>
        <v/>
      </c>
      <c r="G679" s="33">
        <f>E679+F679</f>
        <v/>
      </c>
      <c r="H679" s="33" t="n"/>
      <c r="I679" s="33" t="n"/>
      <c r="J679" s="33" t="n"/>
      <c r="K679" s="33">
        <f>L679+M679+N679</f>
        <v/>
      </c>
      <c r="L679" s="33" t="n"/>
      <c r="M679" s="33" t="n"/>
      <c r="N679" s="33" t="n"/>
      <c r="O679" s="33">
        <f>P679+Q679</f>
        <v/>
      </c>
      <c r="P679" s="33" t="n"/>
      <c r="Q679" s="33" t="n"/>
      <c r="R679" s="33">
        <f>H679+K679-O679</f>
        <v/>
      </c>
      <c r="S679" s="33" t="n"/>
      <c r="T679" s="33" t="n"/>
      <c r="U679" s="33" t="n"/>
      <c r="V679" s="33" t="n"/>
      <c r="W679" s="33" t="n"/>
      <c r="X679" s="33" t="n"/>
      <c r="Y679" s="33" t="n"/>
      <c r="Z679" s="33" t="n"/>
      <c r="AA679" s="4">
        <f>R679-G679</f>
        <v/>
      </c>
      <c r="AB679" s="4">
        <f>G679-R679</f>
        <v/>
      </c>
      <c r="AC679" s="33" t="n"/>
    </row>
    <row r="680" ht="18.75" customHeight="1">
      <c r="A680" s="35">
        <f>SUBTOTAL(103,$B$24:B680)</f>
        <v/>
      </c>
      <c r="B680" s="42" t="inlineStr">
        <is>
          <t>Шафи холодильні ШХ-1,25</t>
        </is>
      </c>
      <c r="C680" s="37" t="inlineStr">
        <is>
          <t>к-т</t>
        </is>
      </c>
      <c r="D680" s="33" t="n"/>
      <c r="E680" s="33" t="n"/>
      <c r="F680" s="33">
        <f>E680*0.05</f>
        <v/>
      </c>
      <c r="G680" s="33">
        <f>E680+F680</f>
        <v/>
      </c>
      <c r="H680" s="33" t="n"/>
      <c r="I680" s="33" t="n"/>
      <c r="J680" s="33" t="n"/>
      <c r="K680" s="33">
        <f>L680+M680+N680</f>
        <v/>
      </c>
      <c r="L680" s="33" t="n"/>
      <c r="M680" s="33" t="n"/>
      <c r="N680" s="33" t="n"/>
      <c r="O680" s="33">
        <f>P680+Q680</f>
        <v/>
      </c>
      <c r="P680" s="33" t="n"/>
      <c r="Q680" s="33" t="n"/>
      <c r="R680" s="33">
        <f>H680+K680-O680</f>
        <v/>
      </c>
      <c r="S680" s="33" t="n"/>
      <c r="T680" s="33" t="n"/>
      <c r="U680" s="33" t="n"/>
      <c r="V680" s="33" t="n"/>
      <c r="W680" s="33" t="n"/>
      <c r="X680" s="33" t="n"/>
      <c r="Y680" s="33" t="n"/>
      <c r="Z680" s="33" t="n"/>
      <c r="AA680" s="4">
        <f>R680-G680</f>
        <v/>
      </c>
      <c r="AB680" s="4">
        <f>G680-R680</f>
        <v/>
      </c>
      <c r="AC680" s="33" t="n"/>
    </row>
    <row r="681" ht="18.75" customHeight="1">
      <c r="A681" s="35">
        <f>SUBTOTAL(103,$B$24:B681)</f>
        <v/>
      </c>
      <c r="B681" s="42" t="inlineStr">
        <is>
          <t xml:space="preserve">Шафи холодильні ШХ-1,2 </t>
        </is>
      </c>
      <c r="C681" s="37" t="inlineStr">
        <is>
          <t>к-т</t>
        </is>
      </c>
      <c r="D681" s="33" t="n"/>
      <c r="E681" s="33" t="n"/>
      <c r="F681" s="33">
        <f>E681*0.05</f>
        <v/>
      </c>
      <c r="G681" s="33">
        <f>E681+F681</f>
        <v/>
      </c>
      <c r="H681" s="33" t="n"/>
      <c r="I681" s="33" t="n"/>
      <c r="J681" s="33" t="n"/>
      <c r="K681" s="33">
        <f>L681+M681+N681</f>
        <v/>
      </c>
      <c r="L681" s="33" t="n"/>
      <c r="M681" s="33" t="n"/>
      <c r="N681" s="33" t="n"/>
      <c r="O681" s="33">
        <f>P681+Q681</f>
        <v/>
      </c>
      <c r="P681" s="33" t="n"/>
      <c r="Q681" s="33" t="n"/>
      <c r="R681" s="33">
        <f>H681+K681-O681</f>
        <v/>
      </c>
      <c r="S681" s="33" t="n"/>
      <c r="T681" s="33" t="n"/>
      <c r="U681" s="33" t="n"/>
      <c r="V681" s="33" t="n"/>
      <c r="W681" s="33" t="n"/>
      <c r="X681" s="33" t="n"/>
      <c r="Y681" s="33" t="n"/>
      <c r="Z681" s="33" t="n"/>
      <c r="AA681" s="4">
        <f>R681-G681</f>
        <v/>
      </c>
      <c r="AB681" s="4">
        <f>G681-R681</f>
        <v/>
      </c>
      <c r="AC681" s="33" t="n"/>
    </row>
    <row r="682" ht="18.75" customHeight="1">
      <c r="A682" s="35">
        <f>SUBTOTAL(103,$B$24:B682)</f>
        <v/>
      </c>
      <c r="B682" s="42" t="inlineStr">
        <is>
          <t>Шафи холодильні ШХ-1,12</t>
        </is>
      </c>
      <c r="C682" s="37" t="inlineStr">
        <is>
          <t>к-т</t>
        </is>
      </c>
      <c r="D682" s="33" t="n"/>
      <c r="E682" s="33" t="n"/>
      <c r="F682" s="33">
        <f>E682*0.05</f>
        <v/>
      </c>
      <c r="G682" s="33">
        <f>E682+F682</f>
        <v/>
      </c>
      <c r="H682" s="33" t="n"/>
      <c r="I682" s="33" t="n"/>
      <c r="J682" s="33" t="n"/>
      <c r="K682" s="33">
        <f>L682+M682+N682</f>
        <v/>
      </c>
      <c r="L682" s="33" t="n"/>
      <c r="M682" s="33" t="n"/>
      <c r="N682" s="33" t="n"/>
      <c r="O682" s="33">
        <f>P682+Q682</f>
        <v/>
      </c>
      <c r="P682" s="33" t="n"/>
      <c r="Q682" s="33" t="n"/>
      <c r="R682" s="33">
        <f>H682+K682-O682</f>
        <v/>
      </c>
      <c r="S682" s="33" t="n"/>
      <c r="T682" s="33" t="n"/>
      <c r="U682" s="33" t="n"/>
      <c r="V682" s="33" t="n"/>
      <c r="W682" s="33" t="n"/>
      <c r="X682" s="33" t="n"/>
      <c r="Y682" s="33" t="n"/>
      <c r="Z682" s="33" t="n"/>
      <c r="AA682" s="4">
        <f>R682-G682</f>
        <v/>
      </c>
      <c r="AB682" s="4">
        <f>G682-R682</f>
        <v/>
      </c>
      <c r="AC682" s="33" t="n"/>
      <c r="MW682" s="74" t="n">
        <v>5</v>
      </c>
    </row>
    <row r="683" ht="18.75" customHeight="1">
      <c r="A683" s="35">
        <f>SUBTOTAL(103,$B$24:B683)</f>
        <v/>
      </c>
      <c r="B683" s="42" t="inlineStr">
        <is>
          <t>Шафи холодильні ШХ-1,09</t>
        </is>
      </c>
      <c r="C683" s="37" t="inlineStr">
        <is>
          <t>к-т</t>
        </is>
      </c>
      <c r="D683" s="33" t="n"/>
      <c r="E683" s="33" t="n"/>
      <c r="F683" s="33">
        <f>E683*0.05</f>
        <v/>
      </c>
      <c r="G683" s="33">
        <f>E683+F683</f>
        <v/>
      </c>
      <c r="H683" s="33" t="n"/>
      <c r="I683" s="33" t="n"/>
      <c r="J683" s="33" t="n"/>
      <c r="K683" s="33">
        <f>L683+M683+N683</f>
        <v/>
      </c>
      <c r="L683" s="33" t="n"/>
      <c r="M683" s="33" t="n"/>
      <c r="N683" s="33" t="n"/>
      <c r="O683" s="33">
        <f>P683+Q683</f>
        <v/>
      </c>
      <c r="P683" s="33" t="n"/>
      <c r="Q683" s="33" t="n"/>
      <c r="R683" s="33">
        <f>H683+K683-O683</f>
        <v/>
      </c>
      <c r="S683" s="33" t="n"/>
      <c r="T683" s="33" t="n"/>
      <c r="U683" s="33" t="n"/>
      <c r="V683" s="33" t="n"/>
      <c r="W683" s="33" t="n"/>
      <c r="X683" s="33" t="n"/>
      <c r="Y683" s="33" t="n"/>
      <c r="Z683" s="33" t="n"/>
      <c r="AA683" s="4">
        <f>R683-G683</f>
        <v/>
      </c>
      <c r="AB683" s="4">
        <f>G683-R683</f>
        <v/>
      </c>
      <c r="AC683" s="33" t="n"/>
    </row>
    <row r="684" ht="18.75" customHeight="1">
      <c r="A684" s="35">
        <f>SUBTOTAL(103,$B$24:B684)</f>
        <v/>
      </c>
      <c r="B684" s="42" t="inlineStr">
        <is>
          <t>Шафи холодильні ШХ-0,8</t>
        </is>
      </c>
      <c r="C684" s="37" t="inlineStr">
        <is>
          <t>к-т</t>
        </is>
      </c>
      <c r="D684" s="33" t="n"/>
      <c r="E684" s="33" t="n"/>
      <c r="F684" s="33">
        <f>E684*0.05</f>
        <v/>
      </c>
      <c r="G684" s="33">
        <f>E684+F684</f>
        <v/>
      </c>
      <c r="H684" s="33" t="n"/>
      <c r="I684" s="33" t="n"/>
      <c r="J684" s="33" t="n"/>
      <c r="K684" s="33">
        <f>L684+M684+N684</f>
        <v/>
      </c>
      <c r="L684" s="33" t="n"/>
      <c r="M684" s="33" t="n"/>
      <c r="N684" s="33" t="n"/>
      <c r="O684" s="33">
        <f>P684+Q684</f>
        <v/>
      </c>
      <c r="P684" s="33" t="n"/>
      <c r="Q684" s="33" t="n"/>
      <c r="R684" s="33">
        <f>H684+K684-O684</f>
        <v/>
      </c>
      <c r="S684" s="33" t="n"/>
      <c r="T684" s="33" t="n"/>
      <c r="U684" s="33" t="n"/>
      <c r="V684" s="33" t="n"/>
      <c r="W684" s="33" t="n"/>
      <c r="X684" s="33" t="n"/>
      <c r="Y684" s="33" t="n"/>
      <c r="Z684" s="33" t="n"/>
      <c r="AA684" s="4">
        <f>R684-G684</f>
        <v/>
      </c>
      <c r="AB684" s="4">
        <f>G684-R684</f>
        <v/>
      </c>
      <c r="AC684" s="33" t="n"/>
    </row>
    <row r="685" ht="18.75" customHeight="1">
      <c r="A685" s="35">
        <f>SUBTOTAL(103,$B$24:B685)</f>
        <v/>
      </c>
      <c r="B685" s="36" t="inlineStr">
        <is>
          <t>Шафи холодильні ШХ-0,9</t>
        </is>
      </c>
      <c r="C685" s="37" t="inlineStr">
        <is>
          <t>к-т</t>
        </is>
      </c>
      <c r="D685" s="33" t="n"/>
      <c r="E685" s="33" t="n"/>
      <c r="F685" s="33">
        <f>E685*0.05</f>
        <v/>
      </c>
      <c r="G685" s="33">
        <f>E685+F685</f>
        <v/>
      </c>
      <c r="H685" s="33" t="n"/>
      <c r="I685" s="33" t="n"/>
      <c r="J685" s="33" t="n"/>
      <c r="K685" s="33">
        <f>L685+M685+N685</f>
        <v/>
      </c>
      <c r="L685" s="33" t="n"/>
      <c r="M685" s="33" t="n"/>
      <c r="N685" s="33" t="n"/>
      <c r="O685" s="33">
        <f>P685+Q685</f>
        <v/>
      </c>
      <c r="P685" s="33" t="n"/>
      <c r="Q685" s="33" t="n"/>
      <c r="R685" s="33">
        <f>H685+K685-O685</f>
        <v/>
      </c>
      <c r="S685" s="33" t="n"/>
      <c r="T685" s="33" t="n"/>
      <c r="U685" s="33" t="n"/>
      <c r="V685" s="33" t="n"/>
      <c r="W685" s="33" t="n"/>
      <c r="X685" s="33" t="n"/>
      <c r="Y685" s="33" t="n"/>
      <c r="Z685" s="33" t="n"/>
      <c r="AA685" s="4">
        <f>R685-G685</f>
        <v/>
      </c>
      <c r="AB685" s="4">
        <f>G685-R685</f>
        <v/>
      </c>
      <c r="AC685" s="33" t="n"/>
    </row>
    <row r="686" ht="18.75" customHeight="1">
      <c r="A686" s="35">
        <f>SUBTOTAL(103,$B$24:B686)</f>
        <v/>
      </c>
      <c r="B686" s="36" t="inlineStr">
        <is>
          <t>Шафи холодильні ШХ-0,6</t>
        </is>
      </c>
      <c r="C686" s="37" t="inlineStr">
        <is>
          <t>к-т</t>
        </is>
      </c>
      <c r="D686" s="33" t="n"/>
      <c r="E686" s="33" t="n"/>
      <c r="F686" s="33">
        <f>E686*0.05</f>
        <v/>
      </c>
      <c r="G686" s="33">
        <f>E686+F686</f>
        <v/>
      </c>
      <c r="H686" s="33" t="n"/>
      <c r="I686" s="33" t="n"/>
      <c r="J686" s="33" t="n"/>
      <c r="K686" s="33">
        <f>L686+M686+N686</f>
        <v/>
      </c>
      <c r="L686" s="33" t="n"/>
      <c r="M686" s="33" t="n"/>
      <c r="N686" s="33" t="n"/>
      <c r="O686" s="33">
        <f>P686+Q686</f>
        <v/>
      </c>
      <c r="P686" s="33" t="n"/>
      <c r="Q686" s="33" t="n"/>
      <c r="R686" s="33">
        <f>H686+K686-O686</f>
        <v/>
      </c>
      <c r="S686" s="33" t="n"/>
      <c r="T686" s="33" t="n"/>
      <c r="U686" s="33" t="n"/>
      <c r="V686" s="33" t="n"/>
      <c r="W686" s="33" t="n"/>
      <c r="X686" s="33" t="n"/>
      <c r="Y686" s="33" t="n"/>
      <c r="Z686" s="33" t="n"/>
      <c r="AA686" s="4">
        <f>R686-G686</f>
        <v/>
      </c>
      <c r="AB686" s="4">
        <f>G686-R686</f>
        <v/>
      </c>
      <c r="AC686" s="33" t="n"/>
    </row>
    <row r="687" ht="18.75" customHeight="1">
      <c r="A687" s="35">
        <f>SUBTOTAL(103,$B$24:B687)</f>
        <v/>
      </c>
      <c r="B687" s="36" t="inlineStr">
        <is>
          <t>Шафи холодильні ШХС-0,6</t>
        </is>
      </c>
      <c r="C687" s="37" t="inlineStr">
        <is>
          <t>к-т</t>
        </is>
      </c>
      <c r="D687" s="33" t="n"/>
      <c r="E687" s="33" t="n"/>
      <c r="F687" s="33">
        <f>E687*0.05</f>
        <v/>
      </c>
      <c r="G687" s="33">
        <f>E687+F687</f>
        <v/>
      </c>
      <c r="H687" s="33" t="n"/>
      <c r="I687" s="33" t="n"/>
      <c r="J687" s="33" t="n"/>
      <c r="K687" s="33">
        <f>L687+M687+N687</f>
        <v/>
      </c>
      <c r="L687" s="33" t="n"/>
      <c r="M687" s="33" t="n"/>
      <c r="N687" s="33" t="n"/>
      <c r="O687" s="33">
        <f>P687+Q687</f>
        <v/>
      </c>
      <c r="P687" s="33" t="n"/>
      <c r="Q687" s="33" t="n"/>
      <c r="R687" s="33">
        <f>H687+K687-O687</f>
        <v/>
      </c>
      <c r="S687" s="33" t="n"/>
      <c r="T687" s="33" t="n"/>
      <c r="U687" s="33" t="n"/>
      <c r="V687" s="33" t="n"/>
      <c r="W687" s="33" t="n"/>
      <c r="X687" s="33" t="n"/>
      <c r="Y687" s="33" t="n"/>
      <c r="Z687" s="33" t="n"/>
      <c r="AA687" s="4">
        <f>R687-G687</f>
        <v/>
      </c>
      <c r="AB687" s="4">
        <f>G687-R687</f>
        <v/>
      </c>
      <c r="AC687" s="33" t="n"/>
    </row>
    <row r="688" ht="18.75" customHeight="1">
      <c r="A688" s="35">
        <f>SUBTOTAL(103,$B$24:B688)</f>
        <v/>
      </c>
      <c r="B688" s="36" t="inlineStr">
        <is>
          <t>Шафи холодильні ШХ-0,56</t>
        </is>
      </c>
      <c r="C688" s="37" t="inlineStr">
        <is>
          <t>к-т</t>
        </is>
      </c>
      <c r="D688" s="33" t="n"/>
      <c r="E688" s="33" t="n"/>
      <c r="F688" s="33">
        <f>E688*0.05</f>
        <v/>
      </c>
      <c r="G688" s="33">
        <f>E688+F688</f>
        <v/>
      </c>
      <c r="H688" s="33" t="n"/>
      <c r="I688" s="33" t="n"/>
      <c r="J688" s="33" t="n"/>
      <c r="K688" s="33">
        <f>L688+M688+N688</f>
        <v/>
      </c>
      <c r="L688" s="33" t="n"/>
      <c r="M688" s="33" t="n"/>
      <c r="N688" s="33" t="n"/>
      <c r="O688" s="33">
        <f>P688+Q688</f>
        <v/>
      </c>
      <c r="P688" s="33" t="n"/>
      <c r="Q688" s="33" t="n"/>
      <c r="R688" s="33">
        <f>H688+K688-O688</f>
        <v/>
      </c>
      <c r="S688" s="33" t="n"/>
      <c r="T688" s="33" t="n"/>
      <c r="U688" s="33" t="n"/>
      <c r="V688" s="33" t="n"/>
      <c r="W688" s="33" t="n"/>
      <c r="X688" s="33" t="n"/>
      <c r="Y688" s="33" t="n"/>
      <c r="Z688" s="33" t="n"/>
      <c r="AA688" s="4">
        <f>R688-G688</f>
        <v/>
      </c>
      <c r="AB688" s="4">
        <f>G688-R688</f>
        <v/>
      </c>
      <c r="AC688" s="33" t="n"/>
    </row>
    <row r="689" ht="18.75" customHeight="1">
      <c r="A689" s="35">
        <f>SUBTOTAL(103,$B$24:B689)</f>
        <v/>
      </c>
      <c r="B689" s="36" t="inlineStr">
        <is>
          <t>Шафи холодильні ШХД-0,32</t>
        </is>
      </c>
      <c r="C689" s="37" t="inlineStr">
        <is>
          <t>к-т</t>
        </is>
      </c>
      <c r="D689" s="33" t="n"/>
      <c r="E689" s="33" t="n"/>
      <c r="F689" s="33">
        <f>E689*0.05</f>
        <v/>
      </c>
      <c r="G689" s="33">
        <f>E689+F689</f>
        <v/>
      </c>
      <c r="H689" s="33" t="n"/>
      <c r="I689" s="33" t="n"/>
      <c r="J689" s="33" t="n"/>
      <c r="K689" s="33">
        <f>L689+M689+N689</f>
        <v/>
      </c>
      <c r="L689" s="33" t="n"/>
      <c r="M689" s="33" t="n"/>
      <c r="N689" s="33" t="n"/>
      <c r="O689" s="33">
        <f>P689+Q689</f>
        <v/>
      </c>
      <c r="P689" s="33" t="n"/>
      <c r="Q689" s="33" t="n"/>
      <c r="R689" s="33">
        <f>H689+K689-O689</f>
        <v/>
      </c>
      <c r="S689" s="33" t="n"/>
      <c r="T689" s="33" t="n"/>
      <c r="U689" s="33" t="n"/>
      <c r="V689" s="33" t="n"/>
      <c r="W689" s="33" t="n"/>
      <c r="X689" s="33" t="n"/>
      <c r="Y689" s="33" t="n"/>
      <c r="Z689" s="33" t="n"/>
      <c r="AA689" s="4">
        <f>R689-G689</f>
        <v/>
      </c>
      <c r="AB689" s="4">
        <f>G689-R689</f>
        <v/>
      </c>
      <c r="AC689" s="33" t="n"/>
    </row>
    <row r="690" ht="18.75" customHeight="1">
      <c r="A690" s="35">
        <f>SUBTOTAL(103,$B$24:B690)</f>
        <v/>
      </c>
      <c r="B690" s="36" t="inlineStr">
        <is>
          <t>Шафа холодильна СМ-107-5</t>
        </is>
      </c>
      <c r="C690" s="37" t="inlineStr">
        <is>
          <t>к-т</t>
        </is>
      </c>
      <c r="D690" s="33" t="n"/>
      <c r="E690" s="33" t="n"/>
      <c r="F690" s="33">
        <f>E690*0.05</f>
        <v/>
      </c>
      <c r="G690" s="33">
        <f>E690+F690</f>
        <v/>
      </c>
      <c r="H690" s="33" t="n"/>
      <c r="I690" s="33" t="n"/>
      <c r="J690" s="33" t="n"/>
      <c r="K690" s="33">
        <f>L690+M690+N690</f>
        <v/>
      </c>
      <c r="L690" s="33" t="n"/>
      <c r="M690" s="33" t="n"/>
      <c r="N690" s="33" t="n"/>
      <c r="O690" s="33">
        <f>P690+Q690</f>
        <v/>
      </c>
      <c r="P690" s="33" t="n"/>
      <c r="Q690" s="33" t="n"/>
      <c r="R690" s="33">
        <f>H690+K690-O690</f>
        <v/>
      </c>
      <c r="S690" s="33" t="n"/>
      <c r="T690" s="33" t="n"/>
      <c r="U690" s="33" t="n"/>
      <c r="V690" s="33" t="n"/>
      <c r="W690" s="33" t="n"/>
      <c r="X690" s="33" t="n"/>
      <c r="Y690" s="33" t="n"/>
      <c r="Z690" s="33" t="n"/>
      <c r="AA690" s="4">
        <f>R690-G690</f>
        <v/>
      </c>
      <c r="AB690" s="4">
        <f>G690-R690</f>
        <v/>
      </c>
      <c r="AC690" s="33" t="n"/>
    </row>
    <row r="691" ht="18.75" customHeight="1">
      <c r="A691" s="35">
        <f>SUBTOTAL(103,$B$24:B691)</f>
        <v/>
      </c>
      <c r="B691" s="36" t="inlineStr">
        <is>
          <t>Шафа холодильна REEDNEE</t>
        </is>
      </c>
      <c r="C691" s="37" t="inlineStr">
        <is>
          <t>к-т</t>
        </is>
      </c>
      <c r="D691" s="33" t="n"/>
      <c r="E691" s="33" t="n"/>
      <c r="F691" s="33">
        <f>E691*0.05</f>
        <v/>
      </c>
      <c r="G691" s="33">
        <f>E691+F691</f>
        <v/>
      </c>
      <c r="H691" s="33" t="n"/>
      <c r="I691" s="33" t="n"/>
      <c r="J691" s="33" t="n"/>
      <c r="K691" s="33">
        <f>L691+M691+N691</f>
        <v/>
      </c>
      <c r="L691" s="33" t="n"/>
      <c r="M691" s="33" t="n"/>
      <c r="N691" s="33" t="n"/>
      <c r="O691" s="33">
        <f>P691+Q691</f>
        <v/>
      </c>
      <c r="P691" s="33" t="n"/>
      <c r="Q691" s="33" t="n"/>
      <c r="R691" s="33">
        <f>H691+K691-O691</f>
        <v/>
      </c>
      <c r="S691" s="33" t="n"/>
      <c r="T691" s="33" t="n"/>
      <c r="U691" s="33" t="n"/>
      <c r="V691" s="33" t="n"/>
      <c r="W691" s="33" t="n"/>
      <c r="X691" s="33" t="n"/>
      <c r="Y691" s="33" t="n"/>
      <c r="Z691" s="33" t="n"/>
      <c r="AA691" s="4">
        <f>R691-G691</f>
        <v/>
      </c>
      <c r="AB691" s="4">
        <f>G691-R691</f>
        <v/>
      </c>
      <c r="AC691" s="33" t="n"/>
    </row>
    <row r="692" ht="56.25" customHeight="1">
      <c r="A692" s="35">
        <f>SUBTOTAL(103,$B$24:B692)</f>
        <v/>
      </c>
      <c r="B692" s="36" t="inlineStr">
        <is>
          <t>Скриня холодильна низькотемпературна з обємом 250-300 л. Elenberg CF-301-O</t>
        </is>
      </c>
      <c r="C692" s="37" t="inlineStr">
        <is>
          <t>к-т</t>
        </is>
      </c>
      <c r="D692" s="33" t="n"/>
      <c r="E692" s="33" t="n"/>
      <c r="F692" s="33">
        <f>E692*0.05</f>
        <v/>
      </c>
      <c r="G692" s="33">
        <f>E692+F692</f>
        <v/>
      </c>
      <c r="H692" s="33" t="n"/>
      <c r="I692" s="33" t="n"/>
      <c r="J692" s="33" t="n"/>
      <c r="K692" s="33">
        <f>L692+M692+N692</f>
        <v/>
      </c>
      <c r="L692" s="33" t="n"/>
      <c r="M692" s="33" t="n"/>
      <c r="N692" s="33" t="n"/>
      <c r="O692" s="33">
        <f>P692+Q692</f>
        <v/>
      </c>
      <c r="P692" s="33" t="n"/>
      <c r="Q692" s="33" t="n"/>
      <c r="R692" s="33">
        <f>H692+K692-O692</f>
        <v/>
      </c>
      <c r="S692" s="33" t="n"/>
      <c r="T692" s="33" t="n"/>
      <c r="U692" s="33" t="n"/>
      <c r="V692" s="33" t="n"/>
      <c r="W692" s="33" t="n"/>
      <c r="X692" s="33" t="n"/>
      <c r="Y692" s="33" t="n"/>
      <c r="Z692" s="33" t="n"/>
      <c r="AA692" s="4">
        <f>R692-G692</f>
        <v/>
      </c>
      <c r="AB692" s="4">
        <f>G692-R692</f>
        <v/>
      </c>
      <c r="AC692" s="33" t="n"/>
    </row>
    <row r="693" ht="37.5" customHeight="1">
      <c r="A693" s="35">
        <f>SUBTOTAL(103,$B$24:B693)</f>
        <v/>
      </c>
      <c r="B693" s="36" t="inlineStr">
        <is>
          <t>Шафи холодильна GORENJE R615FEW 5</t>
        </is>
      </c>
      <c r="C693" s="37" t="inlineStr">
        <is>
          <t>к-т</t>
        </is>
      </c>
      <c r="D693" s="33" t="n"/>
      <c r="E693" s="33" t="n"/>
      <c r="F693" s="33">
        <f>E693*0.05</f>
        <v/>
      </c>
      <c r="G693" s="33">
        <f>E693+F693</f>
        <v/>
      </c>
      <c r="H693" s="33" t="n"/>
      <c r="I693" s="33" t="n"/>
      <c r="J693" s="33" t="n"/>
      <c r="K693" s="33">
        <f>L693+M693+N693</f>
        <v/>
      </c>
      <c r="L693" s="33" t="n"/>
      <c r="M693" s="33" t="n"/>
      <c r="N693" s="33" t="n"/>
      <c r="O693" s="33">
        <f>P693+Q693</f>
        <v/>
      </c>
      <c r="P693" s="33" t="n"/>
      <c r="Q693" s="33" t="n"/>
      <c r="R693" s="33">
        <f>H693+K693-O693</f>
        <v/>
      </c>
      <c r="S693" s="33" t="n"/>
      <c r="T693" s="33" t="n"/>
      <c r="U693" s="33" t="n"/>
      <c r="V693" s="33" t="n"/>
      <c r="W693" s="33" t="n"/>
      <c r="X693" s="33" t="n"/>
      <c r="Y693" s="33" t="n"/>
      <c r="Z693" s="33" t="n"/>
      <c r="AA693" s="4">
        <f>R693-G693</f>
        <v/>
      </c>
      <c r="AB693" s="4">
        <f>G693-R693</f>
        <v/>
      </c>
      <c r="AC693" s="33" t="n"/>
    </row>
    <row r="694" ht="37.5" customHeight="1">
      <c r="A694" s="35">
        <f>SUBTOTAL(103,$B$24:B694)</f>
        <v/>
      </c>
      <c r="B694" s="36" t="inlineStr">
        <is>
          <t>Шафа (скриня) холодильна низькотемпературна Arctic (100-150 л.)</t>
        </is>
      </c>
      <c r="C694" s="37" t="inlineStr">
        <is>
          <t>к-т</t>
        </is>
      </c>
      <c r="D694" s="33" t="n"/>
      <c r="E694" s="33" t="n"/>
      <c r="F694" s="33">
        <f>E694*0.05</f>
        <v/>
      </c>
      <c r="G694" s="33">
        <f>E694+F694</f>
        <v/>
      </c>
      <c r="H694" s="33" t="n"/>
      <c r="I694" s="33" t="n"/>
      <c r="J694" s="33" t="n"/>
      <c r="K694" s="33">
        <f>L694+M694+N694</f>
        <v/>
      </c>
      <c r="L694" s="33" t="n"/>
      <c r="M694" s="33" t="n"/>
      <c r="N694" s="33" t="n"/>
      <c r="O694" s="33">
        <f>P694+Q694</f>
        <v/>
      </c>
      <c r="P694" s="33" t="n"/>
      <c r="Q694" s="33" t="n"/>
      <c r="R694" s="33">
        <f>H694+K694-O694</f>
        <v/>
      </c>
      <c r="S694" s="33" t="n"/>
      <c r="T694" s="33" t="n"/>
      <c r="U694" s="33" t="n"/>
      <c r="V694" s="33" t="n"/>
      <c r="W694" s="33" t="n"/>
      <c r="X694" s="33" t="n"/>
      <c r="Y694" s="33" t="n"/>
      <c r="Z694" s="33" t="n"/>
      <c r="AA694" s="4">
        <f>R694-G694</f>
        <v/>
      </c>
      <c r="AB694" s="4">
        <f>G694-R694</f>
        <v/>
      </c>
      <c r="AC694" s="33" t="n"/>
    </row>
    <row r="695" ht="56.25" customHeight="1">
      <c r="A695" s="35">
        <f>SUBTOTAL(103,$B$24:B695)</f>
        <v/>
      </c>
      <c r="B695" s="36" t="inlineStr">
        <is>
          <t>Шафи (скриня) холодильна низькотемпературна ARCTIC ARL-260 (250-300 л.)</t>
        </is>
      </c>
      <c r="C695" s="37" t="inlineStr">
        <is>
          <t>к-т</t>
        </is>
      </c>
      <c r="D695" s="33" t="n"/>
      <c r="E695" s="33" t="n"/>
      <c r="F695" s="33">
        <f>E695*0.05</f>
        <v/>
      </c>
      <c r="G695" s="33">
        <f>E695+F695</f>
        <v/>
      </c>
      <c r="H695" s="33" t="n"/>
      <c r="I695" s="33" t="n"/>
      <c r="J695" s="33" t="n"/>
      <c r="K695" s="33">
        <f>L695+M695+N695</f>
        <v/>
      </c>
      <c r="L695" s="33" t="n"/>
      <c r="M695" s="33" t="n"/>
      <c r="N695" s="33" t="n"/>
      <c r="O695" s="33">
        <f>P695+Q695</f>
        <v/>
      </c>
      <c r="P695" s="33" t="n"/>
      <c r="Q695" s="33" t="n"/>
      <c r="R695" s="33">
        <f>H695+K695-O695</f>
        <v/>
      </c>
      <c r="S695" s="33" t="n"/>
      <c r="T695" s="33" t="n"/>
      <c r="U695" s="33" t="n"/>
      <c r="V695" s="33" t="n"/>
      <c r="W695" s="33" t="n"/>
      <c r="X695" s="33" t="n"/>
      <c r="Y695" s="33" t="n"/>
      <c r="Z695" s="33" t="n"/>
      <c r="AA695" s="4">
        <f>R695-G695</f>
        <v/>
      </c>
      <c r="AB695" s="4">
        <f>G695-R695</f>
        <v/>
      </c>
      <c r="AC695" s="33" t="n"/>
    </row>
    <row r="696" ht="56.25" customHeight="1">
      <c r="A696" s="35">
        <f>SUBTOTAL(103,$B$24:B696)</f>
        <v/>
      </c>
      <c r="B696" s="36" t="inlineStr">
        <is>
          <t>Шафа (скриня) холодильна низькотемпературна обємом 320-500 л. (Artic ARL-320)</t>
        </is>
      </c>
      <c r="C696" s="37" t="inlineStr">
        <is>
          <t>к-т</t>
        </is>
      </c>
      <c r="D696" s="33" t="n"/>
      <c r="E696" s="33" t="n"/>
      <c r="F696" s="33">
        <f>E696*0.05</f>
        <v/>
      </c>
      <c r="G696" s="33">
        <f>E696+F696</f>
        <v/>
      </c>
      <c r="H696" s="33" t="n"/>
      <c r="I696" s="33" t="n"/>
      <c r="J696" s="33" t="n"/>
      <c r="K696" s="33">
        <f>L696+M696+N696</f>
        <v/>
      </c>
      <c r="L696" s="33" t="n"/>
      <c r="M696" s="33" t="n"/>
      <c r="N696" s="33" t="n"/>
      <c r="O696" s="33">
        <f>P696+Q696</f>
        <v/>
      </c>
      <c r="P696" s="33" t="n"/>
      <c r="Q696" s="33" t="n"/>
      <c r="R696" s="33">
        <f>H696+K696-O696</f>
        <v/>
      </c>
      <c r="S696" s="33" t="n"/>
      <c r="T696" s="33" t="n"/>
      <c r="U696" s="33" t="n"/>
      <c r="V696" s="33" t="n"/>
      <c r="W696" s="33" t="n"/>
      <c r="X696" s="33" t="n"/>
      <c r="Y696" s="33" t="n"/>
      <c r="Z696" s="33" t="n"/>
      <c r="AA696" s="4">
        <f>R696-G696</f>
        <v/>
      </c>
      <c r="AB696" s="4">
        <f>G696-R696</f>
        <v/>
      </c>
      <c r="AC696" s="33" t="n"/>
    </row>
    <row r="697" ht="56.25" customHeight="1">
      <c r="A697" s="35">
        <f>SUBTOTAL(103,$B$24:B697)</f>
        <v/>
      </c>
      <c r="B697" s="36" t="inlineStr">
        <is>
          <t>Шафа холодильна низькотемпературна (морозильна) скриня Arctic ARLF-350 (720 л.)</t>
        </is>
      </c>
      <c r="C697" s="37" t="inlineStr">
        <is>
          <t>шт.</t>
        </is>
      </c>
      <c r="D697" s="33" t="n"/>
      <c r="E697" s="33" t="n"/>
      <c r="F697" s="33">
        <f>E697*0.05</f>
        <v/>
      </c>
      <c r="G697" s="33">
        <f>E697+F697</f>
        <v/>
      </c>
      <c r="H697" s="33" t="n"/>
      <c r="I697" s="33" t="n"/>
      <c r="J697" s="33" t="n"/>
      <c r="K697" s="33">
        <f>L697+M697+N697</f>
        <v/>
      </c>
      <c r="L697" s="33" t="n"/>
      <c r="M697" s="33" t="n"/>
      <c r="N697" s="33" t="n"/>
      <c r="O697" s="33">
        <f>P697+Q697</f>
        <v/>
      </c>
      <c r="P697" s="33" t="n"/>
      <c r="Q697" s="33" t="n"/>
      <c r="R697" s="33">
        <f>H697+K697-O697</f>
        <v/>
      </c>
      <c r="S697" s="33" t="n"/>
      <c r="T697" s="33" t="n"/>
      <c r="U697" s="33" t="n"/>
      <c r="V697" s="33" t="n"/>
      <c r="W697" s="33" t="n"/>
      <c r="X697" s="33" t="n"/>
      <c r="Y697" s="33" t="n"/>
      <c r="Z697" s="33" t="n"/>
      <c r="AA697" s="4">
        <f>R697-G697</f>
        <v/>
      </c>
      <c r="AB697" s="4">
        <f>G697-R697</f>
        <v/>
      </c>
      <c r="AC697" s="33" t="n"/>
    </row>
    <row r="698" ht="37.5" customHeight="1">
      <c r="A698" s="35">
        <f>SUBTOTAL(103,$B$24:B698)</f>
        <v/>
      </c>
      <c r="B698" s="36" t="inlineStr">
        <is>
          <t>Скриня морозильна GRUNHELM GCFW-508</t>
        </is>
      </c>
      <c r="C698" s="37" t="n"/>
      <c r="D698" s="33" t="n"/>
      <c r="E698" s="33" t="n"/>
      <c r="F698" s="33">
        <f>E698*0.05</f>
        <v/>
      </c>
      <c r="G698" s="33">
        <f>E698+F698</f>
        <v/>
      </c>
      <c r="H698" s="33" t="n"/>
      <c r="I698" s="33" t="n"/>
      <c r="J698" s="33" t="n"/>
      <c r="K698" s="33">
        <f>L698+M698+N698</f>
        <v/>
      </c>
      <c r="L698" s="33" t="n"/>
      <c r="M698" s="33" t="n"/>
      <c r="N698" s="33" t="n"/>
      <c r="O698" s="33">
        <f>P698+Q698</f>
        <v/>
      </c>
      <c r="P698" s="33" t="n"/>
      <c r="Q698" s="33" t="n"/>
      <c r="R698" s="33">
        <f>H698+K698-O698</f>
        <v/>
      </c>
      <c r="S698" s="33" t="n"/>
      <c r="T698" s="33" t="n"/>
      <c r="U698" s="33" t="n"/>
      <c r="V698" s="33" t="n"/>
      <c r="W698" s="33" t="n"/>
      <c r="X698" s="33" t="n"/>
      <c r="Y698" s="33" t="n"/>
      <c r="Z698" s="33" t="n"/>
      <c r="AA698" s="4">
        <f>R698-G698</f>
        <v/>
      </c>
      <c r="AB698" s="4">
        <f>G698-R698</f>
        <v/>
      </c>
      <c r="AC698" s="33" t="n"/>
    </row>
    <row r="699" ht="37.5" customHeight="1">
      <c r="A699" s="35">
        <f>SUBTOTAL(103,$B$24:B699)</f>
        <v/>
      </c>
      <c r="B699" s="36" t="inlineStr">
        <is>
          <t>Скриня морозильна GRUNHELM GCFW-145</t>
        </is>
      </c>
      <c r="C699" s="37" t="inlineStr">
        <is>
          <t>к-т</t>
        </is>
      </c>
      <c r="D699" s="33" t="n"/>
      <c r="E699" s="33" t="n"/>
      <c r="F699" s="33">
        <f>E699*0.05</f>
        <v/>
      </c>
      <c r="G699" s="33">
        <f>E699+F699</f>
        <v/>
      </c>
      <c r="H699" s="33" t="n"/>
      <c r="I699" s="33" t="n"/>
      <c r="J699" s="33" t="n"/>
      <c r="K699" s="33">
        <f>L699+M699+N699</f>
        <v/>
      </c>
      <c r="L699" s="33" t="n"/>
      <c r="M699" s="33" t="n"/>
      <c r="N699" s="33" t="n"/>
      <c r="O699" s="33">
        <f>P699+Q699</f>
        <v/>
      </c>
      <c r="P699" s="33" t="n"/>
      <c r="Q699" s="33" t="n"/>
      <c r="R699" s="33">
        <f>H699+K699-O699</f>
        <v/>
      </c>
      <c r="S699" s="33" t="n"/>
      <c r="T699" s="33" t="n"/>
      <c r="U699" s="33" t="n"/>
      <c r="V699" s="33" t="n"/>
      <c r="W699" s="33" t="n"/>
      <c r="X699" s="33" t="n"/>
      <c r="Y699" s="33" t="n"/>
      <c r="Z699" s="33" t="n"/>
      <c r="AA699" s="4">
        <f>R699-G699</f>
        <v/>
      </c>
      <c r="AB699" s="4">
        <f>G699-R699</f>
        <v/>
      </c>
      <c r="AC699" s="33" t="n"/>
    </row>
    <row r="700" ht="37.5" customHeight="1">
      <c r="A700" s="35">
        <f>SUBTOTAL(103,$B$24:B700)</f>
        <v/>
      </c>
      <c r="B700" s="36" t="inlineStr">
        <is>
          <t>Шафа холодильна низькотемпературна Grunhelm GCFW-251</t>
        </is>
      </c>
      <c r="C700" s="37" t="inlineStr">
        <is>
          <t>к-т</t>
        </is>
      </c>
      <c r="D700" s="33" t="n"/>
      <c r="E700" s="33" t="n"/>
      <c r="F700" s="33">
        <f>E700*0.05</f>
        <v/>
      </c>
      <c r="G700" s="33">
        <f>E700+F700</f>
        <v/>
      </c>
      <c r="H700" s="33" t="n"/>
      <c r="I700" s="33" t="n"/>
      <c r="J700" s="33" t="n"/>
      <c r="K700" s="33">
        <f>L700+M700+N700</f>
        <v/>
      </c>
      <c r="L700" s="33" t="n"/>
      <c r="M700" s="33" t="n"/>
      <c r="N700" s="33" t="n"/>
      <c r="O700" s="33">
        <f>P700+Q700</f>
        <v/>
      </c>
      <c r="P700" s="33" t="n"/>
      <c r="Q700" s="33" t="n"/>
      <c r="R700" s="33">
        <f>H700+K700-O700</f>
        <v/>
      </c>
      <c r="S700" s="33" t="n"/>
      <c r="T700" s="33" t="n"/>
      <c r="U700" s="33" t="n"/>
      <c r="V700" s="33" t="n"/>
      <c r="W700" s="33" t="n"/>
      <c r="X700" s="33" t="n"/>
      <c r="Y700" s="33" t="n"/>
      <c r="Z700" s="33" t="n"/>
      <c r="AA700" s="4">
        <f>R700-G700</f>
        <v/>
      </c>
      <c r="AB700" s="4">
        <f>G700-R700</f>
        <v/>
      </c>
      <c r="AC700" s="33" t="n"/>
    </row>
    <row r="701" ht="37.5" customHeight="1">
      <c r="A701" s="35">
        <f>SUBTOTAL(103,$B$24:B701)</f>
        <v/>
      </c>
      <c r="B701" s="36" t="inlineStr">
        <is>
          <t>Шафа холодильна низькотемпературна Grunhelm GCFW-200</t>
        </is>
      </c>
      <c r="C701" s="37" t="inlineStr">
        <is>
          <t>к-т</t>
        </is>
      </c>
      <c r="D701" s="33" t="n"/>
      <c r="E701" s="33" t="n"/>
      <c r="F701" s="33">
        <f>E701*0.05</f>
        <v/>
      </c>
      <c r="G701" s="33">
        <f>E701+F701</f>
        <v/>
      </c>
      <c r="H701" s="33" t="n"/>
      <c r="I701" s="33" t="n"/>
      <c r="J701" s="33" t="n"/>
      <c r="K701" s="33">
        <f>L701+M701+N701</f>
        <v/>
      </c>
      <c r="L701" s="33" t="n"/>
      <c r="M701" s="33" t="n"/>
      <c r="N701" s="33" t="n"/>
      <c r="O701" s="33">
        <f>P701+Q701</f>
        <v/>
      </c>
      <c r="P701" s="33" t="n"/>
      <c r="Q701" s="33" t="n"/>
      <c r="R701" s="33">
        <f>H701+K701-O701</f>
        <v/>
      </c>
      <c r="S701" s="33" t="n"/>
      <c r="T701" s="33" t="n"/>
      <c r="U701" s="33" t="n"/>
      <c r="V701" s="33" t="n"/>
      <c r="W701" s="33" t="n"/>
      <c r="X701" s="33" t="n"/>
      <c r="Y701" s="33" t="n"/>
      <c r="Z701" s="33" t="n"/>
      <c r="AA701" s="4">
        <f>R701-G701</f>
        <v/>
      </c>
      <c r="AB701" s="4">
        <f>G701-R701</f>
        <v/>
      </c>
      <c r="AC701" s="33" t="n"/>
    </row>
    <row r="702" ht="37.5" customHeight="1">
      <c r="A702" s="35">
        <f>SUBTOTAL(103,$B$24:B702)</f>
        <v/>
      </c>
      <c r="B702" s="36" t="inlineStr">
        <is>
          <t>Морозильна скриня Grunhelm GCFW-300</t>
        </is>
      </c>
      <c r="C702" s="37" t="inlineStr">
        <is>
          <t>к-т</t>
        </is>
      </c>
      <c r="D702" s="33" t="n"/>
      <c r="E702" s="33" t="n"/>
      <c r="F702" s="33">
        <f>E702*0.05</f>
        <v/>
      </c>
      <c r="G702" s="33">
        <f>E702+F702</f>
        <v/>
      </c>
      <c r="H702" s="33" t="n"/>
      <c r="I702" s="33" t="n"/>
      <c r="J702" s="33" t="n"/>
      <c r="K702" s="33">
        <f>L702+M702+N702</f>
        <v/>
      </c>
      <c r="L702" s="33" t="n"/>
      <c r="M702" s="33" t="n"/>
      <c r="N702" s="33" t="n"/>
      <c r="O702" s="33">
        <f>P702+Q702</f>
        <v/>
      </c>
      <c r="P702" s="33" t="n"/>
      <c r="Q702" s="33" t="n"/>
      <c r="R702" s="33">
        <f>H702+K702-O702</f>
        <v/>
      </c>
      <c r="S702" s="33" t="n"/>
      <c r="T702" s="33" t="n"/>
      <c r="U702" s="33" t="n"/>
      <c r="V702" s="33" t="n"/>
      <c r="W702" s="33" t="n"/>
      <c r="X702" s="33" t="n"/>
      <c r="Y702" s="33" t="n"/>
      <c r="Z702" s="33" t="n"/>
      <c r="AA702" s="4">
        <f>R702-G702</f>
        <v/>
      </c>
      <c r="AB702" s="4">
        <f>G702-R702</f>
        <v/>
      </c>
      <c r="AC702" s="33" t="n"/>
    </row>
    <row r="703" ht="56.25" customHeight="1">
      <c r="A703" s="35">
        <f>SUBTOTAL(103,$B$24:B703)</f>
        <v/>
      </c>
      <c r="B703" s="36" t="inlineStr">
        <is>
          <t>Шафа (скриня) холодильна низькотемпературна Grunhelm GCFW-370 (350 л.)</t>
        </is>
      </c>
      <c r="C703" s="37" t="inlineStr">
        <is>
          <t>к-т</t>
        </is>
      </c>
      <c r="D703" s="33" t="n"/>
      <c r="E703" s="33" t="n"/>
      <c r="F703" s="33">
        <f>E703*0.05</f>
        <v/>
      </c>
      <c r="G703" s="33">
        <f>E703+F703</f>
        <v/>
      </c>
      <c r="H703" s="33" t="n"/>
      <c r="I703" s="33" t="n"/>
      <c r="J703" s="33" t="n"/>
      <c r="K703" s="33">
        <f>L703+M703+N703</f>
        <v/>
      </c>
      <c r="L703" s="33" t="n"/>
      <c r="M703" s="33" t="n"/>
      <c r="N703" s="33" t="n"/>
      <c r="O703" s="33">
        <f>P703+Q703</f>
        <v/>
      </c>
      <c r="P703" s="33" t="n"/>
      <c r="Q703" s="33" t="n"/>
      <c r="R703" s="33">
        <f>H703+K703-O703</f>
        <v/>
      </c>
      <c r="S703" s="33" t="n"/>
      <c r="T703" s="33" t="n"/>
      <c r="U703" s="33" t="n"/>
      <c r="V703" s="33" t="n"/>
      <c r="W703" s="33" t="n"/>
      <c r="X703" s="33" t="n"/>
      <c r="Y703" s="33" t="n"/>
      <c r="Z703" s="33" t="n"/>
      <c r="AA703" s="4">
        <f>R703-G703</f>
        <v/>
      </c>
      <c r="AB703" s="4">
        <f>G703-R703</f>
        <v/>
      </c>
      <c r="AC703" s="33" t="n"/>
    </row>
    <row r="704" ht="37.5" customHeight="1">
      <c r="A704" s="35">
        <f>SUBTOTAL(103,$B$24:B704)</f>
        <v/>
      </c>
      <c r="B704" s="36" t="inlineStr">
        <is>
          <t>Шафа холодильна низькотемпературна Grunhelm GCFW-380</t>
        </is>
      </c>
      <c r="C704" s="37" t="inlineStr">
        <is>
          <t>к-т</t>
        </is>
      </c>
      <c r="D704" s="33" t="n"/>
      <c r="E704" s="33" t="n"/>
      <c r="F704" s="33">
        <f>E704*0.05</f>
        <v/>
      </c>
      <c r="G704" s="33">
        <f>E704+F704</f>
        <v/>
      </c>
      <c r="H704" s="33" t="n"/>
      <c r="I704" s="33" t="n"/>
      <c r="J704" s="33" t="n"/>
      <c r="K704" s="33">
        <f>L704+M704+N704</f>
        <v/>
      </c>
      <c r="L704" s="33" t="n"/>
      <c r="M704" s="33" t="n"/>
      <c r="N704" s="33" t="n"/>
      <c r="O704" s="33">
        <f>P704+Q704</f>
        <v/>
      </c>
      <c r="P704" s="33" t="n"/>
      <c r="Q704" s="33" t="n"/>
      <c r="R704" s="33">
        <f>H704+K704-O704</f>
        <v/>
      </c>
      <c r="S704" s="33" t="n"/>
      <c r="T704" s="33" t="n"/>
      <c r="U704" s="33" t="n"/>
      <c r="V704" s="33" t="n"/>
      <c r="W704" s="33" t="n"/>
      <c r="X704" s="33" t="n"/>
      <c r="Y704" s="33" t="n"/>
      <c r="Z704" s="33" t="n"/>
      <c r="AA704" s="4">
        <f>R704-G704</f>
        <v/>
      </c>
      <c r="AB704" s="4">
        <f>G704-R704</f>
        <v/>
      </c>
      <c r="AC704" s="33" t="n"/>
    </row>
    <row r="705" ht="18.75" customHeight="1">
      <c r="A705" s="35">
        <f>SUBTOTAL(103,$B$24:B705)</f>
        <v/>
      </c>
      <c r="B705" s="36" t="inlineStr">
        <is>
          <t>Морозильна скриня Ardesto FRM-200</t>
        </is>
      </c>
      <c r="C705" s="37" t="inlineStr">
        <is>
          <t>к-т</t>
        </is>
      </c>
      <c r="D705" s="33" t="n"/>
      <c r="E705" s="33" t="n"/>
      <c r="F705" s="33">
        <f>E705*0.05</f>
        <v/>
      </c>
      <c r="G705" s="33">
        <f>E705+F705</f>
        <v/>
      </c>
      <c r="H705" s="33" t="n"/>
      <c r="I705" s="33" t="n"/>
      <c r="J705" s="33" t="n"/>
      <c r="K705" s="33">
        <f>L705+M705+N705</f>
        <v/>
      </c>
      <c r="L705" s="33" t="n"/>
      <c r="M705" s="33" t="n"/>
      <c r="N705" s="33" t="n"/>
      <c r="O705" s="33">
        <f>P705+Q705</f>
        <v/>
      </c>
      <c r="P705" s="33" t="n"/>
      <c r="Q705" s="33" t="n"/>
      <c r="R705" s="33">
        <f>H705+K705-O705</f>
        <v/>
      </c>
      <c r="S705" s="33" t="n"/>
      <c r="T705" s="33" t="n"/>
      <c r="U705" s="33" t="n"/>
      <c r="V705" s="33" t="n"/>
      <c r="W705" s="33" t="n"/>
      <c r="X705" s="33" t="n"/>
      <c r="Y705" s="33" t="n"/>
      <c r="Z705" s="33" t="n"/>
      <c r="AA705" s="4">
        <f>R705-G705</f>
        <v/>
      </c>
      <c r="AB705" s="4">
        <f>G705-R705</f>
        <v/>
      </c>
      <c r="AC705" s="33" t="n"/>
    </row>
    <row r="706" ht="18.75" customHeight="1">
      <c r="A706" s="35">
        <f>SUBTOTAL(103,$B$24:B706)</f>
        <v/>
      </c>
      <c r="B706" s="42" t="inlineStr">
        <is>
          <t>Морозильний ларь Ardesto FRM-290E</t>
        </is>
      </c>
      <c r="C706" s="37" t="inlineStr">
        <is>
          <t>к-т</t>
        </is>
      </c>
      <c r="D706" s="33" t="n"/>
      <c r="E706" s="33" t="n"/>
      <c r="F706" s="33">
        <f>E706*0.05</f>
        <v/>
      </c>
      <c r="G706" s="33">
        <f>E706+F706</f>
        <v/>
      </c>
      <c r="H706" s="33" t="n"/>
      <c r="I706" s="33" t="n"/>
      <c r="J706" s="33" t="n"/>
      <c r="K706" s="33">
        <f>L706+M706+N706</f>
        <v/>
      </c>
      <c r="L706" s="33" t="n"/>
      <c r="M706" s="33" t="n"/>
      <c r="N706" s="33" t="n"/>
      <c r="O706" s="33">
        <f>P706+Q706</f>
        <v/>
      </c>
      <c r="P706" s="33" t="n"/>
      <c r="Q706" s="33" t="n"/>
      <c r="R706" s="33">
        <f>H706+K706-O706</f>
        <v/>
      </c>
      <c r="S706" s="33" t="n"/>
      <c r="T706" s="33" t="n"/>
      <c r="U706" s="33" t="n"/>
      <c r="V706" s="33" t="n"/>
      <c r="W706" s="33" t="n"/>
      <c r="X706" s="33" t="n"/>
      <c r="Y706" s="33" t="n"/>
      <c r="Z706" s="33" t="n"/>
      <c r="AA706" s="4">
        <f>R706-G706</f>
        <v/>
      </c>
      <c r="AB706" s="4">
        <f>G706-R706</f>
        <v/>
      </c>
      <c r="AC706" s="33" t="n"/>
    </row>
    <row r="707" ht="37.5" customHeight="1">
      <c r="A707" s="35">
        <f>SUBTOTAL(103,$B$24:B707)</f>
        <v/>
      </c>
      <c r="B707" s="36" t="inlineStr">
        <is>
          <t>Морозильна камера Ardesto FRM-300MCH (300 л.</t>
        </is>
      </c>
      <c r="C707" s="37" t="inlineStr">
        <is>
          <t>к-т</t>
        </is>
      </c>
      <c r="D707" s="33" t="n"/>
      <c r="E707" s="33" t="n"/>
      <c r="F707" s="33">
        <f>E707*0.05</f>
        <v/>
      </c>
      <c r="G707" s="33">
        <f>E707+F707</f>
        <v/>
      </c>
      <c r="H707" s="33" t="n"/>
      <c r="I707" s="33" t="n"/>
      <c r="J707" s="33" t="n"/>
      <c r="K707" s="33">
        <f>L707+M707+N707</f>
        <v/>
      </c>
      <c r="L707" s="33" t="n"/>
      <c r="M707" s="33" t="n"/>
      <c r="N707" s="33" t="n"/>
      <c r="O707" s="33">
        <f>P707+Q707</f>
        <v/>
      </c>
      <c r="P707" s="33" t="n"/>
      <c r="Q707" s="33" t="n"/>
      <c r="R707" s="33">
        <f>H707+K707-O707</f>
        <v/>
      </c>
      <c r="S707" s="33" t="n"/>
      <c r="T707" s="33" t="n"/>
      <c r="U707" s="33" t="n"/>
      <c r="V707" s="33" t="n"/>
      <c r="W707" s="33" t="n"/>
      <c r="X707" s="33" t="n"/>
      <c r="Y707" s="33" t="n"/>
      <c r="Z707" s="33" t="n"/>
      <c r="AA707" s="4">
        <f>R707-G707</f>
        <v/>
      </c>
      <c r="AB707" s="4">
        <f>G707-R707</f>
        <v/>
      </c>
      <c r="AC707" s="33" t="n"/>
    </row>
    <row r="708" ht="56.25" customHeight="1">
      <c r="A708" s="35">
        <f>SUBTOTAL(103,$B$24:B708)</f>
        <v/>
      </c>
      <c r="B708" s="36" t="inlineStr">
        <is>
          <t>Шафа (скриня холодильна низькотемпературна Ardesto FRM-362MCH (362 л.</t>
        </is>
      </c>
      <c r="C708" s="37" t="inlineStr">
        <is>
          <t>к-т</t>
        </is>
      </c>
      <c r="D708" s="33" t="n"/>
      <c r="E708" s="33" t="n"/>
      <c r="F708" s="33">
        <f>E708*0.05</f>
        <v/>
      </c>
      <c r="G708" s="33">
        <f>E708+F708</f>
        <v/>
      </c>
      <c r="H708" s="33" t="n"/>
      <c r="I708" s="33" t="n"/>
      <c r="J708" s="33" t="n"/>
      <c r="K708" s="33">
        <f>L708+M708+N708</f>
        <v/>
      </c>
      <c r="L708" s="33" t="n"/>
      <c r="M708" s="33" t="n"/>
      <c r="N708" s="33" t="n"/>
      <c r="O708" s="33">
        <f>P708+Q708</f>
        <v/>
      </c>
      <c r="P708" s="33" t="n"/>
      <c r="Q708" s="33" t="n"/>
      <c r="R708" s="33">
        <f>H708+K708-O708</f>
        <v/>
      </c>
      <c r="S708" s="33" t="n"/>
      <c r="T708" s="33" t="n"/>
      <c r="U708" s="33" t="n"/>
      <c r="V708" s="33" t="n"/>
      <c r="W708" s="33" t="n"/>
      <c r="X708" s="33" t="n"/>
      <c r="Y708" s="33" t="n"/>
      <c r="Z708" s="33" t="n"/>
      <c r="AA708" s="4">
        <f>R708-G708</f>
        <v/>
      </c>
      <c r="AB708" s="4">
        <f>G708-R708</f>
        <v/>
      </c>
      <c r="AC708" s="33" t="n"/>
    </row>
    <row r="709" ht="18.75" customHeight="1">
      <c r="A709" s="35">
        <f>SUBTOTAL(103,$B$24:B709)</f>
        <v/>
      </c>
      <c r="B709" s="36" t="inlineStr">
        <is>
          <t>Шафи холодильні ШХ Т2-125М</t>
        </is>
      </c>
      <c r="C709" s="37" t="inlineStr">
        <is>
          <t>к-т</t>
        </is>
      </c>
      <c r="D709" s="33" t="n"/>
      <c r="E709" s="33" t="n"/>
      <c r="F709" s="33">
        <f>E709*0.05</f>
        <v/>
      </c>
      <c r="G709" s="33">
        <f>E709+F709</f>
        <v/>
      </c>
      <c r="H709" s="33" t="n"/>
      <c r="I709" s="33" t="n"/>
      <c r="J709" s="33" t="n"/>
      <c r="K709" s="33">
        <f>L709+M709+N709</f>
        <v/>
      </c>
      <c r="L709" s="33" t="n"/>
      <c r="M709" s="33" t="n"/>
      <c r="N709" s="33" t="n"/>
      <c r="O709" s="33">
        <f>P709+Q709</f>
        <v/>
      </c>
      <c r="P709" s="33" t="n"/>
      <c r="Q709" s="33" t="n"/>
      <c r="R709" s="33">
        <f>H709+K709-O709</f>
        <v/>
      </c>
      <c r="S709" s="33" t="n"/>
      <c r="T709" s="33" t="n"/>
      <c r="U709" s="33" t="n"/>
      <c r="V709" s="33" t="n"/>
      <c r="W709" s="33" t="n"/>
      <c r="X709" s="33" t="n"/>
      <c r="Y709" s="33" t="n"/>
      <c r="Z709" s="33" t="n"/>
      <c r="AA709" s="4">
        <f>R709-G709</f>
        <v/>
      </c>
      <c r="AB709" s="4">
        <f>G709-R709</f>
        <v/>
      </c>
      <c r="AC709" s="33" t="n"/>
    </row>
    <row r="710" ht="18.75" customHeight="1">
      <c r="A710" s="35">
        <f>SUBTOTAL(103,$B$24:B710)</f>
        <v/>
      </c>
      <c r="B710" s="36" t="inlineStr">
        <is>
          <t>Шафи холодильні Ельтон 0,74 та 1,12</t>
        </is>
      </c>
      <c r="C710" s="37" t="inlineStr">
        <is>
          <t>к-т</t>
        </is>
      </c>
      <c r="D710" s="33" t="n"/>
      <c r="E710" s="33" t="n"/>
      <c r="F710" s="33">
        <f>E710*0.05</f>
        <v/>
      </c>
      <c r="G710" s="33">
        <f>E710+F710</f>
        <v/>
      </c>
      <c r="H710" s="33" t="n"/>
      <c r="I710" s="33" t="n"/>
      <c r="J710" s="33" t="n"/>
      <c r="K710" s="33">
        <f>L710+M710+N710</f>
        <v/>
      </c>
      <c r="L710" s="33" t="n"/>
      <c r="M710" s="33" t="n"/>
      <c r="N710" s="33" t="n"/>
      <c r="O710" s="33">
        <f>P710+Q710</f>
        <v/>
      </c>
      <c r="P710" s="33" t="n"/>
      <c r="Q710" s="33" t="n"/>
      <c r="R710" s="33">
        <f>H710+K710-O710</f>
        <v/>
      </c>
      <c r="S710" s="33" t="n"/>
      <c r="T710" s="33" t="n"/>
      <c r="U710" s="33" t="n"/>
      <c r="V710" s="33" t="n"/>
      <c r="W710" s="33" t="n"/>
      <c r="X710" s="33" t="n"/>
      <c r="Y710" s="33" t="n"/>
      <c r="Z710" s="33" t="n"/>
      <c r="AA710" s="4">
        <f>R710-G710</f>
        <v/>
      </c>
      <c r="AB710" s="4">
        <f>G710-R710</f>
        <v/>
      </c>
      <c r="AC710" s="33" t="n"/>
    </row>
    <row r="711" ht="18.75" customHeight="1">
      <c r="A711" s="35">
        <f>SUBTOTAL(103,$B$24:B711)</f>
        <v/>
      </c>
      <c r="B711" s="36" t="inlineStr">
        <is>
          <t>Шафи холодильні ІНТЕР-800 ТШ-0,8</t>
        </is>
      </c>
      <c r="C711" s="37" t="inlineStr">
        <is>
          <t>к-т</t>
        </is>
      </c>
      <c r="D711" s="33" t="n"/>
      <c r="E711" s="33" t="n"/>
      <c r="F711" s="33">
        <f>E711*0.05</f>
        <v/>
      </c>
      <c r="G711" s="33">
        <f>E711+F711</f>
        <v/>
      </c>
      <c r="H711" s="33" t="n"/>
      <c r="I711" s="33" t="n"/>
      <c r="J711" s="33" t="n"/>
      <c r="K711" s="33">
        <f>L711+M711+N711</f>
        <v/>
      </c>
      <c r="L711" s="33" t="n"/>
      <c r="M711" s="33" t="n"/>
      <c r="N711" s="33" t="n"/>
      <c r="O711" s="33">
        <f>P711+Q711</f>
        <v/>
      </c>
      <c r="P711" s="33" t="n"/>
      <c r="Q711" s="33" t="n"/>
      <c r="R711" s="33">
        <f>H711+K711-O711</f>
        <v/>
      </c>
      <c r="S711" s="33" t="n"/>
      <c r="T711" s="33" t="n"/>
      <c r="U711" s="33" t="n"/>
      <c r="V711" s="33" t="n"/>
      <c r="W711" s="33" t="n"/>
      <c r="X711" s="33" t="n"/>
      <c r="Y711" s="33" t="n"/>
      <c r="Z711" s="33" t="n"/>
      <c r="AA711" s="4">
        <f>R711-G711</f>
        <v/>
      </c>
      <c r="AB711" s="4">
        <f>G711-R711</f>
        <v/>
      </c>
      <c r="AC711" s="33" t="n"/>
    </row>
    <row r="712" ht="37.5" customHeight="1">
      <c r="A712" s="35">
        <f>SUBTOTAL(103,$B$24:B712)</f>
        <v/>
      </c>
      <c r="B712" s="36" t="inlineStr">
        <is>
          <t>Шафа холодильна SC309 Барна на 335 л.</t>
        </is>
      </c>
      <c r="C712" s="37" t="inlineStr">
        <is>
          <t>к-т</t>
        </is>
      </c>
      <c r="D712" s="33" t="n"/>
      <c r="E712" s="33" t="n"/>
      <c r="F712" s="33">
        <f>E712*0.05</f>
        <v/>
      </c>
      <c r="G712" s="33">
        <f>E712+F712</f>
        <v/>
      </c>
      <c r="H712" s="33" t="n"/>
      <c r="I712" s="33" t="n"/>
      <c r="J712" s="33" t="n"/>
      <c r="K712" s="33">
        <f>L712+M712+N712</f>
        <v/>
      </c>
      <c r="L712" s="33" t="n"/>
      <c r="M712" s="33" t="n"/>
      <c r="N712" s="33" t="n"/>
      <c r="O712" s="33">
        <f>P712+Q712</f>
        <v/>
      </c>
      <c r="P712" s="33" t="n"/>
      <c r="Q712" s="33" t="n"/>
      <c r="R712" s="33">
        <f>H712+K712-O712</f>
        <v/>
      </c>
      <c r="S712" s="33" t="n"/>
      <c r="T712" s="33" t="n"/>
      <c r="U712" s="33" t="n"/>
      <c r="V712" s="33" t="n"/>
      <c r="W712" s="33" t="n"/>
      <c r="X712" s="33" t="n"/>
      <c r="Y712" s="33" t="n"/>
      <c r="Z712" s="33" t="n"/>
      <c r="AA712" s="4">
        <f>R712-G712</f>
        <v/>
      </c>
      <c r="AB712" s="4">
        <f>G712-R712</f>
        <v/>
      </c>
      <c r="AC712" s="33" t="n"/>
    </row>
    <row r="713" ht="37.5" customHeight="1">
      <c r="A713" s="35">
        <f>SUBTOTAL(103,$B$24:B713)</f>
        <v/>
      </c>
      <c r="B713" s="36" t="inlineStr">
        <is>
          <t>Шафа (скриня) холодильна низькотемпературна 140-160 л.</t>
        </is>
      </c>
      <c r="C713" s="37" t="inlineStr">
        <is>
          <t>к-т</t>
        </is>
      </c>
      <c r="D713" s="33" t="n"/>
      <c r="E713" s="33" t="n"/>
      <c r="F713" s="33">
        <f>E713*0.05</f>
        <v/>
      </c>
      <c r="G713" s="33">
        <f>E713+F713</f>
        <v/>
      </c>
      <c r="H713" s="33" t="n"/>
      <c r="I713" s="33" t="n"/>
      <c r="J713" s="33" t="n"/>
      <c r="K713" s="33">
        <f>L713+M713+N713</f>
        <v/>
      </c>
      <c r="L713" s="33" t="n"/>
      <c r="M713" s="33" t="n"/>
      <c r="N713" s="33" t="n"/>
      <c r="O713" s="33">
        <f>P713+Q713</f>
        <v/>
      </c>
      <c r="P713" s="33" t="n"/>
      <c r="Q713" s="33" t="n"/>
      <c r="R713" s="33">
        <f>H713+K713-O713</f>
        <v/>
      </c>
      <c r="S713" s="33" t="n"/>
      <c r="T713" s="33" t="n"/>
      <c r="U713" s="33" t="n"/>
      <c r="V713" s="33" t="n"/>
      <c r="W713" s="33" t="n"/>
      <c r="X713" s="33" t="n"/>
      <c r="Y713" s="33" t="n"/>
      <c r="Z713" s="33" t="n"/>
      <c r="AA713" s="4">
        <f>R713-G713</f>
        <v/>
      </c>
      <c r="AB713" s="4">
        <f>G713-R713</f>
        <v/>
      </c>
      <c r="AC713" s="33" t="n"/>
    </row>
    <row r="714" ht="37.5" customHeight="1">
      <c r="A714" s="35">
        <f>SUBTOTAL(103,$B$24:B714)</f>
        <v/>
      </c>
      <c r="B714" s="36" t="inlineStr">
        <is>
          <t>Шафа холодильна низькотемпературна 100-150 л.</t>
        </is>
      </c>
      <c r="C714" s="37" t="inlineStr">
        <is>
          <t>к-т</t>
        </is>
      </c>
      <c r="D714" s="33" t="n"/>
      <c r="E714" s="33" t="n"/>
      <c r="F714" s="33">
        <f>E714*0.05</f>
        <v/>
      </c>
      <c r="G714" s="33">
        <f>E714+F714</f>
        <v/>
      </c>
      <c r="H714" s="33" t="n"/>
      <c r="I714" s="33" t="n"/>
      <c r="J714" s="33" t="n"/>
      <c r="K714" s="33">
        <f>L714+M714+N714</f>
        <v/>
      </c>
      <c r="L714" s="33" t="n"/>
      <c r="M714" s="33" t="n"/>
      <c r="N714" s="33" t="n"/>
      <c r="O714" s="33">
        <f>P714+Q714</f>
        <v/>
      </c>
      <c r="P714" s="33" t="n"/>
      <c r="Q714" s="33" t="n"/>
      <c r="R714" s="33">
        <f>H714+K714-O714</f>
        <v/>
      </c>
      <c r="S714" s="33" t="n"/>
      <c r="T714" s="33" t="n"/>
      <c r="U714" s="33" t="n"/>
      <c r="V714" s="33" t="n"/>
      <c r="W714" s="33" t="n"/>
      <c r="X714" s="33" t="n"/>
      <c r="Y714" s="33" t="n"/>
      <c r="Z714" s="33" t="n"/>
      <c r="AA714" s="4">
        <f>R714-G714</f>
        <v/>
      </c>
      <c r="AB714" s="4">
        <f>G714-R714</f>
        <v/>
      </c>
      <c r="AC714" s="33" t="n"/>
    </row>
    <row r="715" ht="37.5" customHeight="1">
      <c r="A715" s="35">
        <f>SUBTOTAL(103,$B$24:B715)</f>
        <v/>
      </c>
      <c r="B715" s="36" t="inlineStr">
        <is>
          <t>Шафа холодильна низькотемпературна 250-300 л.</t>
        </is>
      </c>
      <c r="C715" s="37" t="inlineStr">
        <is>
          <t>к-т</t>
        </is>
      </c>
      <c r="D715" s="33" t="n"/>
      <c r="E715" s="33" t="n"/>
      <c r="F715" s="33">
        <f>E715*0.05</f>
        <v/>
      </c>
      <c r="G715" s="33">
        <f>E715+F715</f>
        <v/>
      </c>
      <c r="H715" s="33" t="n"/>
      <c r="I715" s="33" t="n"/>
      <c r="J715" s="33" t="n"/>
      <c r="K715" s="33">
        <f>L715+M715+N715</f>
        <v/>
      </c>
      <c r="L715" s="33" t="n"/>
      <c r="M715" s="33" t="n"/>
      <c r="N715" s="33" t="n"/>
      <c r="O715" s="33">
        <f>P715+Q715</f>
        <v/>
      </c>
      <c r="P715" s="33" t="n"/>
      <c r="Q715" s="33" t="n"/>
      <c r="R715" s="33">
        <f>H715+K715-O715</f>
        <v/>
      </c>
      <c r="S715" s="33" t="n"/>
      <c r="T715" s="33" t="n"/>
      <c r="U715" s="33" t="n"/>
      <c r="V715" s="33" t="n"/>
      <c r="W715" s="33" t="n"/>
      <c r="X715" s="33" t="n"/>
      <c r="Y715" s="33" t="n"/>
      <c r="Z715" s="33" t="n"/>
      <c r="AA715" s="4">
        <f>R715-G715</f>
        <v/>
      </c>
      <c r="AB715" s="4">
        <f>G715-R715</f>
        <v/>
      </c>
      <c r="AC715" s="33" t="n"/>
    </row>
    <row r="716" ht="37.5" customHeight="1">
      <c r="A716" s="35">
        <f>SUBTOTAL(103,$B$24:B716)</f>
        <v/>
      </c>
      <c r="B716" s="36" t="inlineStr">
        <is>
          <t xml:space="preserve">Шафа холодильна середньотемпературна </t>
        </is>
      </c>
      <c r="C716" s="37" t="inlineStr">
        <is>
          <t>к-т</t>
        </is>
      </c>
      <c r="D716" s="33" t="n"/>
      <c r="E716" s="33" t="n"/>
      <c r="F716" s="33">
        <f>E716*0.05</f>
        <v/>
      </c>
      <c r="G716" s="33">
        <f>E716+F716</f>
        <v/>
      </c>
      <c r="H716" s="33" t="n"/>
      <c r="I716" s="33" t="n"/>
      <c r="J716" s="33" t="n"/>
      <c r="K716" s="33">
        <f>L716+M716+N716</f>
        <v/>
      </c>
      <c r="L716" s="33" t="n"/>
      <c r="M716" s="33" t="n"/>
      <c r="N716" s="33" t="n"/>
      <c r="O716" s="33">
        <f>P716+Q716</f>
        <v/>
      </c>
      <c r="P716" s="33" t="n"/>
      <c r="Q716" s="33" t="n"/>
      <c r="R716" s="33">
        <f>H716+K716-O716</f>
        <v/>
      </c>
      <c r="S716" s="33" t="n"/>
      <c r="T716" s="33" t="n"/>
      <c r="U716" s="33" t="n"/>
      <c r="V716" s="33" t="n"/>
      <c r="W716" s="33" t="n"/>
      <c r="X716" s="33" t="n"/>
      <c r="Y716" s="33" t="n"/>
      <c r="Z716" s="33" t="n"/>
      <c r="AA716" s="4">
        <f>R716-G716</f>
        <v/>
      </c>
      <c r="AB716" s="4">
        <f>G716-R716</f>
        <v/>
      </c>
      <c r="AC716" s="33" t="n"/>
    </row>
    <row r="717" ht="56.25" customHeight="1">
      <c r="A717" s="35">
        <f>SUBTOTAL(103,$B$24:B717)</f>
        <v/>
      </c>
      <c r="B717" s="36" t="inlineStr">
        <is>
          <t>Шафа холодильна середньо-температурна однадверна TATRA TRC700</t>
        </is>
      </c>
      <c r="C717" s="37" t="inlineStr">
        <is>
          <t>к-т</t>
        </is>
      </c>
      <c r="D717" s="33" t="n"/>
      <c r="E717" s="33" t="n"/>
      <c r="F717" s="33">
        <f>E717*0.05</f>
        <v/>
      </c>
      <c r="G717" s="33">
        <f>E717+F717</f>
        <v/>
      </c>
      <c r="H717" s="33" t="n"/>
      <c r="I717" s="33" t="n"/>
      <c r="J717" s="33" t="n"/>
      <c r="K717" s="33">
        <f>L717+M717+N717</f>
        <v/>
      </c>
      <c r="L717" s="33" t="n"/>
      <c r="M717" s="33" t="n"/>
      <c r="N717" s="33" t="n"/>
      <c r="O717" s="33">
        <f>P717+Q717</f>
        <v/>
      </c>
      <c r="P717" s="33" t="n"/>
      <c r="Q717" s="33" t="n"/>
      <c r="R717" s="33">
        <f>H717+K717-O717</f>
        <v/>
      </c>
      <c r="S717" s="33" t="n"/>
      <c r="T717" s="33" t="n"/>
      <c r="U717" s="33" t="n"/>
      <c r="V717" s="33" t="n"/>
      <c r="W717" s="33" t="n"/>
      <c r="X717" s="33" t="n"/>
      <c r="Y717" s="33" t="n"/>
      <c r="Z717" s="33" t="n"/>
      <c r="AA717" s="4">
        <f>R717-G717</f>
        <v/>
      </c>
      <c r="AB717" s="4">
        <f>G717-R717</f>
        <v/>
      </c>
      <c r="AC717" s="33" t="n"/>
    </row>
    <row r="718" ht="56.25" customHeight="1">
      <c r="A718" s="35">
        <f>SUBTOTAL(103,$B$24:B718)</f>
        <v/>
      </c>
      <c r="B718" s="36" t="inlineStr">
        <is>
          <t>Шафа холодильна середньотемпературна обємом 600-800 л. (Forcar GN650TN-FC)</t>
        </is>
      </c>
      <c r="C718" s="37" t="inlineStr">
        <is>
          <t>к-т</t>
        </is>
      </c>
      <c r="D718" s="33" t="n"/>
      <c r="E718" s="33" t="n"/>
      <c r="F718" s="33">
        <f>E718*0.05</f>
        <v/>
      </c>
      <c r="G718" s="33">
        <f>E718+F718</f>
        <v/>
      </c>
      <c r="H718" s="33" t="n"/>
      <c r="I718" s="33" t="n"/>
      <c r="J718" s="33" t="n"/>
      <c r="K718" s="33">
        <f>L718+M718+N718</f>
        <v/>
      </c>
      <c r="L718" s="33" t="n"/>
      <c r="M718" s="33" t="n"/>
      <c r="N718" s="33" t="n"/>
      <c r="O718" s="33">
        <f>P718+Q718</f>
        <v/>
      </c>
      <c r="P718" s="33" t="n"/>
      <c r="Q718" s="33" t="n"/>
      <c r="R718" s="33">
        <f>H718+K718-O718</f>
        <v/>
      </c>
      <c r="S718" s="33" t="n"/>
      <c r="T718" s="33" t="n"/>
      <c r="U718" s="33" t="n"/>
      <c r="V718" s="33" t="n"/>
      <c r="W718" s="33" t="n"/>
      <c r="X718" s="33" t="n"/>
      <c r="Y718" s="33" t="n"/>
      <c r="Z718" s="33" t="n"/>
      <c r="AA718" s="4">
        <f>R718-G718</f>
        <v/>
      </c>
      <c r="AB718" s="4">
        <f>G718-R718</f>
        <v/>
      </c>
      <c r="AC718" s="33" t="n"/>
    </row>
    <row r="719" ht="56.25" customHeight="1">
      <c r="A719" s="35">
        <f>SUBTOTAL(103,$B$24:B719)</f>
        <v/>
      </c>
      <c r="B719" s="36" t="inlineStr">
        <is>
          <t>Шафа холодильна середньотемпературна обємом 600-800 л. (EWT INOX GN650TN)</t>
        </is>
      </c>
      <c r="C719" s="37" t="inlineStr">
        <is>
          <t>к-т</t>
        </is>
      </c>
      <c r="D719" s="33" t="n"/>
      <c r="E719" s="33" t="n"/>
      <c r="F719" s="33">
        <f>E719*0.05</f>
        <v/>
      </c>
      <c r="G719" s="33">
        <f>E719+F719</f>
        <v/>
      </c>
      <c r="H719" s="33" t="n"/>
      <c r="I719" s="33" t="n"/>
      <c r="J719" s="33" t="n"/>
      <c r="K719" s="33">
        <f>L719+M719+N719</f>
        <v/>
      </c>
      <c r="L719" s="33" t="n"/>
      <c r="M719" s="33" t="n"/>
      <c r="N719" s="33" t="n"/>
      <c r="O719" s="33">
        <f>P719+Q719</f>
        <v/>
      </c>
      <c r="P719" s="33" t="n"/>
      <c r="Q719" s="33" t="n"/>
      <c r="R719" s="33">
        <f>H719+K719-O719</f>
        <v/>
      </c>
      <c r="S719" s="33" t="n"/>
      <c r="T719" s="33" t="n"/>
      <c r="U719" s="33" t="n"/>
      <c r="V719" s="33" t="n"/>
      <c r="W719" s="33" t="n"/>
      <c r="X719" s="33" t="n"/>
      <c r="Y719" s="33" t="n"/>
      <c r="Z719" s="33" t="n"/>
      <c r="AA719" s="4">
        <f>R719-G719</f>
        <v/>
      </c>
      <c r="AB719" s="4">
        <f>G719-R719</f>
        <v/>
      </c>
      <c r="AC719" s="33" t="n"/>
    </row>
    <row r="720" ht="56.25" customHeight="1">
      <c r="A720" s="35">
        <f>SUBTOTAL(103,$B$24:B720)</f>
        <v/>
      </c>
      <c r="B720" s="36" t="inlineStr">
        <is>
          <t>Шафа холодильна середньотемпературна (HURAKAN HKN-GX650TN INOX</t>
        </is>
      </c>
      <c r="C720" s="37" t="inlineStr">
        <is>
          <t>к-т</t>
        </is>
      </c>
      <c r="D720" s="33" t="n"/>
      <c r="E720" s="33" t="n"/>
      <c r="F720" s="33">
        <f>E720*0.05</f>
        <v/>
      </c>
      <c r="G720" s="33">
        <f>E720+F720</f>
        <v/>
      </c>
      <c r="H720" s="33" t="n"/>
      <c r="I720" s="33" t="n"/>
      <c r="J720" s="33" t="n"/>
      <c r="K720" s="33">
        <f>L720+M720+N720</f>
        <v/>
      </c>
      <c r="L720" s="33" t="n"/>
      <c r="M720" s="33" t="n"/>
      <c r="N720" s="33" t="n"/>
      <c r="O720" s="33">
        <f>P720+Q720</f>
        <v/>
      </c>
      <c r="P720" s="33" t="n"/>
      <c r="Q720" s="33" t="n"/>
      <c r="R720" s="33">
        <f>H720+K720-O720</f>
        <v/>
      </c>
      <c r="S720" s="33" t="n"/>
      <c r="T720" s="33" t="n"/>
      <c r="U720" s="33" t="n"/>
      <c r="V720" s="33" t="n"/>
      <c r="W720" s="33" t="n"/>
      <c r="X720" s="33" t="n"/>
      <c r="Y720" s="33" t="n"/>
      <c r="Z720" s="33" t="n"/>
      <c r="AA720" s="4">
        <f>R720-G720</f>
        <v/>
      </c>
      <c r="AB720" s="4">
        <f>G720-R720</f>
        <v/>
      </c>
      <c r="AC720" s="33" t="n"/>
    </row>
    <row r="721" ht="37.5" customHeight="1">
      <c r="A721" s="35">
        <f>SUBTOTAL(103,$B$24:B721)</f>
        <v/>
      </c>
      <c r="B721" s="36" t="inlineStr">
        <is>
          <t>Шафа холодильа середньотемпературна 600-800 л.</t>
        </is>
      </c>
      <c r="C721" s="37" t="inlineStr">
        <is>
          <t>к-т</t>
        </is>
      </c>
      <c r="D721" s="33" t="n"/>
      <c r="E721" s="33" t="n"/>
      <c r="F721" s="33">
        <f>E721*0.05</f>
        <v/>
      </c>
      <c r="G721" s="33">
        <f>E721+F721</f>
        <v/>
      </c>
      <c r="H721" s="33" t="n"/>
      <c r="I721" s="33" t="n"/>
      <c r="J721" s="33" t="n"/>
      <c r="K721" s="33">
        <f>L721+M721+N721</f>
        <v/>
      </c>
      <c r="L721" s="33" t="n"/>
      <c r="M721" s="33" t="n"/>
      <c r="N721" s="33" t="n"/>
      <c r="O721" s="33">
        <f>P721+Q721</f>
        <v/>
      </c>
      <c r="P721" s="33" t="n"/>
      <c r="Q721" s="33" t="n"/>
      <c r="R721" s="33">
        <f>H721+K721-O721</f>
        <v/>
      </c>
      <c r="S721" s="33" t="n"/>
      <c r="T721" s="33" t="n"/>
      <c r="U721" s="33" t="n"/>
      <c r="V721" s="33" t="n"/>
      <c r="W721" s="33" t="n"/>
      <c r="X721" s="33" t="n"/>
      <c r="Y721" s="33" t="n"/>
      <c r="Z721" s="33" t="n"/>
      <c r="AA721" s="4">
        <f>R721-G721</f>
        <v/>
      </c>
      <c r="AB721" s="4">
        <f>G721-R721</f>
        <v/>
      </c>
      <c r="AC721" s="33" t="n"/>
    </row>
    <row r="722" ht="56.25" customHeight="1">
      <c r="A722" s="35">
        <f>SUBTOTAL(103,$B$24:B722)</f>
        <v/>
      </c>
      <c r="B722" s="36" t="inlineStr">
        <is>
          <t>Шафа холодильна середньотемпературна об'ємом до 600 л.</t>
        </is>
      </c>
      <c r="C722" s="37" t="inlineStr">
        <is>
          <t>к-т</t>
        </is>
      </c>
      <c r="D722" s="33" t="n"/>
      <c r="E722" s="33" t="n"/>
      <c r="F722" s="33">
        <f>E722*0.05</f>
        <v/>
      </c>
      <c r="G722" s="33">
        <f>E722+F722</f>
        <v/>
      </c>
      <c r="H722" s="33" t="n"/>
      <c r="I722" s="33" t="n"/>
      <c r="J722" s="33" t="n"/>
      <c r="K722" s="33">
        <f>L722+M722+N722</f>
        <v/>
      </c>
      <c r="L722" s="33" t="n"/>
      <c r="M722" s="33" t="n"/>
      <c r="N722" s="33" t="n"/>
      <c r="O722" s="33">
        <f>P722+Q722</f>
        <v/>
      </c>
      <c r="P722" s="33" t="n"/>
      <c r="Q722" s="33" t="n"/>
      <c r="R722" s="33">
        <f>H722+K722-O722</f>
        <v/>
      </c>
      <c r="S722" s="33" t="n"/>
      <c r="T722" s="33" t="n"/>
      <c r="U722" s="33" t="n"/>
      <c r="V722" s="33" t="n"/>
      <c r="W722" s="33" t="n"/>
      <c r="X722" s="33" t="n"/>
      <c r="Y722" s="33" t="n"/>
      <c r="Z722" s="33" t="n"/>
      <c r="AA722" s="4">
        <f>R722-G722</f>
        <v/>
      </c>
      <c r="AB722" s="4">
        <f>G722-R722</f>
        <v/>
      </c>
      <c r="AC722" s="33" t="n"/>
    </row>
    <row r="723" ht="37.5" customHeight="1">
      <c r="A723" s="35">
        <f>SUBTOTAL(103,$B$24:B723)</f>
        <v/>
      </c>
      <c r="B723" s="36" t="inlineStr">
        <is>
          <t>Шафа холодильна середньотемп.  з двома глухими дверима</t>
        </is>
      </c>
      <c r="C723" s="37" t="inlineStr">
        <is>
          <t>к-т</t>
        </is>
      </c>
      <c r="D723" s="33" t="n"/>
      <c r="E723" s="33" t="n"/>
      <c r="F723" s="33">
        <f>E723*0.05</f>
        <v/>
      </c>
      <c r="G723" s="33">
        <f>E723+F723</f>
        <v/>
      </c>
      <c r="H723" s="33" t="n"/>
      <c r="I723" s="33" t="n"/>
      <c r="J723" s="33" t="n"/>
      <c r="K723" s="33">
        <f>L723+M723+N723</f>
        <v/>
      </c>
      <c r="L723" s="33" t="n"/>
      <c r="M723" s="33" t="n"/>
      <c r="N723" s="33" t="n"/>
      <c r="O723" s="33">
        <f>P723+Q723</f>
        <v/>
      </c>
      <c r="P723" s="33" t="n"/>
      <c r="Q723" s="33" t="n"/>
      <c r="R723" s="33">
        <f>H723+K723-O723</f>
        <v/>
      </c>
      <c r="S723" s="33" t="n"/>
      <c r="T723" s="33" t="n"/>
      <c r="U723" s="33" t="n"/>
      <c r="V723" s="33" t="n"/>
      <c r="W723" s="33" t="n"/>
      <c r="X723" s="33" t="n"/>
      <c r="Y723" s="33" t="n"/>
      <c r="Z723" s="33" t="n"/>
      <c r="AA723" s="4">
        <f>R723-G723</f>
        <v/>
      </c>
      <c r="AB723" s="4">
        <f>G723-R723</f>
        <v/>
      </c>
      <c r="AC723" s="33" t="n"/>
    </row>
    <row r="724" ht="56.25" customHeight="1">
      <c r="A724" s="35">
        <f>SUBTOTAL(103,$B$24:B724)</f>
        <v/>
      </c>
      <c r="B724" s="42" t="inlineStr">
        <is>
          <t>Шафа холодильна середньотемпературна з двума глухими дверима, обємом 700 л</t>
        </is>
      </c>
      <c r="C724" s="37" t="inlineStr">
        <is>
          <t>к-т</t>
        </is>
      </c>
      <c r="D724" s="33" t="n"/>
      <c r="E724" s="33" t="n"/>
      <c r="F724" s="33">
        <f>E724*0.05</f>
        <v/>
      </c>
      <c r="G724" s="33">
        <f>E724+F724</f>
        <v/>
      </c>
      <c r="H724" s="33" t="n"/>
      <c r="I724" s="33" t="n"/>
      <c r="J724" s="33" t="n"/>
      <c r="K724" s="33">
        <f>L724+M724+N724</f>
        <v/>
      </c>
      <c r="L724" s="33" t="n"/>
      <c r="M724" s="33" t="n"/>
      <c r="N724" s="33" t="n"/>
      <c r="O724" s="33">
        <f>P724+Q724</f>
        <v/>
      </c>
      <c r="P724" s="33" t="n"/>
      <c r="Q724" s="33" t="n"/>
      <c r="R724" s="33">
        <f>H724+K724-O724</f>
        <v/>
      </c>
      <c r="S724" s="33" t="n"/>
      <c r="T724" s="33" t="n"/>
      <c r="U724" s="33" t="n"/>
      <c r="V724" s="33" t="n"/>
      <c r="W724" s="33" t="n"/>
      <c r="X724" s="33" t="n"/>
      <c r="Y724" s="33" t="n"/>
      <c r="Z724" s="33" t="n"/>
      <c r="AA724" s="4">
        <f>R724-G724</f>
        <v/>
      </c>
      <c r="AB724" s="4">
        <f>G724-R724</f>
        <v/>
      </c>
      <c r="AC724" s="33" t="n"/>
    </row>
    <row r="725" ht="37.5" customHeight="1">
      <c r="A725" s="35">
        <f>SUBTOTAL(103,$B$24:B725)</f>
        <v/>
      </c>
      <c r="B725" s="42" t="inlineStr">
        <is>
          <t>Шафа (скриня) холодильна низькотемпературна 700 л.</t>
        </is>
      </c>
      <c r="C725" s="37" t="inlineStr">
        <is>
          <t>к-т</t>
        </is>
      </c>
      <c r="D725" s="33" t="n"/>
      <c r="E725" s="33" t="n"/>
      <c r="F725" s="33">
        <f>E725*0.05</f>
        <v/>
      </c>
      <c r="G725" s="33">
        <f>E725+F725</f>
        <v/>
      </c>
      <c r="H725" s="33" t="n"/>
      <c r="I725" s="33" t="n"/>
      <c r="J725" s="33" t="n"/>
      <c r="K725" s="33">
        <f>L725+M725+N725</f>
        <v/>
      </c>
      <c r="L725" s="33" t="n"/>
      <c r="M725" s="33" t="n"/>
      <c r="N725" s="33" t="n"/>
      <c r="O725" s="33">
        <f>P725+Q725</f>
        <v/>
      </c>
      <c r="P725" s="33" t="n"/>
      <c r="Q725" s="33" t="n"/>
      <c r="R725" s="33">
        <f>H725+K725-O725</f>
        <v/>
      </c>
      <c r="S725" s="33" t="n"/>
      <c r="T725" s="33" t="n"/>
      <c r="U725" s="33" t="n"/>
      <c r="V725" s="33" t="n"/>
      <c r="W725" s="33" t="n"/>
      <c r="X725" s="33" t="n"/>
      <c r="Y725" s="33" t="n"/>
      <c r="Z725" s="33" t="n"/>
      <c r="AA725" s="4">
        <f>R725-G725</f>
        <v/>
      </c>
      <c r="AB725" s="4">
        <f>G725-R725</f>
        <v/>
      </c>
      <c r="AC725" s="33" t="n"/>
    </row>
    <row r="726" ht="56.25" customHeight="1">
      <c r="A726" s="35">
        <f>SUBTOTAL(103,$B$24:B726)</f>
        <v/>
      </c>
      <c r="B726" s="42" t="inlineStr">
        <is>
          <t>Шафа (скриня) холодильна низькотемпературна обємом 700 л. (морозильна скриня Tefcold CF700-P)</t>
        </is>
      </c>
      <c r="C726" s="37" t="inlineStr">
        <is>
          <t>к-т</t>
        </is>
      </c>
      <c r="D726" s="33" t="n"/>
      <c r="E726" s="33" t="n"/>
      <c r="F726" s="33">
        <f>E726*0.05</f>
        <v/>
      </c>
      <c r="G726" s="33">
        <f>E726+F726</f>
        <v/>
      </c>
      <c r="H726" s="33" t="n"/>
      <c r="I726" s="33" t="n"/>
      <c r="J726" s="33" t="n"/>
      <c r="K726" s="33">
        <f>L726+M726+N726</f>
        <v/>
      </c>
      <c r="L726" s="33" t="n"/>
      <c r="M726" s="33" t="n"/>
      <c r="N726" s="33" t="n"/>
      <c r="O726" s="33">
        <f>P726+Q726</f>
        <v/>
      </c>
      <c r="P726" s="33" t="n"/>
      <c r="Q726" s="33" t="n"/>
      <c r="R726" s="33">
        <f>H726+K726-O726</f>
        <v/>
      </c>
      <c r="S726" s="33" t="n"/>
      <c r="T726" s="33" t="n"/>
      <c r="U726" s="33" t="n"/>
      <c r="V726" s="33" t="n"/>
      <c r="W726" s="33" t="n"/>
      <c r="X726" s="33" t="n"/>
      <c r="Y726" s="33" t="n"/>
      <c r="Z726" s="33" t="n"/>
      <c r="AA726" s="4">
        <f>R726-G726</f>
        <v/>
      </c>
      <c r="AB726" s="4">
        <f>G726-R726</f>
        <v/>
      </c>
      <c r="AC726" s="33" t="n"/>
    </row>
    <row r="727" ht="18.75" customHeight="1">
      <c r="A727" s="35">
        <f>SUBTOTAL(103,$B$24:B727)</f>
        <v/>
      </c>
      <c r="B727" s="36" t="inlineStr">
        <is>
          <t>Шафа холодильна UR600S ( Tefcold)</t>
        </is>
      </c>
      <c r="C727" s="37" t="inlineStr">
        <is>
          <t>к-т</t>
        </is>
      </c>
      <c r="D727" s="33" t="n"/>
      <c r="E727" s="33" t="n"/>
      <c r="F727" s="33">
        <f>E727*0.05</f>
        <v/>
      </c>
      <c r="G727" s="33">
        <f>E727+F727</f>
        <v/>
      </c>
      <c r="H727" s="33" t="n"/>
      <c r="I727" s="33" t="n"/>
      <c r="J727" s="33" t="n"/>
      <c r="K727" s="33">
        <f>L727+M727+N727</f>
        <v/>
      </c>
      <c r="L727" s="33" t="n"/>
      <c r="M727" s="33" t="n"/>
      <c r="N727" s="33" t="n"/>
      <c r="O727" s="33">
        <f>P727+Q727</f>
        <v/>
      </c>
      <c r="P727" s="33" t="n"/>
      <c r="Q727" s="33" t="n"/>
      <c r="R727" s="33">
        <f>H727+K727-O727</f>
        <v/>
      </c>
      <c r="S727" s="33" t="n"/>
      <c r="T727" s="33" t="n"/>
      <c r="U727" s="33" t="n"/>
      <c r="V727" s="33" t="n"/>
      <c r="W727" s="33" t="n"/>
      <c r="X727" s="33" t="n"/>
      <c r="Y727" s="33" t="n"/>
      <c r="Z727" s="33" t="n"/>
      <c r="AA727" s="4">
        <f>R727-G727</f>
        <v/>
      </c>
      <c r="AB727" s="4">
        <f>G727-R727</f>
        <v/>
      </c>
      <c r="AC727" s="33" t="n"/>
    </row>
    <row r="728" ht="18.75" customHeight="1">
      <c r="A728" s="35">
        <f>SUBTOTAL(103,$B$24:B728)</f>
        <v/>
      </c>
      <c r="B728" s="36" t="inlineStr">
        <is>
          <t>Шафа холодильна POCC TORINO 800Г</t>
        </is>
      </c>
      <c r="C728" s="37" t="inlineStr">
        <is>
          <t>к-т</t>
        </is>
      </c>
      <c r="D728" s="33" t="n"/>
      <c r="E728" s="33" t="n"/>
      <c r="F728" s="33">
        <f>E728*0.05</f>
        <v/>
      </c>
      <c r="G728" s="33">
        <f>E728+F728</f>
        <v/>
      </c>
      <c r="H728" s="33" t="n"/>
      <c r="I728" s="33" t="n"/>
      <c r="J728" s="33" t="n"/>
      <c r="K728" s="33">
        <f>L728+M728+N728</f>
        <v/>
      </c>
      <c r="L728" s="33" t="n"/>
      <c r="M728" s="33" t="n"/>
      <c r="N728" s="33" t="n"/>
      <c r="O728" s="33">
        <f>P728+Q728</f>
        <v/>
      </c>
      <c r="P728" s="33" t="n"/>
      <c r="Q728" s="33" t="n"/>
      <c r="R728" s="33">
        <f>H728+K728-O728</f>
        <v/>
      </c>
      <c r="S728" s="33" t="n"/>
      <c r="T728" s="33" t="n"/>
      <c r="U728" s="33" t="n"/>
      <c r="V728" s="33" t="n"/>
      <c r="W728" s="33" t="n"/>
      <c r="X728" s="33" t="n"/>
      <c r="Y728" s="33" t="n"/>
      <c r="Z728" s="33" t="n"/>
      <c r="AA728" s="4">
        <f>R728-G728</f>
        <v/>
      </c>
      <c r="AB728" s="4">
        <f>G728-R728</f>
        <v/>
      </c>
      <c r="AC728" s="33" t="n"/>
    </row>
    <row r="729" ht="18.75" customHeight="1">
      <c r="A729" s="35">
        <f>SUBTOTAL(103,$B$24:B729)</f>
        <v/>
      </c>
      <c r="B729" s="36" t="inlineStr">
        <is>
          <t>Шафа холодильна MAWI SCH 1400/N</t>
        </is>
      </c>
      <c r="C729" s="37" t="inlineStr">
        <is>
          <t>к-т</t>
        </is>
      </c>
      <c r="D729" s="33" t="n"/>
      <c r="E729" s="33" t="n"/>
      <c r="F729" s="33">
        <f>E729*0.05</f>
        <v/>
      </c>
      <c r="G729" s="33">
        <f>E729+F729</f>
        <v/>
      </c>
      <c r="H729" s="33" t="n"/>
      <c r="I729" s="33" t="n"/>
      <c r="J729" s="33" t="n"/>
      <c r="K729" s="33">
        <f>L729+M729+N729</f>
        <v/>
      </c>
      <c r="L729" s="33" t="n"/>
      <c r="M729" s="33" t="n"/>
      <c r="N729" s="33" t="n"/>
      <c r="O729" s="33">
        <f>P729+Q729</f>
        <v/>
      </c>
      <c r="P729" s="33" t="n"/>
      <c r="Q729" s="33" t="n"/>
      <c r="R729" s="33">
        <f>H729+K729-O729</f>
        <v/>
      </c>
      <c r="S729" s="33" t="n"/>
      <c r="T729" s="33" t="n"/>
      <c r="U729" s="33" t="n"/>
      <c r="V729" s="33" t="n"/>
      <c r="W729" s="33" t="n"/>
      <c r="X729" s="33" t="n"/>
      <c r="Y729" s="33" t="n"/>
      <c r="Z729" s="33" t="n"/>
      <c r="AA729" s="4">
        <f>R729-G729</f>
        <v/>
      </c>
      <c r="AB729" s="4">
        <f>G729-R729</f>
        <v/>
      </c>
      <c r="AC729" s="33" t="n"/>
    </row>
    <row r="730" ht="18.75" customHeight="1">
      <c r="A730" s="35">
        <f>SUBTOTAL(103,$B$24:B730)</f>
        <v/>
      </c>
      <c r="B730" s="36" t="inlineStr">
        <is>
          <t>Шафа холодильна SCH-600</t>
        </is>
      </c>
      <c r="C730" s="37" t="inlineStr">
        <is>
          <t>шт.</t>
        </is>
      </c>
      <c r="D730" s="33" t="n"/>
      <c r="E730" s="33" t="n"/>
      <c r="F730" s="33">
        <f>E730*0.05</f>
        <v/>
      </c>
      <c r="G730" s="33">
        <f>E730+F730</f>
        <v/>
      </c>
      <c r="H730" s="33" t="n"/>
      <c r="I730" s="33" t="n"/>
      <c r="J730" s="33" t="n"/>
      <c r="K730" s="33">
        <f>L730+M730+N730</f>
        <v/>
      </c>
      <c r="L730" s="33" t="n"/>
      <c r="M730" s="33" t="n"/>
      <c r="N730" s="33" t="n"/>
      <c r="O730" s="33">
        <f>P730+Q730</f>
        <v/>
      </c>
      <c r="P730" s="33" t="n"/>
      <c r="Q730" s="33" t="n"/>
      <c r="R730" s="33">
        <f>H730+K730-O730</f>
        <v/>
      </c>
      <c r="S730" s="33" t="n"/>
      <c r="T730" s="33" t="n"/>
      <c r="U730" s="33" t="n"/>
      <c r="V730" s="33" t="n"/>
      <c r="W730" s="33" t="n"/>
      <c r="X730" s="33" t="n"/>
      <c r="Y730" s="33" t="n"/>
      <c r="Z730" s="33" t="n"/>
      <c r="AA730" s="4">
        <f>R730-G730</f>
        <v/>
      </c>
      <c r="AB730" s="4">
        <f>G730-R730</f>
        <v/>
      </c>
      <c r="AC730" s="33" t="n"/>
    </row>
    <row r="731" ht="37.5" customHeight="1">
      <c r="A731" s="35">
        <f>SUBTOTAL(103,$B$24:B731)</f>
        <v/>
      </c>
      <c r="B731" s="36" t="inlineStr">
        <is>
          <t>Шафа холодильна HURAKAN HKN-GH1400TN 1400л.</t>
        </is>
      </c>
      <c r="C731" s="37" t="inlineStr">
        <is>
          <t>шт.</t>
        </is>
      </c>
      <c r="D731" s="33" t="n"/>
      <c r="E731" s="33" t="n"/>
      <c r="F731" s="33">
        <f>E731*0.05</f>
        <v/>
      </c>
      <c r="G731" s="33">
        <f>E731+F731</f>
        <v/>
      </c>
      <c r="H731" s="33" t="n"/>
      <c r="I731" s="33" t="n"/>
      <c r="J731" s="33" t="n"/>
      <c r="K731" s="33">
        <f>L731+M731+N731</f>
        <v/>
      </c>
      <c r="L731" s="33" t="n"/>
      <c r="M731" s="33" t="n"/>
      <c r="N731" s="33" t="n"/>
      <c r="O731" s="33">
        <f>P731+Q731</f>
        <v/>
      </c>
      <c r="P731" s="33" t="n"/>
      <c r="Q731" s="33" t="n"/>
      <c r="R731" s="33">
        <f>H731+K731-O731</f>
        <v/>
      </c>
      <c r="S731" s="33" t="n"/>
      <c r="T731" s="33" t="n"/>
      <c r="U731" s="33" t="n"/>
      <c r="V731" s="33" t="n"/>
      <c r="W731" s="33" t="n"/>
      <c r="X731" s="33" t="n"/>
      <c r="Y731" s="33" t="n"/>
      <c r="Z731" s="33" t="n"/>
      <c r="AA731" s="4">
        <f>R731-G731</f>
        <v/>
      </c>
      <c r="AB731" s="4">
        <f>G731-R731</f>
        <v/>
      </c>
      <c r="AC731" s="33" t="n"/>
    </row>
    <row r="732" ht="56.25" customHeight="1">
      <c r="A732" s="35">
        <f>SUBTOTAL(103,$B$24:B732)</f>
        <v/>
      </c>
      <c r="B732" s="36" t="inlineStr">
        <is>
          <t>Шафа холодильна середньотемпературна обємом 900-1150 л. (ШХС 110-н)</t>
        </is>
      </c>
      <c r="C732" s="37" t="inlineStr">
        <is>
          <t>к-т</t>
        </is>
      </c>
      <c r="D732" s="33" t="n"/>
      <c r="E732" s="33" t="n"/>
      <c r="F732" s="33">
        <f>E732*0.05</f>
        <v/>
      </c>
      <c r="G732" s="33">
        <f>E732+F732</f>
        <v/>
      </c>
      <c r="H732" s="33" t="n"/>
      <c r="I732" s="33" t="n"/>
      <c r="J732" s="33" t="n"/>
      <c r="K732" s="33">
        <f>L732+M732+N732</f>
        <v/>
      </c>
      <c r="L732" s="33" t="n"/>
      <c r="M732" s="33" t="n"/>
      <c r="N732" s="33" t="n"/>
      <c r="O732" s="33">
        <f>P732+Q732</f>
        <v/>
      </c>
      <c r="P732" s="33" t="n"/>
      <c r="Q732" s="33" t="n"/>
      <c r="R732" s="33">
        <f>H732+K732-O732</f>
        <v/>
      </c>
      <c r="S732" s="33" t="n"/>
      <c r="T732" s="33" t="n"/>
      <c r="U732" s="33" t="n"/>
      <c r="V732" s="33" t="n"/>
      <c r="W732" s="33" t="n"/>
      <c r="X732" s="33" t="n"/>
      <c r="Y732" s="33" t="n"/>
      <c r="Z732" s="33" t="n"/>
      <c r="AA732" s="4">
        <f>R732-G732</f>
        <v/>
      </c>
      <c r="AB732" s="4">
        <f>G732-R732</f>
        <v/>
      </c>
      <c r="AC732" s="33" t="n"/>
      <c r="MX732" s="74" t="n">
        <v>85</v>
      </c>
    </row>
    <row r="733" ht="56.25" customHeight="1">
      <c r="A733" s="35">
        <f>SUBTOTAL(103,$B$24:B733)</f>
        <v/>
      </c>
      <c r="B733" s="36" t="inlineStr">
        <is>
          <t>Шафа холодильна середньотемпературна 1000-1200 л. ШХС-1,2</t>
        </is>
      </c>
      <c r="C733" s="37" t="inlineStr">
        <is>
          <t>к-т</t>
        </is>
      </c>
      <c r="D733" s="33" t="n"/>
      <c r="E733" s="33" t="n"/>
      <c r="F733" s="33">
        <f>E733*0.05</f>
        <v/>
      </c>
      <c r="G733" s="33">
        <f>E733+F733</f>
        <v/>
      </c>
      <c r="H733" s="33" t="n"/>
      <c r="I733" s="33" t="n"/>
      <c r="J733" s="33" t="n"/>
      <c r="K733" s="33">
        <f>L733+M733+N733</f>
        <v/>
      </c>
      <c r="L733" s="33" t="n"/>
      <c r="M733" s="33" t="n"/>
      <c r="N733" s="33" t="n"/>
      <c r="O733" s="33">
        <f>P733+Q733</f>
        <v/>
      </c>
      <c r="P733" s="33" t="n"/>
      <c r="Q733" s="33" t="n"/>
      <c r="R733" s="33">
        <f>H733+K733-O733</f>
        <v/>
      </c>
      <c r="S733" s="33" t="n"/>
      <c r="T733" s="33" t="n"/>
      <c r="U733" s="33" t="n"/>
      <c r="V733" s="33" t="n"/>
      <c r="W733" s="33" t="n"/>
      <c r="X733" s="33" t="n"/>
      <c r="Y733" s="33" t="n"/>
      <c r="Z733" s="33" t="n"/>
      <c r="AA733" s="4">
        <f>R733-G733</f>
        <v/>
      </c>
      <c r="AB733" s="4">
        <f>G733-R733</f>
        <v/>
      </c>
      <c r="AC733" s="33" t="n"/>
    </row>
    <row r="734" ht="56.25" customHeight="1">
      <c r="A734" s="35">
        <f>SUBTOTAL(103,$B$24:B734)</f>
        <v/>
      </c>
      <c r="B734" s="42" t="inlineStr">
        <is>
          <t>Шафа холодильна середньотемпературна обємом 900-1150 л. (ШХС АЙСТЕРМО-ШХС-1,0)</t>
        </is>
      </c>
      <c r="C734" s="37" t="inlineStr">
        <is>
          <t>к-т</t>
        </is>
      </c>
      <c r="D734" s="33" t="n"/>
      <c r="E734" s="33" t="n"/>
      <c r="F734" s="33">
        <f>E734*0.05</f>
        <v/>
      </c>
      <c r="G734" s="33">
        <f>E734+F734</f>
        <v/>
      </c>
      <c r="H734" s="33" t="n"/>
      <c r="I734" s="33" t="n"/>
      <c r="J734" s="33" t="n"/>
      <c r="K734" s="33">
        <f>L734+M734+N734</f>
        <v/>
      </c>
      <c r="L734" s="33" t="n"/>
      <c r="M734" s="33" t="n"/>
      <c r="N734" s="33" t="n"/>
      <c r="O734" s="33">
        <f>P734+Q734</f>
        <v/>
      </c>
      <c r="P734" s="33" t="n"/>
      <c r="Q734" s="33" t="n"/>
      <c r="R734" s="33">
        <f>H734+K734-O734</f>
        <v/>
      </c>
      <c r="S734" s="33" t="n"/>
      <c r="T734" s="33" t="n"/>
      <c r="U734" s="33" t="n"/>
      <c r="V734" s="33" t="n"/>
      <c r="W734" s="33" t="n"/>
      <c r="X734" s="33" t="n"/>
      <c r="Y734" s="33" t="n"/>
      <c r="Z734" s="33" t="n"/>
      <c r="AA734" s="4">
        <f>R734-G734</f>
        <v/>
      </c>
      <c r="AB734" s="4">
        <f>G734-R734</f>
        <v/>
      </c>
      <c r="AC734" s="33" t="n"/>
    </row>
    <row r="735" ht="56.25" customHeight="1">
      <c r="A735" s="35">
        <f>SUBTOTAL(103,$B$24:B735)</f>
        <v/>
      </c>
      <c r="B735" s="36" t="inlineStr">
        <is>
          <t>Шафа холодильна середньотемпературна обэмом 900-1150 л. ТОРІНО 1000Н</t>
        </is>
      </c>
      <c r="C735" s="37" t="inlineStr">
        <is>
          <t>шт.</t>
        </is>
      </c>
      <c r="D735" s="33" t="n"/>
      <c r="E735" s="33" t="n"/>
      <c r="F735" s="33">
        <f>E735*0.05</f>
        <v/>
      </c>
      <c r="G735" s="33">
        <f>E735+F735</f>
        <v/>
      </c>
      <c r="H735" s="33" t="n"/>
      <c r="I735" s="33" t="n"/>
      <c r="J735" s="33" t="n"/>
      <c r="K735" s="33">
        <f>L735+M735+N735</f>
        <v/>
      </c>
      <c r="L735" s="33" t="n"/>
      <c r="M735" s="33" t="n"/>
      <c r="N735" s="33" t="n"/>
      <c r="O735" s="33">
        <f>P735+Q735</f>
        <v/>
      </c>
      <c r="P735" s="33" t="n"/>
      <c r="Q735" s="33" t="n"/>
      <c r="R735" s="33">
        <f>H735+K735-O735</f>
        <v/>
      </c>
      <c r="S735" s="33" t="n"/>
      <c r="T735" s="33" t="n"/>
      <c r="U735" s="33" t="n"/>
      <c r="V735" s="33" t="n"/>
      <c r="W735" s="33" t="n"/>
      <c r="X735" s="33" t="n"/>
      <c r="Y735" s="33" t="n"/>
      <c r="Z735" s="33" t="n"/>
      <c r="AA735" s="4">
        <f>R735-G735</f>
        <v/>
      </c>
      <c r="AB735" s="4">
        <f>G735-R735</f>
        <v/>
      </c>
      <c r="AC735" s="33" t="n"/>
    </row>
    <row r="736" ht="56.25" customHeight="1">
      <c r="A736" s="35">
        <f>SUBTOTAL(103,$B$24:B736)</f>
        <v/>
      </c>
      <c r="B736" s="36" t="inlineStr">
        <is>
          <t>Шафа холодильна середньотемпературна обємом 900-1150 л. ТОРІНО 1000Н</t>
        </is>
      </c>
      <c r="C736" s="37" t="inlineStr">
        <is>
          <t>шт.</t>
        </is>
      </c>
      <c r="D736" s="33" t="n"/>
      <c r="E736" s="33" t="n"/>
      <c r="F736" s="33">
        <f>E736*0.05</f>
        <v/>
      </c>
      <c r="G736" s="33">
        <f>E736+F736</f>
        <v/>
      </c>
      <c r="H736" s="33" t="n"/>
      <c r="I736" s="33" t="n"/>
      <c r="J736" s="33" t="n"/>
      <c r="K736" s="33">
        <f>L736+M736+N736</f>
        <v/>
      </c>
      <c r="L736" s="33" t="n"/>
      <c r="M736" s="33" t="n"/>
      <c r="N736" s="33" t="n"/>
      <c r="O736" s="33">
        <f>P736+Q736</f>
        <v/>
      </c>
      <c r="P736" s="33" t="n"/>
      <c r="Q736" s="33" t="n"/>
      <c r="R736" s="33">
        <f>H736+K736-O736</f>
        <v/>
      </c>
      <c r="S736" s="33" t="n"/>
      <c r="T736" s="33" t="n"/>
      <c r="U736" s="33" t="n"/>
      <c r="V736" s="33" t="n"/>
      <c r="W736" s="33" t="n"/>
      <c r="X736" s="33" t="n"/>
      <c r="Y736" s="33" t="n"/>
      <c r="Z736" s="33" t="n"/>
      <c r="AA736" s="4">
        <f>R736-G736</f>
        <v/>
      </c>
      <c r="AB736" s="4">
        <f>G736-R736</f>
        <v/>
      </c>
      <c r="AC736" s="33" t="n"/>
    </row>
    <row r="737" ht="56.25" customHeight="1">
      <c r="A737" s="35">
        <f>SUBTOTAL(103,$B$24:B737)</f>
        <v/>
      </c>
      <c r="B737" s="36" t="inlineStr">
        <is>
          <t>Шафа холодильна середньотемпературна об'ємом 1200-1400 л.</t>
        </is>
      </c>
      <c r="C737" s="37" t="inlineStr">
        <is>
          <t>шт.</t>
        </is>
      </c>
      <c r="D737" s="33" t="n"/>
      <c r="E737" s="33" t="n"/>
      <c r="F737" s="33">
        <f>E737*0.05</f>
        <v/>
      </c>
      <c r="G737" s="33">
        <f>E737+F737</f>
        <v/>
      </c>
      <c r="H737" s="33" t="n"/>
      <c r="I737" s="33" t="n"/>
      <c r="J737" s="33" t="n"/>
      <c r="K737" s="33">
        <f>L737+M737+N737</f>
        <v/>
      </c>
      <c r="L737" s="33" t="n"/>
      <c r="M737" s="33" t="n"/>
      <c r="N737" s="33" t="n"/>
      <c r="O737" s="33">
        <f>P737+Q737</f>
        <v/>
      </c>
      <c r="P737" s="33" t="n"/>
      <c r="Q737" s="33" t="n"/>
      <c r="R737" s="33">
        <f>H737+K737-O737</f>
        <v/>
      </c>
      <c r="S737" s="33" t="n"/>
      <c r="T737" s="33" t="n"/>
      <c r="U737" s="33" t="n"/>
      <c r="V737" s="33" t="n"/>
      <c r="W737" s="33" t="n"/>
      <c r="X737" s="33" t="n"/>
      <c r="Y737" s="33" t="n"/>
      <c r="Z737" s="33" t="n"/>
      <c r="AA737" s="4">
        <f>R737-G737</f>
        <v/>
      </c>
      <c r="AB737" s="4">
        <f>G737-R737</f>
        <v/>
      </c>
      <c r="AC737" s="33" t="n"/>
    </row>
    <row r="738" ht="18.75" customHeight="1">
      <c r="A738" s="35">
        <f>SUBTOTAL(103,$B$24:B738)</f>
        <v/>
      </c>
      <c r="B738" s="36" t="inlineStr">
        <is>
          <t>Шафа холодильна Forcar GNB 1200 TN</t>
        </is>
      </c>
      <c r="C738" s="37" t="inlineStr">
        <is>
          <t>шт.</t>
        </is>
      </c>
      <c r="D738" s="33" t="n"/>
      <c r="E738" s="33" t="n"/>
      <c r="F738" s="33">
        <f>E738*0.05</f>
        <v/>
      </c>
      <c r="G738" s="33">
        <f>E738+F738</f>
        <v/>
      </c>
      <c r="H738" s="33" t="n"/>
      <c r="I738" s="33" t="n"/>
      <c r="J738" s="33" t="n"/>
      <c r="K738" s="33">
        <f>L738+M738+N738</f>
        <v/>
      </c>
      <c r="L738" s="33" t="n"/>
      <c r="M738" s="33" t="n"/>
      <c r="N738" s="33" t="n"/>
      <c r="O738" s="33">
        <f>P738+Q738</f>
        <v/>
      </c>
      <c r="P738" s="33" t="n"/>
      <c r="Q738" s="33" t="n"/>
      <c r="R738" s="33">
        <f>H738+K738-O738</f>
        <v/>
      </c>
      <c r="S738" s="33" t="n"/>
      <c r="T738" s="33" t="n"/>
      <c r="U738" s="33" t="n"/>
      <c r="V738" s="33" t="n"/>
      <c r="W738" s="33" t="n"/>
      <c r="X738" s="33" t="n"/>
      <c r="Y738" s="33" t="n"/>
      <c r="Z738" s="33" t="n"/>
      <c r="AA738" s="4">
        <f>R738-G738</f>
        <v/>
      </c>
      <c r="AB738" s="4">
        <f>G738-R738</f>
        <v/>
      </c>
      <c r="AC738" s="33" t="n"/>
    </row>
    <row r="739" ht="56.25" customHeight="1">
      <c r="A739" s="35">
        <f>SUBTOTAL(103,$B$24:B739)</f>
        <v/>
      </c>
      <c r="B739" s="36" t="inlineStr">
        <is>
          <t>Шафа холодильна середньотемпературна обємом 1200-1400 л. (ВХТ-Ш-Д-Г- 1200 ТОРІНО)</t>
        </is>
      </c>
      <c r="C739" s="37" t="inlineStr">
        <is>
          <t>шт.</t>
        </is>
      </c>
      <c r="D739" s="33" t="n"/>
      <c r="E739" s="33" t="n"/>
      <c r="F739" s="33">
        <f>E739*0.05</f>
        <v/>
      </c>
      <c r="G739" s="33">
        <f>E739+F739</f>
        <v/>
      </c>
      <c r="H739" s="33" t="n"/>
      <c r="I739" s="33" t="n"/>
      <c r="J739" s="33" t="n"/>
      <c r="K739" s="33">
        <f>L739+M739+N739</f>
        <v/>
      </c>
      <c r="L739" s="33" t="n"/>
      <c r="M739" s="33" t="n"/>
      <c r="N739" s="33" t="n"/>
      <c r="O739" s="33">
        <f>P739+Q739</f>
        <v/>
      </c>
      <c r="P739" s="33" t="n"/>
      <c r="Q739" s="33" t="n"/>
      <c r="R739" s="33">
        <f>H739+K739-O739</f>
        <v/>
      </c>
      <c r="S739" s="33" t="n"/>
      <c r="T739" s="33" t="n"/>
      <c r="U739" s="33" t="n"/>
      <c r="V739" s="33" t="n"/>
      <c r="W739" s="33" t="n"/>
      <c r="X739" s="33" t="n"/>
      <c r="Y739" s="33" t="n"/>
      <c r="Z739" s="33" t="n"/>
      <c r="AA739" s="4">
        <f>R739-G739</f>
        <v/>
      </c>
      <c r="AB739" s="4">
        <f>G739-R739</f>
        <v/>
      </c>
      <c r="AC739" s="33" t="n"/>
    </row>
    <row r="740" ht="56.25" customHeight="1">
      <c r="A740" s="35">
        <f>SUBTOTAL(103,$B$24:B740)</f>
        <v/>
      </c>
      <c r="B740" s="40" t="inlineStr">
        <is>
          <t>Шафа холодильна середньотемпературна об'ємом до 1200-1400 л. (ШХС-114-н)</t>
        </is>
      </c>
      <c r="C740" s="37" t="inlineStr">
        <is>
          <t>шт.</t>
        </is>
      </c>
      <c r="D740" s="33" t="n"/>
      <c r="E740" s="33" t="n"/>
      <c r="F740" s="33">
        <f>E740*0.05</f>
        <v/>
      </c>
      <c r="G740" s="33">
        <f>E740+F740</f>
        <v/>
      </c>
      <c r="H740" s="33" t="n"/>
      <c r="I740" s="33" t="n"/>
      <c r="J740" s="33" t="n"/>
      <c r="K740" s="33">
        <f>L740+M740+N740</f>
        <v/>
      </c>
      <c r="L740" s="33" t="n"/>
      <c r="M740" s="33" t="n"/>
      <c r="N740" s="33" t="n"/>
      <c r="O740" s="33">
        <f>P740+Q740</f>
        <v/>
      </c>
      <c r="P740" s="33" t="n"/>
      <c r="Q740" s="33" t="n"/>
      <c r="R740" s="33">
        <f>H740+K740-O740</f>
        <v/>
      </c>
      <c r="S740" s="33" t="n"/>
      <c r="T740" s="33" t="n"/>
      <c r="U740" s="33" t="n"/>
      <c r="V740" s="33" t="n"/>
      <c r="W740" s="33" t="n"/>
      <c r="X740" s="33" t="n"/>
      <c r="Y740" s="33" t="n"/>
      <c r="Z740" s="33" t="n"/>
      <c r="AA740" s="4">
        <f>R740-G740</f>
        <v/>
      </c>
      <c r="AB740" s="4">
        <f>G740-R740</f>
        <v/>
      </c>
      <c r="AC740" s="33" t="n"/>
    </row>
    <row r="741" ht="56.25" customHeight="1">
      <c r="A741" s="35">
        <f>SUBTOTAL(103,$B$24:B741)</f>
        <v/>
      </c>
      <c r="B741" s="42" t="inlineStr">
        <is>
          <t>Шафа холодильна середньотемпературна обємом 1200-1400 л. (AmitekAKL1410TN)</t>
        </is>
      </c>
      <c r="C741" s="37" t="inlineStr">
        <is>
          <t>к-т</t>
        </is>
      </c>
      <c r="D741" s="33" t="n"/>
      <c r="E741" s="33" t="n"/>
      <c r="F741" s="33">
        <f>E741*0.05</f>
        <v/>
      </c>
      <c r="G741" s="33">
        <f>E741+F741</f>
        <v/>
      </c>
      <c r="H741" s="33" t="n"/>
      <c r="I741" s="33" t="n"/>
      <c r="J741" s="33" t="n"/>
      <c r="K741" s="33">
        <f>L741+M741+N741</f>
        <v/>
      </c>
      <c r="L741" s="33" t="n"/>
      <c r="M741" s="33" t="n"/>
      <c r="N741" s="33" t="n"/>
      <c r="O741" s="33">
        <f>P741+Q741</f>
        <v/>
      </c>
      <c r="P741" s="33" t="n"/>
      <c r="Q741" s="33" t="n"/>
      <c r="R741" s="33">
        <f>H741+K741-O741</f>
        <v/>
      </c>
      <c r="S741" s="33" t="n"/>
      <c r="T741" s="33" t="n"/>
      <c r="U741" s="33" t="n"/>
      <c r="V741" s="33" t="n"/>
      <c r="W741" s="33" t="n"/>
      <c r="X741" s="33" t="n"/>
      <c r="Y741" s="33" t="n"/>
      <c r="Z741" s="33" t="n"/>
      <c r="AA741" s="4">
        <f>R741-G741</f>
        <v/>
      </c>
      <c r="AB741" s="4">
        <f>G741-R741</f>
        <v/>
      </c>
      <c r="AC741" s="33" t="n"/>
    </row>
    <row r="742" ht="75" customHeight="1">
      <c r="A742" s="35">
        <f>SUBTOTAL(103,$B$24:B742)</f>
        <v/>
      </c>
      <c r="B742" s="36" t="inlineStr">
        <is>
          <t>Шафа холодильна середньотемпературна з двома глухими дверима об'ємом 1200-1400 л. (GN-1410TN)</t>
        </is>
      </c>
      <c r="C742" s="37" t="inlineStr">
        <is>
          <t>к-т</t>
        </is>
      </c>
      <c r="D742" s="33" t="n"/>
      <c r="E742" s="33" t="n"/>
      <c r="F742" s="33">
        <f>E742*0.05</f>
        <v/>
      </c>
      <c r="G742" s="33">
        <f>E742+F742</f>
        <v/>
      </c>
      <c r="H742" s="33" t="n"/>
      <c r="I742" s="33" t="n"/>
      <c r="J742" s="33" t="n"/>
      <c r="K742" s="33">
        <f>L742+M742+N742</f>
        <v/>
      </c>
      <c r="L742" s="33" t="n"/>
      <c r="M742" s="33" t="n"/>
      <c r="N742" s="33" t="n"/>
      <c r="O742" s="33">
        <f>P742+Q742</f>
        <v/>
      </c>
      <c r="P742" s="33" t="n"/>
      <c r="Q742" s="33" t="n"/>
      <c r="R742" s="33">
        <f>H742+K742-O742</f>
        <v/>
      </c>
      <c r="S742" s="33" t="n"/>
      <c r="T742" s="33" t="n"/>
      <c r="U742" s="33" t="n"/>
      <c r="V742" s="33" t="n"/>
      <c r="W742" s="33" t="n"/>
      <c r="X742" s="33" t="n"/>
      <c r="Y742" s="33" t="n"/>
      <c r="Z742" s="33" t="n"/>
      <c r="AA742" s="4">
        <f>R742-G742</f>
        <v/>
      </c>
      <c r="AB742" s="4">
        <f>G742-R742</f>
        <v/>
      </c>
      <c r="AC742" s="33" t="n"/>
    </row>
    <row r="743" ht="75" customHeight="1">
      <c r="A743" s="35">
        <f>SUBTOTAL(103,$B$24:B743)</f>
        <v/>
      </c>
      <c r="B743" s="36" t="inlineStr">
        <is>
          <t>Шафа холодильна середньотемпературна з двома глухими дверима об'ємом 1200-1400 л. (GN-1410TN2)</t>
        </is>
      </c>
      <c r="C743" s="37" t="inlineStr">
        <is>
          <t>к-т</t>
        </is>
      </c>
      <c r="D743" s="33" t="n"/>
      <c r="E743" s="33" t="n"/>
      <c r="F743" s="33">
        <f>E743*0.05</f>
        <v/>
      </c>
      <c r="G743" s="33">
        <f>E743+F743</f>
        <v/>
      </c>
      <c r="H743" s="33" t="n"/>
      <c r="I743" s="33" t="n"/>
      <c r="J743" s="33" t="n"/>
      <c r="K743" s="33">
        <f>L743+M743+N743</f>
        <v/>
      </c>
      <c r="L743" s="33" t="n"/>
      <c r="M743" s="33" t="n"/>
      <c r="N743" s="33" t="n"/>
      <c r="O743" s="33">
        <f>P743+Q743</f>
        <v/>
      </c>
      <c r="P743" s="33" t="n"/>
      <c r="Q743" s="33" t="n"/>
      <c r="R743" s="33">
        <f>H743+K743-O743</f>
        <v/>
      </c>
      <c r="S743" s="33" t="n"/>
      <c r="T743" s="33" t="n"/>
      <c r="U743" s="33" t="n"/>
      <c r="V743" s="33" t="n"/>
      <c r="W743" s="33" t="n"/>
      <c r="X743" s="33" t="n"/>
      <c r="Y743" s="33" t="n"/>
      <c r="Z743" s="33" t="n"/>
      <c r="AA743" s="4">
        <f>R743-G743</f>
        <v/>
      </c>
      <c r="AB743" s="4">
        <f>G743-R743</f>
        <v/>
      </c>
      <c r="AC743" s="33" t="n"/>
    </row>
    <row r="744" ht="56.25" customHeight="1">
      <c r="A744" s="35">
        <f>SUBTOTAL(103,$B$24:B744)</f>
        <v/>
      </c>
      <c r="B744" s="36" t="inlineStr">
        <is>
          <t>Шафа холодильна середньотемпературна 1200-1400 л. (HURAKAN HKN-GX1410TN INOX</t>
        </is>
      </c>
      <c r="C744" s="37" t="inlineStr">
        <is>
          <t>к-т</t>
        </is>
      </c>
      <c r="D744" s="33" t="n"/>
      <c r="E744" s="33" t="n"/>
      <c r="F744" s="33">
        <f>E744*0.05</f>
        <v/>
      </c>
      <c r="G744" s="33">
        <f>E744+F744</f>
        <v/>
      </c>
      <c r="H744" s="33" t="n"/>
      <c r="I744" s="33" t="n"/>
      <c r="J744" s="33" t="n"/>
      <c r="K744" s="33">
        <f>L744+M744+N744</f>
        <v/>
      </c>
      <c r="L744" s="33" t="n"/>
      <c r="M744" s="33" t="n"/>
      <c r="N744" s="33" t="n"/>
      <c r="O744" s="33">
        <f>P744+Q744</f>
        <v/>
      </c>
      <c r="P744" s="33" t="n"/>
      <c r="Q744" s="33" t="n"/>
      <c r="R744" s="33">
        <f>H744+K744-O744</f>
        <v/>
      </c>
      <c r="S744" s="33" t="n"/>
      <c r="T744" s="33" t="n"/>
      <c r="U744" s="33" t="n"/>
      <c r="V744" s="33" t="n"/>
      <c r="W744" s="33" t="n"/>
      <c r="X744" s="33" t="n"/>
      <c r="Y744" s="33" t="n"/>
      <c r="Z744" s="33" t="n"/>
      <c r="AA744" s="4">
        <f>R744-G744</f>
        <v/>
      </c>
      <c r="AB744" s="4">
        <f>G744-R744</f>
        <v/>
      </c>
      <c r="AC744" s="33" t="n"/>
    </row>
    <row r="745" ht="75" customHeight="1">
      <c r="A745" s="35">
        <f>SUBTOTAL(103,$B$24:B745)</f>
        <v/>
      </c>
      <c r="B745" s="36" t="inlineStr">
        <is>
          <t>Шафа холодильна середньотемпературна з двома глухими дверима, обємом 1200-1400 л. (GNC1400L2)</t>
        </is>
      </c>
      <c r="C745" s="37" t="inlineStr">
        <is>
          <t>к-т</t>
        </is>
      </c>
      <c r="D745" s="33" t="n"/>
      <c r="E745" s="33" t="n"/>
      <c r="F745" s="33">
        <f>E745*0.05</f>
        <v/>
      </c>
      <c r="G745" s="33">
        <f>E745+F745</f>
        <v/>
      </c>
      <c r="H745" s="33" t="n"/>
      <c r="I745" s="33" t="n"/>
      <c r="J745" s="33" t="n"/>
      <c r="K745" s="33">
        <f>L745+M745+N745</f>
        <v/>
      </c>
      <c r="L745" s="33" t="n"/>
      <c r="M745" s="33" t="n"/>
      <c r="N745" s="33" t="n"/>
      <c r="O745" s="33">
        <f>P745+Q745</f>
        <v/>
      </c>
      <c r="P745" s="33" t="n"/>
      <c r="Q745" s="33" t="n"/>
      <c r="R745" s="33">
        <f>H745+K745-O745</f>
        <v/>
      </c>
      <c r="S745" s="33" t="n"/>
      <c r="T745" s="33" t="n"/>
      <c r="U745" s="33" t="n"/>
      <c r="V745" s="33" t="n"/>
      <c r="W745" s="33" t="n"/>
      <c r="X745" s="33" t="n"/>
      <c r="Y745" s="33" t="n"/>
      <c r="Z745" s="33" t="n"/>
      <c r="AA745" s="4">
        <f>R745-G745</f>
        <v/>
      </c>
      <c r="AB745" s="4">
        <f>G745-R745</f>
        <v/>
      </c>
      <c r="AC745" s="33" t="n"/>
    </row>
    <row r="746" ht="37.5" customHeight="1">
      <c r="A746" s="35">
        <f>SUBTOTAL(103,$B$24:B746)</f>
        <v/>
      </c>
      <c r="B746" s="36" t="inlineStr">
        <is>
          <t>Шафа холодильна низькотемпературна FAGOR AFP-1602 (1400л</t>
        </is>
      </c>
      <c r="C746" s="37" t="inlineStr">
        <is>
          <t>к-т</t>
        </is>
      </c>
      <c r="D746" s="33" t="n"/>
      <c r="E746" s="33" t="n"/>
      <c r="F746" s="33">
        <f>E746*0.05</f>
        <v/>
      </c>
      <c r="G746" s="33">
        <f>E746+F746</f>
        <v/>
      </c>
      <c r="H746" s="33" t="n"/>
      <c r="I746" s="33" t="n"/>
      <c r="J746" s="33" t="n"/>
      <c r="K746" s="33">
        <f>L746+M746+N746</f>
        <v/>
      </c>
      <c r="L746" s="33" t="n"/>
      <c r="M746" s="33" t="n"/>
      <c r="N746" s="33" t="n"/>
      <c r="O746" s="33">
        <f>P746+Q746</f>
        <v/>
      </c>
      <c r="P746" s="33" t="n"/>
      <c r="Q746" s="33" t="n"/>
      <c r="R746" s="33">
        <f>H746+K746-O746</f>
        <v/>
      </c>
      <c r="S746" s="33" t="n"/>
      <c r="T746" s="33" t="n"/>
      <c r="U746" s="33" t="n"/>
      <c r="V746" s="33" t="n"/>
      <c r="W746" s="33" t="n"/>
      <c r="X746" s="33" t="n"/>
      <c r="Y746" s="33" t="n"/>
      <c r="Z746" s="33" t="n"/>
      <c r="AA746" s="4">
        <f>R746-G746</f>
        <v/>
      </c>
      <c r="AB746" s="4">
        <f>G746-R746</f>
        <v/>
      </c>
      <c r="AC746" s="33" t="n"/>
    </row>
    <row r="747" ht="37.5" customHeight="1">
      <c r="A747" s="35">
        <f>SUBTOTAL(103,$B$24:B747)</f>
        <v/>
      </c>
      <c r="B747" s="36" t="inlineStr">
        <is>
          <t>Шафа холодильна 1400 л. (BN14-M-R290-EF</t>
        </is>
      </c>
      <c r="C747" s="37" t="inlineStr">
        <is>
          <t>к-т</t>
        </is>
      </c>
      <c r="D747" s="33" t="n"/>
      <c r="E747" s="33" t="n"/>
      <c r="F747" s="33">
        <f>E747*0.05</f>
        <v/>
      </c>
      <c r="G747" s="33">
        <f>E747+F747</f>
        <v/>
      </c>
      <c r="H747" s="33" t="n"/>
      <c r="I747" s="33" t="n"/>
      <c r="J747" s="33" t="n"/>
      <c r="K747" s="33">
        <f>L747+M747+N747</f>
        <v/>
      </c>
      <c r="L747" s="33" t="n"/>
      <c r="M747" s="33" t="n"/>
      <c r="N747" s="33" t="n"/>
      <c r="O747" s="33">
        <f>P747+Q747</f>
        <v/>
      </c>
      <c r="P747" s="33" t="n"/>
      <c r="Q747" s="33" t="n"/>
      <c r="R747" s="33">
        <f>H747+K747-O747</f>
        <v/>
      </c>
      <c r="S747" s="33" t="n"/>
      <c r="T747" s="33" t="n"/>
      <c r="U747" s="33" t="n"/>
      <c r="V747" s="33" t="n"/>
      <c r="W747" s="33" t="n"/>
      <c r="X747" s="33" t="n"/>
      <c r="Y747" s="33" t="n"/>
      <c r="Z747" s="33" t="n"/>
      <c r="AA747" s="4">
        <f>R747-G747</f>
        <v/>
      </c>
      <c r="AB747" s="4">
        <f>G747-R747</f>
        <v/>
      </c>
      <c r="AC747" s="33" t="n"/>
    </row>
    <row r="748" ht="37.5" customHeight="1">
      <c r="A748" s="35">
        <f>SUBTOTAL(103,$B$24:B748)</f>
        <v/>
      </c>
      <c r="B748" s="36" t="inlineStr">
        <is>
          <t>Шафа холодильна обємом 700 л. JUKA M800Z</t>
        </is>
      </c>
      <c r="C748" s="37" t="inlineStr">
        <is>
          <t>к-т</t>
        </is>
      </c>
      <c r="D748" s="33" t="n"/>
      <c r="E748" s="33" t="n"/>
      <c r="F748" s="33">
        <f>E748*0.05</f>
        <v/>
      </c>
      <c r="G748" s="33">
        <f>E748+F748</f>
        <v/>
      </c>
      <c r="H748" s="33" t="n"/>
      <c r="I748" s="33" t="n"/>
      <c r="J748" s="33" t="n"/>
      <c r="K748" s="33">
        <f>L748+M748+N748</f>
        <v/>
      </c>
      <c r="L748" s="33" t="n"/>
      <c r="M748" s="33" t="n"/>
      <c r="N748" s="33" t="n"/>
      <c r="O748" s="33">
        <f>P748+Q748</f>
        <v/>
      </c>
      <c r="P748" s="33" t="n"/>
      <c r="Q748" s="33" t="n"/>
      <c r="R748" s="33">
        <f>H748+K748-O748</f>
        <v/>
      </c>
      <c r="S748" s="33" t="n"/>
      <c r="T748" s="33" t="n"/>
      <c r="U748" s="33" t="n"/>
      <c r="V748" s="33" t="n"/>
      <c r="W748" s="33" t="n"/>
      <c r="X748" s="33" t="n"/>
      <c r="Y748" s="33" t="n"/>
      <c r="Z748" s="33" t="n"/>
      <c r="AA748" s="4">
        <f>R748-G748</f>
        <v/>
      </c>
      <c r="AB748" s="4">
        <f>G748-R748</f>
        <v/>
      </c>
      <c r="AC748" s="33" t="n"/>
    </row>
    <row r="749" ht="37.5" customHeight="1">
      <c r="A749" s="35">
        <f>SUBTOTAL(103,$B$24:B749)</f>
        <v/>
      </c>
      <c r="B749" s="36" t="inlineStr">
        <is>
          <t>Шафа холодильна низькотемпературна обємом 700 л. TORINO</t>
        </is>
      </c>
      <c r="C749" s="37" t="inlineStr">
        <is>
          <t>к-т</t>
        </is>
      </c>
      <c r="D749" s="33" t="n"/>
      <c r="E749" s="33" t="n"/>
      <c r="F749" s="33">
        <f>E749*0.05</f>
        <v/>
      </c>
      <c r="G749" s="33">
        <f>E749+F749</f>
        <v/>
      </c>
      <c r="H749" s="33" t="n"/>
      <c r="I749" s="33" t="n"/>
      <c r="J749" s="33" t="n"/>
      <c r="K749" s="33">
        <f>L749+M749+N749</f>
        <v/>
      </c>
      <c r="L749" s="33" t="n"/>
      <c r="M749" s="33" t="n"/>
      <c r="N749" s="33" t="n"/>
      <c r="O749" s="33">
        <f>P749+Q749</f>
        <v/>
      </c>
      <c r="P749" s="33" t="n"/>
      <c r="Q749" s="33" t="n"/>
      <c r="R749" s="33">
        <f>H749+K749-O749</f>
        <v/>
      </c>
      <c r="S749" s="33" t="n"/>
      <c r="T749" s="33" t="n"/>
      <c r="U749" s="33" t="n"/>
      <c r="V749" s="33" t="n"/>
      <c r="W749" s="33" t="n"/>
      <c r="X749" s="33" t="n"/>
      <c r="Y749" s="33" t="n"/>
      <c r="Z749" s="33" t="n"/>
      <c r="AA749" s="4">
        <f>R749-G749</f>
        <v/>
      </c>
      <c r="AB749" s="4">
        <f>G749-R749</f>
        <v/>
      </c>
      <c r="AC749" s="33" t="n"/>
    </row>
    <row r="750" ht="37.5" customHeight="1">
      <c r="A750" s="35">
        <f>SUBTOTAL(103,$B$24:B750)</f>
        <v/>
      </c>
      <c r="B750" s="36" t="inlineStr">
        <is>
          <t>Шафа холодильна низькотемпературна 700 л.</t>
        </is>
      </c>
      <c r="C750" s="37" t="inlineStr">
        <is>
          <t>к-т</t>
        </is>
      </c>
      <c r="D750" s="33" t="n"/>
      <c r="E750" s="33" t="n"/>
      <c r="F750" s="33">
        <f>E750*0.05</f>
        <v/>
      </c>
      <c r="G750" s="33">
        <f>E750+F750</f>
        <v/>
      </c>
      <c r="H750" s="33" t="n"/>
      <c r="I750" s="33" t="n"/>
      <c r="J750" s="33" t="n"/>
      <c r="K750" s="33">
        <f>L750+M750+N750</f>
        <v/>
      </c>
      <c r="L750" s="33" t="n"/>
      <c r="M750" s="33" t="n"/>
      <c r="N750" s="33" t="n"/>
      <c r="O750" s="33">
        <f>P750+Q750</f>
        <v/>
      </c>
      <c r="P750" s="33" t="n"/>
      <c r="Q750" s="33" t="n"/>
      <c r="R750" s="33">
        <f>H750+K750-O750</f>
        <v/>
      </c>
      <c r="S750" s="33" t="n"/>
      <c r="T750" s="33" t="n"/>
      <c r="U750" s="33" t="n"/>
      <c r="V750" s="33" t="n"/>
      <c r="W750" s="33" t="n"/>
      <c r="X750" s="33" t="n"/>
      <c r="Y750" s="33" t="n"/>
      <c r="Z750" s="33" t="n"/>
      <c r="AA750" s="4">
        <f>R750-G750</f>
        <v/>
      </c>
      <c r="AB750" s="4">
        <f>G750-R750</f>
        <v/>
      </c>
      <c r="AC750" s="33" t="n"/>
    </row>
    <row r="751" ht="18.75" customHeight="1">
      <c r="A751" s="35">
        <f>SUBTOTAL(103,$B$24:B751)</f>
        <v/>
      </c>
      <c r="B751" s="36" t="inlineStr">
        <is>
          <t xml:space="preserve">Шафа холодильна низькотемпературна </t>
        </is>
      </c>
      <c r="C751" s="37" t="inlineStr">
        <is>
          <t>к-т</t>
        </is>
      </c>
      <c r="D751" s="33" t="n"/>
      <c r="E751" s="33" t="n"/>
      <c r="F751" s="33">
        <f>E751*0.05</f>
        <v/>
      </c>
      <c r="G751" s="33">
        <f>E751+F751</f>
        <v/>
      </c>
      <c r="H751" s="33" t="n"/>
      <c r="I751" s="33" t="n"/>
      <c r="J751" s="33" t="n"/>
      <c r="K751" s="33">
        <f>L751+M751+N751</f>
        <v/>
      </c>
      <c r="L751" s="33" t="n"/>
      <c r="M751" s="33" t="n"/>
      <c r="N751" s="33" t="n"/>
      <c r="O751" s="33">
        <f>P751+Q751</f>
        <v/>
      </c>
      <c r="P751" s="33" t="n"/>
      <c r="Q751" s="33" t="n"/>
      <c r="R751" s="33">
        <f>H751+K751-O751</f>
        <v/>
      </c>
      <c r="S751" s="33" t="n"/>
      <c r="T751" s="33" t="n"/>
      <c r="U751" s="33" t="n"/>
      <c r="V751" s="33" t="n"/>
      <c r="W751" s="33" t="n"/>
      <c r="X751" s="33" t="n"/>
      <c r="Y751" s="33" t="n"/>
      <c r="Z751" s="33" t="n"/>
      <c r="AA751" s="4">
        <f>R751-G751</f>
        <v/>
      </c>
      <c r="AB751" s="4">
        <f>G751-R751</f>
        <v/>
      </c>
      <c r="AC751" s="33" t="n"/>
    </row>
    <row r="752" ht="18.75" customHeight="1">
      <c r="A752" s="35">
        <f>SUBTOTAL(103,$B$24:B752)</f>
        <v/>
      </c>
      <c r="B752" s="36" t="inlineStr">
        <is>
          <t>Шафи холодильні "ІНДЕЗІТ"</t>
        </is>
      </c>
      <c r="C752" s="37" t="inlineStr">
        <is>
          <t>к-т</t>
        </is>
      </c>
      <c r="D752" s="33" t="n"/>
      <c r="E752" s="33" t="n"/>
      <c r="F752" s="33">
        <f>E752*0.05</f>
        <v/>
      </c>
      <c r="G752" s="33">
        <f>E752+F752</f>
        <v/>
      </c>
      <c r="H752" s="33" t="n"/>
      <c r="I752" s="33" t="n"/>
      <c r="J752" s="33" t="n"/>
      <c r="K752" s="33">
        <f>L752+M752+N752</f>
        <v/>
      </c>
      <c r="L752" s="33" t="n"/>
      <c r="M752" s="33" t="n"/>
      <c r="N752" s="33" t="n"/>
      <c r="O752" s="33">
        <f>P752+Q752</f>
        <v/>
      </c>
      <c r="P752" s="33" t="n"/>
      <c r="Q752" s="33" t="n"/>
      <c r="R752" s="33">
        <f>H752+K752-O752</f>
        <v/>
      </c>
      <c r="S752" s="33" t="n"/>
      <c r="T752" s="33" t="n"/>
      <c r="U752" s="33" t="n"/>
      <c r="V752" s="33" t="n"/>
      <c r="W752" s="33" t="n"/>
      <c r="X752" s="33" t="n"/>
      <c r="Y752" s="33" t="n"/>
      <c r="Z752" s="33" t="n"/>
      <c r="AA752" s="4">
        <f>R752-G752</f>
        <v/>
      </c>
      <c r="AB752" s="4">
        <f>G752-R752</f>
        <v/>
      </c>
      <c r="AC752" s="33" t="n"/>
    </row>
    <row r="753" ht="37.5" customHeight="1">
      <c r="A753" s="35">
        <f>SUBTOTAL(103,$B$24:B753)</f>
        <v/>
      </c>
      <c r="B753" s="36" t="inlineStr">
        <is>
          <t>Шафа холодильна низькотемпературна "ІНДЕЗІТ"</t>
        </is>
      </c>
      <c r="C753" s="37" t="inlineStr">
        <is>
          <t>к-т</t>
        </is>
      </c>
      <c r="D753" s="33" t="n"/>
      <c r="E753" s="33" t="n"/>
      <c r="F753" s="33">
        <f>E753*0.05</f>
        <v/>
      </c>
      <c r="G753" s="33">
        <f>E753+F753</f>
        <v/>
      </c>
      <c r="H753" s="33" t="n"/>
      <c r="I753" s="33" t="n"/>
      <c r="J753" s="33" t="n"/>
      <c r="K753" s="33">
        <f>L753+M753+N753</f>
        <v/>
      </c>
      <c r="L753" s="33" t="n"/>
      <c r="M753" s="33" t="n"/>
      <c r="N753" s="33" t="n"/>
      <c r="O753" s="33">
        <f>P753+Q753</f>
        <v/>
      </c>
      <c r="P753" s="33" t="n"/>
      <c r="Q753" s="33" t="n"/>
      <c r="R753" s="33">
        <f>H753+K753-O753</f>
        <v/>
      </c>
      <c r="S753" s="33" t="n"/>
      <c r="T753" s="33" t="n"/>
      <c r="U753" s="33" t="n"/>
      <c r="V753" s="33" t="n"/>
      <c r="W753" s="33" t="n"/>
      <c r="X753" s="33" t="n"/>
      <c r="Y753" s="33" t="n"/>
      <c r="Z753" s="33" t="n"/>
      <c r="AA753" s="4">
        <f>R753-G753</f>
        <v/>
      </c>
      <c r="AB753" s="4">
        <f>G753-R753</f>
        <v/>
      </c>
      <c r="AC753" s="33" t="n"/>
    </row>
    <row r="754" ht="37.5" customHeight="1">
      <c r="A754" s="35">
        <f>SUBTOTAL(103,$B$24:B754)</f>
        <v/>
      </c>
      <c r="B754" s="36" t="inlineStr">
        <is>
          <t>Шафа холодильна низькотемпературна Снайге</t>
        </is>
      </c>
      <c r="C754" s="37" t="inlineStr">
        <is>
          <t>к-т</t>
        </is>
      </c>
      <c r="D754" s="33" t="n"/>
      <c r="E754" s="33" t="n"/>
      <c r="F754" s="33">
        <f>E754*0.05</f>
        <v/>
      </c>
      <c r="G754" s="33">
        <f>E754+F754</f>
        <v/>
      </c>
      <c r="H754" s="33" t="n"/>
      <c r="I754" s="33" t="n"/>
      <c r="J754" s="33" t="n"/>
      <c r="K754" s="33">
        <f>L754+M754+N754</f>
        <v/>
      </c>
      <c r="L754" s="33" t="n"/>
      <c r="M754" s="33" t="n"/>
      <c r="N754" s="33" t="n"/>
      <c r="O754" s="33">
        <f>P754+Q754</f>
        <v/>
      </c>
      <c r="P754" s="33" t="n"/>
      <c r="Q754" s="33" t="n"/>
      <c r="R754" s="33">
        <f>H754+K754-O754</f>
        <v/>
      </c>
      <c r="S754" s="33" t="n"/>
      <c r="T754" s="33" t="n"/>
      <c r="U754" s="33" t="n"/>
      <c r="V754" s="33" t="n"/>
      <c r="W754" s="33" t="n"/>
      <c r="X754" s="33" t="n"/>
      <c r="Y754" s="33" t="n"/>
      <c r="Z754" s="33" t="n"/>
      <c r="AA754" s="4">
        <f>R754-G754</f>
        <v/>
      </c>
      <c r="AB754" s="4">
        <f>G754-R754</f>
        <v/>
      </c>
      <c r="AC754" s="33" t="n"/>
    </row>
    <row r="755" ht="18.75" customHeight="1">
      <c r="A755" s="35">
        <f>SUBTOTAL(103,$B$24:B755)</f>
        <v/>
      </c>
      <c r="B755" s="36" t="inlineStr">
        <is>
          <t>Шафи холодильні "Інтер 800Т"</t>
        </is>
      </c>
      <c r="C755" s="37" t="inlineStr">
        <is>
          <t>к-т</t>
        </is>
      </c>
      <c r="D755" s="33" t="n"/>
      <c r="E755" s="33" t="n"/>
      <c r="F755" s="33">
        <f>E755*0.05</f>
        <v/>
      </c>
      <c r="G755" s="33">
        <f>E755+F755</f>
        <v/>
      </c>
      <c r="H755" s="33" t="n"/>
      <c r="I755" s="33" t="n"/>
      <c r="J755" s="33" t="n"/>
      <c r="K755" s="33">
        <f>L755+M755+N755</f>
        <v/>
      </c>
      <c r="L755" s="33" t="n"/>
      <c r="M755" s="33" t="n"/>
      <c r="N755" s="33" t="n"/>
      <c r="O755" s="33">
        <f>P755+Q755</f>
        <v/>
      </c>
      <c r="P755" s="33" t="n"/>
      <c r="Q755" s="33" t="n"/>
      <c r="R755" s="33">
        <f>H755+K755-O755</f>
        <v/>
      </c>
      <c r="S755" s="33" t="n"/>
      <c r="T755" s="33" t="n"/>
      <c r="U755" s="33" t="n"/>
      <c r="V755" s="33" t="n"/>
      <c r="W755" s="33" t="n"/>
      <c r="X755" s="33" t="n"/>
      <c r="Y755" s="33" t="n"/>
      <c r="Z755" s="33" t="n"/>
      <c r="AA755" s="4">
        <f>R755-G755</f>
        <v/>
      </c>
      <c r="AB755" s="4">
        <f>G755-R755</f>
        <v/>
      </c>
      <c r="AC755" s="33" t="n"/>
    </row>
    <row r="756" ht="37.5" customHeight="1">
      <c r="A756" s="35">
        <f>SUBTOTAL(103,$B$24:B756)</f>
        <v/>
      </c>
      <c r="B756" s="36" t="inlineStr">
        <is>
          <t>Шафа холодильна,1 дверна, модель 702-ТNN</t>
        </is>
      </c>
      <c r="C756" s="37" t="inlineStr">
        <is>
          <t>к-т</t>
        </is>
      </c>
      <c r="D756" s="33" t="n"/>
      <c r="E756" s="33" t="n"/>
      <c r="F756" s="33">
        <f>E756*0.05</f>
        <v/>
      </c>
      <c r="G756" s="33">
        <f>E756+F756</f>
        <v/>
      </c>
      <c r="H756" s="33" t="n"/>
      <c r="I756" s="33" t="n"/>
      <c r="J756" s="33" t="n"/>
      <c r="K756" s="33">
        <f>L756+M756+N756</f>
        <v/>
      </c>
      <c r="L756" s="33" t="n"/>
      <c r="M756" s="33" t="n"/>
      <c r="N756" s="33" t="n"/>
      <c r="O756" s="33">
        <f>P756+Q756</f>
        <v/>
      </c>
      <c r="P756" s="33" t="n"/>
      <c r="Q756" s="33" t="n"/>
      <c r="R756" s="33">
        <f>H756+K756-O756</f>
        <v/>
      </c>
      <c r="S756" s="33" t="n"/>
      <c r="T756" s="33" t="n"/>
      <c r="U756" s="33" t="n"/>
      <c r="V756" s="33" t="n"/>
      <c r="W756" s="33" t="n"/>
      <c r="X756" s="33" t="n"/>
      <c r="Y756" s="33" t="n"/>
      <c r="Z756" s="33" t="n"/>
      <c r="AA756" s="4">
        <f>R756-G756</f>
        <v/>
      </c>
      <c r="AB756" s="4">
        <f>G756-R756</f>
        <v/>
      </c>
      <c r="AC756" s="33" t="n"/>
    </row>
    <row r="757" ht="56.25" customHeight="1">
      <c r="A757" s="35">
        <f>SUBTOTAL(103,$B$24:B757)</f>
        <v/>
      </c>
      <c r="B757" s="36" t="inlineStr">
        <is>
          <t>Шафа холодильна середньотемпературна 251-300 л. Snaige CD29DM-S302SE</t>
        </is>
      </c>
      <c r="C757" s="37" t="inlineStr">
        <is>
          <t>к-т</t>
        </is>
      </c>
      <c r="D757" s="33" t="n"/>
      <c r="E757" s="33" t="n"/>
      <c r="F757" s="33">
        <f>E757*0.05</f>
        <v/>
      </c>
      <c r="G757" s="33">
        <f>E757+F757</f>
        <v/>
      </c>
      <c r="H757" s="33" t="n"/>
      <c r="I757" s="33" t="n"/>
      <c r="J757" s="33" t="n"/>
      <c r="K757" s="33">
        <f>L757+M757+N757</f>
        <v/>
      </c>
      <c r="L757" s="33" t="n"/>
      <c r="M757" s="33" t="n"/>
      <c r="N757" s="33" t="n"/>
      <c r="O757" s="33">
        <f>P757+Q757</f>
        <v/>
      </c>
      <c r="P757" s="33" t="n"/>
      <c r="Q757" s="33" t="n"/>
      <c r="R757" s="33">
        <f>H757+K757-O757</f>
        <v/>
      </c>
      <c r="S757" s="33" t="n"/>
      <c r="T757" s="33" t="n"/>
      <c r="U757" s="33" t="n"/>
      <c r="V757" s="33" t="n"/>
      <c r="W757" s="33" t="n"/>
      <c r="X757" s="33" t="n"/>
      <c r="Y757" s="33" t="n"/>
      <c r="Z757" s="33" t="n"/>
      <c r="AA757" s="4">
        <f>R757-G757</f>
        <v/>
      </c>
      <c r="AB757" s="4">
        <f>G757-R757</f>
        <v/>
      </c>
      <c r="AC757" s="33" t="n"/>
    </row>
    <row r="758" ht="56.25" customHeight="1">
      <c r="A758" s="35">
        <f>SUBTOTAL(103,$B$24:B758)</f>
        <v/>
      </c>
      <c r="B758" s="36" t="inlineStr">
        <is>
          <t>Шафа холодильна середньотемпературна 301-350 л. Snaige CC35DM-P600FD</t>
        </is>
      </c>
      <c r="C758" s="37" t="inlineStr">
        <is>
          <t>к-т</t>
        </is>
      </c>
      <c r="D758" s="33" t="n"/>
      <c r="E758" s="33" t="n"/>
      <c r="F758" s="33">
        <f>E758*0.05</f>
        <v/>
      </c>
      <c r="G758" s="33">
        <f>E758+F758</f>
        <v/>
      </c>
      <c r="H758" s="33" t="n"/>
      <c r="I758" s="33" t="n"/>
      <c r="J758" s="33" t="n"/>
      <c r="K758" s="33">
        <f>L758+M758+N758</f>
        <v/>
      </c>
      <c r="L758" s="33" t="n"/>
      <c r="M758" s="33" t="n"/>
      <c r="N758" s="33" t="n"/>
      <c r="O758" s="33">
        <f>P758+Q758</f>
        <v/>
      </c>
      <c r="P758" s="33" t="n"/>
      <c r="Q758" s="33" t="n"/>
      <c r="R758" s="33">
        <f>H758+K758-O758</f>
        <v/>
      </c>
      <c r="S758" s="33" t="n"/>
      <c r="T758" s="33" t="n"/>
      <c r="U758" s="33" t="n"/>
      <c r="V758" s="33" t="n"/>
      <c r="W758" s="33" t="n"/>
      <c r="X758" s="33" t="n"/>
      <c r="Y758" s="33" t="n"/>
      <c r="Z758" s="33" t="n"/>
      <c r="AA758" s="4">
        <f>R758-G758</f>
        <v/>
      </c>
      <c r="AB758" s="4">
        <f>G758-R758</f>
        <v/>
      </c>
      <c r="AC758" s="33" t="n"/>
    </row>
    <row r="759" ht="18.75" customHeight="1">
      <c r="A759" s="35">
        <f>SUBTOTAL(103,$B$24:B759)</f>
        <v/>
      </c>
      <c r="B759" s="36" t="inlineStr">
        <is>
          <t>Шафа холодильна 78 л.</t>
        </is>
      </c>
      <c r="C759" s="37" t="inlineStr">
        <is>
          <t>к-т</t>
        </is>
      </c>
      <c r="D759" s="33" t="n"/>
      <c r="E759" s="33" t="n"/>
      <c r="F759" s="33">
        <f>E759*0.05</f>
        <v/>
      </c>
      <c r="G759" s="33">
        <f>E759+F759</f>
        <v/>
      </c>
      <c r="H759" s="33" t="n"/>
      <c r="I759" s="33" t="n"/>
      <c r="J759" s="33" t="n"/>
      <c r="K759" s="33">
        <f>L759+M759+N759</f>
        <v/>
      </c>
      <c r="L759" s="33" t="n"/>
      <c r="M759" s="33" t="n"/>
      <c r="N759" s="33" t="n"/>
      <c r="O759" s="33">
        <f>P759+Q759</f>
        <v/>
      </c>
      <c r="P759" s="33" t="n"/>
      <c r="Q759" s="33" t="n"/>
      <c r="R759" s="33">
        <f>H759+K759-O759</f>
        <v/>
      </c>
      <c r="S759" s="33" t="n"/>
      <c r="T759" s="33" t="n"/>
      <c r="U759" s="33" t="n"/>
      <c r="V759" s="33" t="n"/>
      <c r="W759" s="33" t="n"/>
      <c r="X759" s="33" t="n"/>
      <c r="Y759" s="33" t="n"/>
      <c r="Z759" s="33" t="n"/>
      <c r="AA759" s="4">
        <f>R759-G759</f>
        <v/>
      </c>
      <c r="AB759" s="4">
        <f>G759-R759</f>
        <v/>
      </c>
      <c r="AC759" s="33" t="n"/>
    </row>
    <row r="760" ht="18.75" customHeight="1">
      <c r="A760" s="35">
        <f>SUBTOTAL(103,$B$24:B760)</f>
        <v/>
      </c>
      <c r="B760" s="36" t="inlineStr">
        <is>
          <t>Холодильна камера Gorenje R619EES5</t>
        </is>
      </c>
      <c r="C760" s="37" t="inlineStr">
        <is>
          <t>к-т</t>
        </is>
      </c>
      <c r="D760" s="33" t="n"/>
      <c r="E760" s="33" t="n"/>
      <c r="F760" s="33">
        <f>E760*0.05</f>
        <v/>
      </c>
      <c r="G760" s="33">
        <f>E760+F760</f>
        <v/>
      </c>
      <c r="H760" s="33" t="n"/>
      <c r="I760" s="33" t="n"/>
      <c r="J760" s="33" t="n"/>
      <c r="K760" s="33">
        <f>L760+M760+N760</f>
        <v/>
      </c>
      <c r="L760" s="33" t="n"/>
      <c r="M760" s="33" t="n"/>
      <c r="N760" s="33" t="n"/>
      <c r="O760" s="33">
        <f>P760+Q760</f>
        <v/>
      </c>
      <c r="P760" s="33" t="n"/>
      <c r="Q760" s="33" t="n"/>
      <c r="R760" s="33">
        <f>H760+K760-O760</f>
        <v/>
      </c>
      <c r="S760" s="33" t="n"/>
      <c r="T760" s="33" t="n"/>
      <c r="U760" s="33" t="n"/>
      <c r="V760" s="33" t="n"/>
      <c r="W760" s="33" t="n"/>
      <c r="X760" s="33" t="n"/>
      <c r="Y760" s="33" t="n"/>
      <c r="Z760" s="33" t="n"/>
      <c r="AA760" s="4">
        <f>R760-G760</f>
        <v/>
      </c>
      <c r="AB760" s="4">
        <f>G760-R760</f>
        <v/>
      </c>
      <c r="AC760" s="33" t="n"/>
    </row>
    <row r="761" ht="37.5" customHeight="1">
      <c r="A761" s="35">
        <f>SUBTOTAL(103,$B$24:B761)</f>
        <v/>
      </c>
      <c r="B761" s="36" t="inlineStr">
        <is>
          <t>Холодильна камера Gorenje R619EAXL6</t>
        </is>
      </c>
      <c r="C761" s="37" t="inlineStr">
        <is>
          <t>к-т</t>
        </is>
      </c>
      <c r="D761" s="33" t="n"/>
      <c r="E761" s="33" t="n"/>
      <c r="F761" s="33">
        <f>E761*0.05</f>
        <v/>
      </c>
      <c r="G761" s="33">
        <f>E761+F761</f>
        <v/>
      </c>
      <c r="H761" s="33" t="n"/>
      <c r="I761" s="33" t="n"/>
      <c r="J761" s="33" t="n"/>
      <c r="K761" s="33">
        <f>L761+M761+N761</f>
        <v/>
      </c>
      <c r="L761" s="33" t="n"/>
      <c r="M761" s="33" t="n"/>
      <c r="N761" s="33" t="n"/>
      <c r="O761" s="33">
        <f>P761+Q761</f>
        <v/>
      </c>
      <c r="P761" s="33" t="n"/>
      <c r="Q761" s="33" t="n"/>
      <c r="R761" s="33">
        <f>H761+K761-O761</f>
        <v/>
      </c>
      <c r="S761" s="33" t="n"/>
      <c r="T761" s="33" t="n"/>
      <c r="U761" s="33" t="n"/>
      <c r="V761" s="33" t="n"/>
      <c r="W761" s="33" t="n"/>
      <c r="X761" s="33" t="n"/>
      <c r="Y761" s="33" t="n"/>
      <c r="Z761" s="33" t="n"/>
      <c r="AA761" s="4">
        <f>R761-G761</f>
        <v/>
      </c>
      <c r="AB761" s="4">
        <f>G761-R761</f>
        <v/>
      </c>
      <c r="AC761" s="33" t="n"/>
    </row>
    <row r="762" ht="18.75" customHeight="1">
      <c r="A762" s="35">
        <f>SUBTOTAL(103,$B$24:B762)</f>
        <v/>
      </c>
      <c r="B762" s="36" t="inlineStr">
        <is>
          <t>Холодильна камера Snige 308л.</t>
        </is>
      </c>
      <c r="C762" s="37" t="inlineStr">
        <is>
          <t>к-т</t>
        </is>
      </c>
      <c r="D762" s="33" t="n"/>
      <c r="E762" s="33" t="n"/>
      <c r="F762" s="33">
        <f>E762*0.05</f>
        <v/>
      </c>
      <c r="G762" s="33">
        <f>E762+F762</f>
        <v/>
      </c>
      <c r="H762" s="33" t="n"/>
      <c r="I762" s="33" t="n"/>
      <c r="J762" s="33" t="n"/>
      <c r="K762" s="33">
        <f>L762+M762+N762</f>
        <v/>
      </c>
      <c r="L762" s="33" t="n"/>
      <c r="M762" s="33" t="n"/>
      <c r="N762" s="33" t="n"/>
      <c r="O762" s="33">
        <f>P762+Q762</f>
        <v/>
      </c>
      <c r="P762" s="33" t="n"/>
      <c r="Q762" s="33" t="n"/>
      <c r="R762" s="33">
        <f>H762+K762-O762</f>
        <v/>
      </c>
      <c r="S762" s="33" t="n"/>
      <c r="T762" s="33" t="n"/>
      <c r="U762" s="33" t="n"/>
      <c r="V762" s="33" t="n"/>
      <c r="W762" s="33" t="n"/>
      <c r="X762" s="33" t="n"/>
      <c r="Y762" s="33" t="n"/>
      <c r="Z762" s="33" t="n"/>
      <c r="AA762" s="4">
        <f>R762-G762</f>
        <v/>
      </c>
      <c r="AB762" s="4">
        <f>G762-R762</f>
        <v/>
      </c>
      <c r="AC762" s="33" t="n"/>
    </row>
    <row r="763" ht="18.75" customHeight="1">
      <c r="A763" s="35">
        <f>SUBTOTAL(103,$B$24:B763)</f>
        <v/>
      </c>
      <c r="B763" s="36" t="inlineStr">
        <is>
          <t>Холодильна камера "KLIMASAN"</t>
        </is>
      </c>
      <c r="C763" s="37" t="inlineStr">
        <is>
          <t>к-т</t>
        </is>
      </c>
      <c r="D763" s="33" t="n"/>
      <c r="E763" s="33" t="n"/>
      <c r="F763" s="33">
        <f>E763*0.05</f>
        <v/>
      </c>
      <c r="G763" s="33">
        <f>E763+F763</f>
        <v/>
      </c>
      <c r="H763" s="33" t="n"/>
      <c r="I763" s="33" t="n"/>
      <c r="J763" s="33" t="n"/>
      <c r="K763" s="33">
        <f>L763+M763+N763</f>
        <v/>
      </c>
      <c r="L763" s="33" t="n"/>
      <c r="M763" s="33" t="n"/>
      <c r="N763" s="33" t="n"/>
      <c r="O763" s="33">
        <f>P763+Q763</f>
        <v/>
      </c>
      <c r="P763" s="33" t="n"/>
      <c r="Q763" s="33" t="n"/>
      <c r="R763" s="33">
        <f>H763+K763-O763</f>
        <v/>
      </c>
      <c r="S763" s="33" t="n"/>
      <c r="T763" s="33" t="n"/>
      <c r="U763" s="33" t="n"/>
      <c r="V763" s="33" t="n"/>
      <c r="W763" s="33" t="n"/>
      <c r="X763" s="33" t="n"/>
      <c r="Y763" s="33" t="n"/>
      <c r="Z763" s="33" t="n"/>
      <c r="AA763" s="4">
        <f>R763-G763</f>
        <v/>
      </c>
      <c r="AB763" s="4">
        <f>G763-R763</f>
        <v/>
      </c>
      <c r="AC763" s="33" t="n"/>
    </row>
    <row r="764" ht="18.75" customHeight="1">
      <c r="A764" s="35">
        <f>SUBTOTAL(103,$B$24:B764)</f>
        <v/>
      </c>
      <c r="B764" s="36" t="inlineStr">
        <is>
          <t>Шафа холодильна з підставкою</t>
        </is>
      </c>
      <c r="C764" s="37" t="inlineStr">
        <is>
          <t>к-т</t>
        </is>
      </c>
      <c r="D764" s="33" t="n"/>
      <c r="E764" s="33" t="n"/>
      <c r="F764" s="33">
        <f>E764*0.05</f>
        <v/>
      </c>
      <c r="G764" s="33">
        <f>E764+F764</f>
        <v/>
      </c>
      <c r="H764" s="33" t="n"/>
      <c r="I764" s="33" t="n"/>
      <c r="J764" s="33" t="n"/>
      <c r="K764" s="33">
        <f>L764+M764+N764</f>
        <v/>
      </c>
      <c r="L764" s="33" t="n"/>
      <c r="M764" s="33" t="n"/>
      <c r="N764" s="33" t="n"/>
      <c r="O764" s="33">
        <f>P764+Q764</f>
        <v/>
      </c>
      <c r="P764" s="33" t="n"/>
      <c r="Q764" s="33" t="n"/>
      <c r="R764" s="33">
        <f>H764+K764-O764</f>
        <v/>
      </c>
      <c r="S764" s="33" t="n"/>
      <c r="T764" s="33" t="n"/>
      <c r="U764" s="33" t="n"/>
      <c r="V764" s="33" t="n"/>
      <c r="W764" s="33" t="n"/>
      <c r="X764" s="33" t="n"/>
      <c r="Y764" s="33" t="n"/>
      <c r="Z764" s="33" t="n"/>
      <c r="AA764" s="4">
        <f>R764-G764</f>
        <v/>
      </c>
      <c r="AB764" s="4">
        <f>G764-R764</f>
        <v/>
      </c>
      <c r="AC764" s="33" t="n"/>
    </row>
    <row r="765" ht="18.75" customHeight="1">
      <c r="A765" s="35">
        <f>SUBTOTAL(103,$B$24:B765)</f>
        <v/>
      </c>
      <c r="B765" s="36" t="inlineStr">
        <is>
          <t>Шафи холодильні інші</t>
        </is>
      </c>
      <c r="C765" s="37" t="inlineStr">
        <is>
          <t>к-т</t>
        </is>
      </c>
      <c r="D765" s="33" t="n"/>
      <c r="E765" s="33" t="n"/>
      <c r="F765" s="33">
        <f>E765*0.05</f>
        <v/>
      </c>
      <c r="G765" s="33">
        <f>E765+F765</f>
        <v/>
      </c>
      <c r="H765" s="33" t="n"/>
      <c r="I765" s="33" t="n"/>
      <c r="J765" s="33" t="n"/>
      <c r="K765" s="33">
        <f>L765+M765+N765</f>
        <v/>
      </c>
      <c r="L765" s="33" t="n"/>
      <c r="M765" s="33" t="n"/>
      <c r="N765" s="33" t="n"/>
      <c r="O765" s="33">
        <f>P765+Q765</f>
        <v/>
      </c>
      <c r="P765" s="33" t="n"/>
      <c r="Q765" s="33" t="n"/>
      <c r="R765" s="33">
        <f>H765+K765-O765</f>
        <v/>
      </c>
      <c r="S765" s="33" t="n"/>
      <c r="T765" s="33" t="n"/>
      <c r="U765" s="33" t="n"/>
      <c r="V765" s="33" t="n"/>
      <c r="W765" s="33" t="n"/>
      <c r="X765" s="33" t="n"/>
      <c r="Y765" s="33" t="n"/>
      <c r="Z765" s="33" t="n"/>
      <c r="AA765" s="4">
        <f>R765-G765</f>
        <v/>
      </c>
      <c r="AB765" s="4">
        <f>G765-R765</f>
        <v/>
      </c>
      <c r="AC765" s="33" t="n"/>
    </row>
    <row r="766" ht="18.75" customHeight="1">
      <c r="A766" s="35">
        <f>SUBTOTAL(103,$B$24:B766)</f>
        <v/>
      </c>
      <c r="B766" s="36" t="inlineStr">
        <is>
          <t>Холодильна шафа VD70M</t>
        </is>
      </c>
      <c r="C766" s="37" t="inlineStr">
        <is>
          <t>к-т</t>
        </is>
      </c>
      <c r="D766" s="33" t="n"/>
      <c r="E766" s="33" t="n"/>
      <c r="F766" s="33">
        <f>E766*0.05</f>
        <v/>
      </c>
      <c r="G766" s="33">
        <f>E766+F766</f>
        <v/>
      </c>
      <c r="H766" s="33" t="n"/>
      <c r="I766" s="33" t="n"/>
      <c r="J766" s="33" t="n"/>
      <c r="K766" s="33">
        <f>L766+M766+N766</f>
        <v/>
      </c>
      <c r="L766" s="33" t="n"/>
      <c r="M766" s="33" t="n"/>
      <c r="N766" s="33" t="n"/>
      <c r="O766" s="33">
        <f>P766+Q766</f>
        <v/>
      </c>
      <c r="P766" s="33" t="n"/>
      <c r="Q766" s="33" t="n"/>
      <c r="R766" s="33">
        <f>H766+K766-O766</f>
        <v/>
      </c>
      <c r="S766" s="33" t="n"/>
      <c r="T766" s="33" t="n"/>
      <c r="U766" s="33" t="n"/>
      <c r="V766" s="33" t="n"/>
      <c r="W766" s="33" t="n"/>
      <c r="X766" s="33" t="n"/>
      <c r="Y766" s="33" t="n"/>
      <c r="Z766" s="33" t="n"/>
      <c r="AA766" s="4">
        <f>R766-G766</f>
        <v/>
      </c>
      <c r="AB766" s="4">
        <f>G766-R766</f>
        <v/>
      </c>
      <c r="AC766" s="33" t="n"/>
    </row>
    <row r="767" ht="18.75" customHeight="1">
      <c r="A767" s="35">
        <f>SUBTOTAL(103,$B$24:B767)</f>
        <v/>
      </c>
      <c r="B767" s="36" t="inlineStr">
        <is>
          <t>Холодильна шафа Polair 1000л</t>
        </is>
      </c>
      <c r="C767" s="37" t="inlineStr">
        <is>
          <t>к-т</t>
        </is>
      </c>
      <c r="D767" s="33" t="n"/>
      <c r="E767" s="33" t="n"/>
      <c r="F767" s="33">
        <f>E767*0.05</f>
        <v/>
      </c>
      <c r="G767" s="33">
        <f>E767+F767</f>
        <v/>
      </c>
      <c r="H767" s="33" t="n"/>
      <c r="I767" s="33" t="n"/>
      <c r="J767" s="33" t="n"/>
      <c r="K767" s="33">
        <f>L767+M767+N767</f>
        <v/>
      </c>
      <c r="L767" s="33" t="n"/>
      <c r="M767" s="33" t="n"/>
      <c r="N767" s="33" t="n"/>
      <c r="O767" s="33">
        <f>P767+Q767</f>
        <v/>
      </c>
      <c r="P767" s="33" t="n"/>
      <c r="Q767" s="33" t="n"/>
      <c r="R767" s="33">
        <f>H767+K767-O767</f>
        <v/>
      </c>
      <c r="S767" s="33" t="n"/>
      <c r="T767" s="33" t="n"/>
      <c r="U767" s="33" t="n"/>
      <c r="V767" s="33" t="n"/>
      <c r="W767" s="33" t="n"/>
      <c r="X767" s="33" t="n"/>
      <c r="Y767" s="33" t="n"/>
      <c r="Z767" s="33" t="n"/>
      <c r="AA767" s="4">
        <f>R767-G767</f>
        <v/>
      </c>
      <c r="AB767" s="4">
        <f>G767-R767</f>
        <v/>
      </c>
      <c r="AC767" s="33" t="n"/>
    </row>
    <row r="768" ht="18.75" customHeight="1">
      <c r="A768" s="35">
        <f>SUBTOTAL(103,$B$24:B768)</f>
        <v/>
      </c>
      <c r="B768" s="36" t="inlineStr">
        <is>
          <t>Холодильна шафа LARGE</t>
        </is>
      </c>
      <c r="C768" s="37" t="inlineStr">
        <is>
          <t>к-т</t>
        </is>
      </c>
      <c r="D768" s="33" t="n"/>
      <c r="E768" s="33" t="n"/>
      <c r="F768" s="33">
        <f>E768*0.05</f>
        <v/>
      </c>
      <c r="G768" s="33">
        <f>E768+F768</f>
        <v/>
      </c>
      <c r="H768" s="33" t="n"/>
      <c r="I768" s="33" t="n"/>
      <c r="J768" s="33" t="n"/>
      <c r="K768" s="33">
        <f>L768+M768+N768</f>
        <v/>
      </c>
      <c r="L768" s="33" t="n"/>
      <c r="M768" s="33" t="n"/>
      <c r="N768" s="33" t="n"/>
      <c r="O768" s="33">
        <f>P768+Q768</f>
        <v/>
      </c>
      <c r="P768" s="33" t="n"/>
      <c r="Q768" s="33" t="n"/>
      <c r="R768" s="33">
        <f>H768+K768-O768</f>
        <v/>
      </c>
      <c r="S768" s="33" t="n"/>
      <c r="T768" s="33" t="n"/>
      <c r="U768" s="33" t="n"/>
      <c r="V768" s="33" t="n"/>
      <c r="W768" s="33" t="n"/>
      <c r="X768" s="33" t="n"/>
      <c r="Y768" s="33" t="n"/>
      <c r="Z768" s="33" t="n"/>
      <c r="AA768" s="4">
        <f>R768-G768</f>
        <v/>
      </c>
      <c r="AB768" s="4">
        <f>G768-R768</f>
        <v/>
      </c>
      <c r="AC768" s="33" t="n"/>
    </row>
    <row r="769" ht="18.75" customHeight="1">
      <c r="A769" s="35">
        <f>SUBTOTAL(103,$B$24:B769)</f>
        <v/>
      </c>
      <c r="B769" s="36" t="inlineStr">
        <is>
          <t>Холодильна шафа Energy AD</t>
        </is>
      </c>
      <c r="C769" s="37" t="inlineStr">
        <is>
          <t>к-т</t>
        </is>
      </c>
      <c r="D769" s="33" t="n"/>
      <c r="E769" s="33" t="n"/>
      <c r="F769" s="33">
        <f>E769*0.05</f>
        <v/>
      </c>
      <c r="G769" s="33">
        <f>E769+F769</f>
        <v/>
      </c>
      <c r="H769" s="33" t="n"/>
      <c r="I769" s="33" t="n"/>
      <c r="J769" s="33" t="n"/>
      <c r="K769" s="33">
        <f>L769+M769+N769</f>
        <v/>
      </c>
      <c r="L769" s="33" t="n"/>
      <c r="M769" s="33" t="n"/>
      <c r="N769" s="33" t="n"/>
      <c r="O769" s="33">
        <f>P769+Q769</f>
        <v/>
      </c>
      <c r="P769" s="33" t="n"/>
      <c r="Q769" s="33" t="n"/>
      <c r="R769" s="33">
        <f>H769+K769-O769</f>
        <v/>
      </c>
      <c r="S769" s="33" t="n"/>
      <c r="T769" s="33" t="n"/>
      <c r="U769" s="33" t="n"/>
      <c r="V769" s="33" t="n"/>
      <c r="W769" s="33" t="n"/>
      <c r="X769" s="33" t="n"/>
      <c r="Y769" s="33" t="n"/>
      <c r="Z769" s="33" t="n"/>
      <c r="AA769" s="4">
        <f>R769-G769</f>
        <v/>
      </c>
      <c r="AB769" s="4">
        <f>G769-R769</f>
        <v/>
      </c>
      <c r="AC769" s="33" t="n"/>
    </row>
    <row r="770" ht="18.75" customHeight="1">
      <c r="A770" s="35">
        <f>SUBTOTAL(103,$B$24:B770)</f>
        <v/>
      </c>
      <c r="B770" s="36" t="inlineStr">
        <is>
          <t>Холодильна шафа ECO</t>
        </is>
      </c>
      <c r="C770" s="37" t="inlineStr">
        <is>
          <t>к-т</t>
        </is>
      </c>
      <c r="D770" s="33" t="n"/>
      <c r="E770" s="33" t="n"/>
      <c r="F770" s="33">
        <f>E770*0.05</f>
        <v/>
      </c>
      <c r="G770" s="33">
        <f>E770+F770</f>
        <v/>
      </c>
      <c r="H770" s="33" t="n"/>
      <c r="I770" s="33" t="n"/>
      <c r="J770" s="33" t="n"/>
      <c r="K770" s="33">
        <f>L770+M770+N770</f>
        <v/>
      </c>
      <c r="L770" s="33" t="n"/>
      <c r="M770" s="33" t="n"/>
      <c r="N770" s="33" t="n"/>
      <c r="O770" s="33">
        <f>P770+Q770</f>
        <v/>
      </c>
      <c r="P770" s="33" t="n"/>
      <c r="Q770" s="33" t="n"/>
      <c r="R770" s="33">
        <f>H770+K770-O770</f>
        <v/>
      </c>
      <c r="S770" s="33" t="n"/>
      <c r="T770" s="33" t="n"/>
      <c r="U770" s="33" t="n"/>
      <c r="V770" s="33" t="n"/>
      <c r="W770" s="33" t="n"/>
      <c r="X770" s="33" t="n"/>
      <c r="Y770" s="33" t="n"/>
      <c r="Z770" s="33" t="n"/>
      <c r="AA770" s="4">
        <f>R770-G770</f>
        <v/>
      </c>
      <c r="AB770" s="4">
        <f>G770-R770</f>
        <v/>
      </c>
      <c r="AC770" s="33" t="n"/>
    </row>
    <row r="771" ht="18.75" customHeight="1">
      <c r="A771" s="35">
        <f>SUBTOTAL(103,$B$24:B771)</f>
        <v/>
      </c>
      <c r="B771" s="39" t="inlineStr">
        <is>
          <t>ХОЛОДИЛЬНИКИ ПОБУТОВІ</t>
        </is>
      </c>
      <c r="C771" s="37" t="n"/>
      <c r="D771" s="33" t="n"/>
      <c r="E771" s="33" t="n"/>
      <c r="F771" s="33">
        <f>E771*0.05</f>
        <v/>
      </c>
      <c r="G771" s="33">
        <f>E771+F771</f>
        <v/>
      </c>
      <c r="H771" s="33" t="n"/>
      <c r="I771" s="33" t="n"/>
      <c r="J771" s="33" t="n"/>
      <c r="K771" s="33">
        <f>L771+M771+N771</f>
        <v/>
      </c>
      <c r="L771" s="33" t="n"/>
      <c r="M771" s="33" t="n"/>
      <c r="N771" s="33" t="n"/>
      <c r="O771" s="33">
        <f>P771+Q771</f>
        <v/>
      </c>
      <c r="P771" s="33" t="n"/>
      <c r="Q771" s="33" t="n"/>
      <c r="R771" s="33">
        <f>H771+K771-O771</f>
        <v/>
      </c>
      <c r="S771" s="33" t="n"/>
      <c r="T771" s="33" t="n"/>
      <c r="U771" s="33" t="n"/>
      <c r="V771" s="33" t="n"/>
      <c r="W771" s="33" t="n"/>
      <c r="X771" s="33" t="n"/>
      <c r="Y771" s="33" t="n"/>
      <c r="Z771" s="33" t="n"/>
      <c r="AA771" s="4">
        <f>R771-G771</f>
        <v/>
      </c>
      <c r="AB771" s="4">
        <f>G771-R771</f>
        <v/>
      </c>
      <c r="AC771" s="33" t="n"/>
    </row>
    <row r="772" ht="18.75" customHeight="1">
      <c r="A772" s="35">
        <f>SUBTOTAL(103,$B$24:B772)</f>
        <v/>
      </c>
      <c r="B772" s="36" t="inlineStr">
        <is>
          <t>Холодильник побут. "ДНІПРО-2М"</t>
        </is>
      </c>
      <c r="C772" s="37" t="inlineStr">
        <is>
          <t>к-т</t>
        </is>
      </c>
      <c r="D772" s="33" t="n"/>
      <c r="E772" s="33" t="n"/>
      <c r="F772" s="33">
        <f>E772*0.05</f>
        <v/>
      </c>
      <c r="G772" s="33">
        <f>E772+F772</f>
        <v/>
      </c>
      <c r="H772" s="33" t="n"/>
      <c r="I772" s="33" t="n"/>
      <c r="J772" s="33" t="n"/>
      <c r="K772" s="33">
        <f>L772+M772+N772</f>
        <v/>
      </c>
      <c r="L772" s="33" t="n"/>
      <c r="M772" s="33" t="n"/>
      <c r="N772" s="33" t="n"/>
      <c r="O772" s="33">
        <f>P772+Q772</f>
        <v/>
      </c>
      <c r="P772" s="33" t="n"/>
      <c r="Q772" s="33" t="n"/>
      <c r="R772" s="33">
        <f>H772+K772-O772</f>
        <v/>
      </c>
      <c r="S772" s="33" t="n"/>
      <c r="T772" s="33" t="n"/>
      <c r="U772" s="33" t="n"/>
      <c r="V772" s="33" t="n"/>
      <c r="W772" s="33" t="n"/>
      <c r="X772" s="33" t="n"/>
      <c r="Y772" s="33" t="n"/>
      <c r="Z772" s="33" t="n"/>
      <c r="AA772" s="4">
        <f>R772-G772</f>
        <v/>
      </c>
      <c r="AB772" s="4">
        <f>G772-R772</f>
        <v/>
      </c>
      <c r="AC772" s="33" t="n"/>
    </row>
    <row r="773" ht="18.75" customHeight="1">
      <c r="A773" s="35">
        <f>SUBTOTAL(103,$B$24:B773)</f>
        <v/>
      </c>
      <c r="B773" s="36" t="inlineStr">
        <is>
          <t>Холодильник побут. "ДНІПРО"</t>
        </is>
      </c>
      <c r="C773" s="37" t="inlineStr">
        <is>
          <t>к-т</t>
        </is>
      </c>
      <c r="D773" s="33" t="n"/>
      <c r="E773" s="33" t="n"/>
      <c r="F773" s="33">
        <f>E773*0.05</f>
        <v/>
      </c>
      <c r="G773" s="33">
        <f>E773+F773</f>
        <v/>
      </c>
      <c r="H773" s="33" t="n"/>
      <c r="I773" s="33" t="n"/>
      <c r="J773" s="33" t="n"/>
      <c r="K773" s="33">
        <f>L773+M773+N773</f>
        <v/>
      </c>
      <c r="L773" s="33" t="n"/>
      <c r="M773" s="33" t="n"/>
      <c r="N773" s="33" t="n"/>
      <c r="O773" s="33">
        <f>P773+Q773</f>
        <v/>
      </c>
      <c r="P773" s="33" t="n"/>
      <c r="Q773" s="33" t="n"/>
      <c r="R773" s="33">
        <f>H773+K773-O773</f>
        <v/>
      </c>
      <c r="S773" s="33" t="n"/>
      <c r="T773" s="33" t="n"/>
      <c r="U773" s="33" t="n"/>
      <c r="V773" s="33" t="n"/>
      <c r="W773" s="33" t="n"/>
      <c r="X773" s="33" t="n"/>
      <c r="Y773" s="33" t="n"/>
      <c r="Z773" s="33" t="n"/>
      <c r="AA773" s="4">
        <f>R773-G773</f>
        <v/>
      </c>
      <c r="AB773" s="4">
        <f>G773-R773</f>
        <v/>
      </c>
      <c r="AC773" s="33" t="n"/>
    </row>
    <row r="774" ht="18.75" customHeight="1">
      <c r="A774" s="35">
        <f>SUBTOTAL(103,$B$24:B774)</f>
        <v/>
      </c>
      <c r="B774" s="36" t="inlineStr">
        <is>
          <t>Холодильник побут. "ДНІПРО-416"</t>
        </is>
      </c>
      <c r="C774" s="37" t="inlineStr">
        <is>
          <t>к-т</t>
        </is>
      </c>
      <c r="D774" s="33" t="n"/>
      <c r="E774" s="33" t="n"/>
      <c r="F774" s="33">
        <f>E774*0.05</f>
        <v/>
      </c>
      <c r="G774" s="33">
        <f>E774+F774</f>
        <v/>
      </c>
      <c r="H774" s="33" t="n"/>
      <c r="I774" s="33" t="n"/>
      <c r="J774" s="33" t="n"/>
      <c r="K774" s="33">
        <f>L774+M774+N774</f>
        <v/>
      </c>
      <c r="L774" s="33" t="n"/>
      <c r="M774" s="33" t="n"/>
      <c r="N774" s="33" t="n"/>
      <c r="O774" s="33">
        <f>P774+Q774</f>
        <v/>
      </c>
      <c r="P774" s="33" t="n"/>
      <c r="Q774" s="33" t="n"/>
      <c r="R774" s="33">
        <f>H774+K774-O774</f>
        <v/>
      </c>
      <c r="S774" s="33" t="n"/>
      <c r="T774" s="33" t="n"/>
      <c r="U774" s="33" t="n"/>
      <c r="V774" s="33" t="n"/>
      <c r="W774" s="33" t="n"/>
      <c r="X774" s="33" t="n"/>
      <c r="Y774" s="33" t="n"/>
      <c r="Z774" s="33" t="n"/>
      <c r="AA774" s="4">
        <f>R774-G774</f>
        <v/>
      </c>
      <c r="AB774" s="4">
        <f>G774-R774</f>
        <v/>
      </c>
      <c r="AC774" s="33" t="n"/>
    </row>
    <row r="775" ht="18.75" customHeight="1">
      <c r="A775" s="35">
        <f>SUBTOTAL(103,$B$24:B775)</f>
        <v/>
      </c>
      <c r="B775" s="36" t="inlineStr">
        <is>
          <t>Холодильник побут. "ДНІПРО-442"</t>
        </is>
      </c>
      <c r="C775" s="37" t="inlineStr">
        <is>
          <t>к-т</t>
        </is>
      </c>
      <c r="D775" s="33" t="n"/>
      <c r="E775" s="33" t="n"/>
      <c r="F775" s="33">
        <f>E775*0.05</f>
        <v/>
      </c>
      <c r="G775" s="33">
        <f>E775+F775</f>
        <v/>
      </c>
      <c r="H775" s="33" t="n"/>
      <c r="I775" s="33" t="n"/>
      <c r="J775" s="33" t="n"/>
      <c r="K775" s="33">
        <f>L775+M775+N775</f>
        <v/>
      </c>
      <c r="L775" s="33" t="n"/>
      <c r="M775" s="33" t="n"/>
      <c r="N775" s="33" t="n"/>
      <c r="O775" s="33">
        <f>P775+Q775</f>
        <v/>
      </c>
      <c r="P775" s="33" t="n"/>
      <c r="Q775" s="33" t="n"/>
      <c r="R775" s="33">
        <f>H775+K775-O775</f>
        <v/>
      </c>
      <c r="S775" s="33" t="n"/>
      <c r="T775" s="33" t="n"/>
      <c r="U775" s="33" t="n"/>
      <c r="V775" s="33" t="n"/>
      <c r="W775" s="33" t="n"/>
      <c r="X775" s="33" t="n"/>
      <c r="Y775" s="33" t="n"/>
      <c r="Z775" s="33" t="n"/>
      <c r="AA775" s="4">
        <f>R775-G775</f>
        <v/>
      </c>
      <c r="AB775" s="4">
        <f>G775-R775</f>
        <v/>
      </c>
      <c r="AC775" s="33" t="n"/>
    </row>
    <row r="776" ht="18.75" customHeight="1">
      <c r="A776" s="35">
        <f>SUBTOTAL(103,$B$24:B776)</f>
        <v/>
      </c>
      <c r="B776" s="36" t="inlineStr">
        <is>
          <t>Холодильник побут. "КРИСТАЛ"</t>
        </is>
      </c>
      <c r="C776" s="37" t="inlineStr">
        <is>
          <t>к-т</t>
        </is>
      </c>
      <c r="D776" s="33" t="n"/>
      <c r="E776" s="33" t="n"/>
      <c r="F776" s="33">
        <f>E776*0.05</f>
        <v/>
      </c>
      <c r="G776" s="33">
        <f>E776+F776</f>
        <v/>
      </c>
      <c r="H776" s="33" t="n"/>
      <c r="I776" s="33" t="n"/>
      <c r="J776" s="33" t="n"/>
      <c r="K776" s="33">
        <f>L776+M776+N776</f>
        <v/>
      </c>
      <c r="L776" s="33" t="n"/>
      <c r="M776" s="33" t="n"/>
      <c r="N776" s="33" t="n"/>
      <c r="O776" s="33">
        <f>P776+Q776</f>
        <v/>
      </c>
      <c r="P776" s="33" t="n"/>
      <c r="Q776" s="33" t="n"/>
      <c r="R776" s="33">
        <f>H776+K776-O776</f>
        <v/>
      </c>
      <c r="S776" s="33" t="n"/>
      <c r="T776" s="33" t="n"/>
      <c r="U776" s="33" t="n"/>
      <c r="V776" s="33" t="n"/>
      <c r="W776" s="33" t="n"/>
      <c r="X776" s="33" t="n"/>
      <c r="Y776" s="33" t="n"/>
      <c r="Z776" s="33" t="n"/>
      <c r="AA776" s="4">
        <f>R776-G776</f>
        <v/>
      </c>
      <c r="AB776" s="4">
        <f>G776-R776</f>
        <v/>
      </c>
      <c r="AC776" s="33" t="n"/>
    </row>
    <row r="777" ht="18.75" customHeight="1">
      <c r="A777" s="35">
        <f>SUBTOTAL(103,$B$24:B777)</f>
        <v/>
      </c>
      <c r="B777" s="36" t="inlineStr">
        <is>
          <t>Холодильник побут. "БІРЮЗА"</t>
        </is>
      </c>
      <c r="C777" s="37" t="inlineStr">
        <is>
          <t>к-т</t>
        </is>
      </c>
      <c r="D777" s="33" t="n"/>
      <c r="E777" s="33" t="n"/>
      <c r="F777" s="33">
        <f>E777*0.05</f>
        <v/>
      </c>
      <c r="G777" s="33">
        <f>E777+F777</f>
        <v/>
      </c>
      <c r="H777" s="33" t="n"/>
      <c r="I777" s="33" t="n"/>
      <c r="J777" s="33" t="n"/>
      <c r="K777" s="33">
        <f>L777+M777+N777</f>
        <v/>
      </c>
      <c r="L777" s="33" t="n"/>
      <c r="M777" s="33" t="n"/>
      <c r="N777" s="33" t="n"/>
      <c r="O777" s="33">
        <f>P777+Q777</f>
        <v/>
      </c>
      <c r="P777" s="33" t="n"/>
      <c r="Q777" s="33" t="n"/>
      <c r="R777" s="33">
        <f>H777+K777-O777</f>
        <v/>
      </c>
      <c r="S777" s="33" t="n"/>
      <c r="T777" s="33" t="n"/>
      <c r="U777" s="33" t="n"/>
      <c r="V777" s="33" t="n"/>
      <c r="W777" s="33" t="n"/>
      <c r="X777" s="33" t="n"/>
      <c r="Y777" s="33" t="n"/>
      <c r="Z777" s="33" t="n"/>
      <c r="AA777" s="4">
        <f>R777-G777</f>
        <v/>
      </c>
      <c r="AB777" s="4">
        <f>G777-R777</f>
        <v/>
      </c>
      <c r="AC777" s="33" t="n"/>
    </row>
    <row r="778" ht="18.75" customHeight="1">
      <c r="A778" s="35">
        <f>SUBTOTAL(103,$B$24:B778)</f>
        <v/>
      </c>
      <c r="B778" s="36" t="inlineStr">
        <is>
          <t>Холодильник побут. "МІНСЬК"</t>
        </is>
      </c>
      <c r="C778" s="37" t="inlineStr">
        <is>
          <t>к-т</t>
        </is>
      </c>
      <c r="D778" s="33" t="n"/>
      <c r="E778" s="33" t="n"/>
      <c r="F778" s="33">
        <f>E778*0.05</f>
        <v/>
      </c>
      <c r="G778" s="33">
        <f>E778+F778</f>
        <v/>
      </c>
      <c r="H778" s="33" t="n"/>
      <c r="I778" s="33" t="n"/>
      <c r="J778" s="33" t="n"/>
      <c r="K778" s="33">
        <f>L778+M778+N778</f>
        <v/>
      </c>
      <c r="L778" s="33" t="n"/>
      <c r="M778" s="33" t="n"/>
      <c r="N778" s="33" t="n"/>
      <c r="O778" s="33">
        <f>P778+Q778</f>
        <v/>
      </c>
      <c r="P778" s="33" t="n"/>
      <c r="Q778" s="33" t="n"/>
      <c r="R778" s="33">
        <f>H778+K778-O778</f>
        <v/>
      </c>
      <c r="S778" s="33" t="n"/>
      <c r="T778" s="33" t="n"/>
      <c r="U778" s="33" t="n"/>
      <c r="V778" s="33" t="n"/>
      <c r="W778" s="33" t="n"/>
      <c r="X778" s="33" t="n"/>
      <c r="Y778" s="33" t="n"/>
      <c r="Z778" s="33" t="n"/>
      <c r="AA778" s="4">
        <f>R778-G778</f>
        <v/>
      </c>
      <c r="AB778" s="4">
        <f>G778-R778</f>
        <v/>
      </c>
      <c r="AC778" s="33" t="n"/>
    </row>
    <row r="779" ht="18.75" customHeight="1">
      <c r="A779" s="35">
        <f>SUBTOTAL(103,$B$24:B779)</f>
        <v/>
      </c>
      <c r="B779" s="36" t="inlineStr">
        <is>
          <t>Холодильник побут. "Мінськ-Атлант"</t>
        </is>
      </c>
      <c r="C779" s="37" t="inlineStr">
        <is>
          <t>к-т</t>
        </is>
      </c>
      <c r="D779" s="33" t="n"/>
      <c r="E779" s="33" t="n"/>
      <c r="F779" s="33">
        <f>E779*0.05</f>
        <v/>
      </c>
      <c r="G779" s="33">
        <f>E779+F779</f>
        <v/>
      </c>
      <c r="H779" s="33" t="n"/>
      <c r="I779" s="33" t="n"/>
      <c r="J779" s="33" t="n"/>
      <c r="K779" s="33">
        <f>L779+M779+N779</f>
        <v/>
      </c>
      <c r="L779" s="33" t="n"/>
      <c r="M779" s="33" t="n"/>
      <c r="N779" s="33" t="n"/>
      <c r="O779" s="33">
        <f>P779+Q779</f>
        <v/>
      </c>
      <c r="P779" s="33" t="n"/>
      <c r="Q779" s="33" t="n"/>
      <c r="R779" s="33">
        <f>H779+K779-O779</f>
        <v/>
      </c>
      <c r="S779" s="33" t="n"/>
      <c r="T779" s="33" t="n"/>
      <c r="U779" s="33" t="n"/>
      <c r="V779" s="33" t="n"/>
      <c r="W779" s="33" t="n"/>
      <c r="X779" s="33" t="n"/>
      <c r="Y779" s="33" t="n"/>
      <c r="Z779" s="33" t="n"/>
      <c r="AA779" s="4">
        <f>R779-G779</f>
        <v/>
      </c>
      <c r="AB779" s="4">
        <f>G779-R779</f>
        <v/>
      </c>
      <c r="AC779" s="33" t="n"/>
    </row>
    <row r="780" ht="18.75" customHeight="1">
      <c r="A780" s="35">
        <f>SUBTOTAL(103,$B$24:B780)</f>
        <v/>
      </c>
      <c r="B780" s="36" t="inlineStr">
        <is>
          <t>Холодильник побут. "МІНСЬК-15-1"</t>
        </is>
      </c>
      <c r="C780" s="37" t="inlineStr">
        <is>
          <t>к-т</t>
        </is>
      </c>
      <c r="D780" s="33" t="n"/>
      <c r="E780" s="33" t="n"/>
      <c r="F780" s="33">
        <f>E780*0.05</f>
        <v/>
      </c>
      <c r="G780" s="33">
        <f>E780+F780</f>
        <v/>
      </c>
      <c r="H780" s="33" t="n"/>
      <c r="I780" s="33" t="n"/>
      <c r="J780" s="33" t="n"/>
      <c r="K780" s="33">
        <f>L780+M780+N780</f>
        <v/>
      </c>
      <c r="L780" s="33" t="n"/>
      <c r="M780" s="33" t="n"/>
      <c r="N780" s="33" t="n"/>
      <c r="O780" s="33">
        <f>P780+Q780</f>
        <v/>
      </c>
      <c r="P780" s="33" t="n"/>
      <c r="Q780" s="33" t="n"/>
      <c r="R780" s="33">
        <f>H780+K780-O780</f>
        <v/>
      </c>
      <c r="S780" s="33" t="n"/>
      <c r="T780" s="33" t="n"/>
      <c r="U780" s="33" t="n"/>
      <c r="V780" s="33" t="n"/>
      <c r="W780" s="33" t="n"/>
      <c r="X780" s="33" t="n"/>
      <c r="Y780" s="33" t="n"/>
      <c r="Z780" s="33" t="n"/>
      <c r="AA780" s="4">
        <f>R780-G780</f>
        <v/>
      </c>
      <c r="AB780" s="4">
        <f>G780-R780</f>
        <v/>
      </c>
      <c r="AC780" s="33" t="n"/>
    </row>
    <row r="781" ht="18.75" customHeight="1">
      <c r="A781" s="35">
        <f>SUBTOTAL(103,$B$24:B781)</f>
        <v/>
      </c>
      <c r="B781" s="36" t="inlineStr">
        <is>
          <t>Холодильник побут. "МІНСЬК-216"</t>
        </is>
      </c>
      <c r="C781" s="37" t="inlineStr">
        <is>
          <t>к-т</t>
        </is>
      </c>
      <c r="D781" s="33" t="n"/>
      <c r="E781" s="33" t="n"/>
      <c r="F781" s="33">
        <f>E781*0.05</f>
        <v/>
      </c>
      <c r="G781" s="33">
        <f>E781+F781</f>
        <v/>
      </c>
      <c r="H781" s="33" t="n"/>
      <c r="I781" s="33" t="n"/>
      <c r="J781" s="33" t="n"/>
      <c r="K781" s="33">
        <f>L781+M781+N781</f>
        <v/>
      </c>
      <c r="L781" s="33" t="n"/>
      <c r="M781" s="33" t="n"/>
      <c r="N781" s="33" t="n"/>
      <c r="O781" s="33">
        <f>P781+Q781</f>
        <v/>
      </c>
      <c r="P781" s="33" t="n"/>
      <c r="Q781" s="33" t="n"/>
      <c r="R781" s="33">
        <f>H781+K781-O781</f>
        <v/>
      </c>
      <c r="S781" s="33" t="n"/>
      <c r="T781" s="33" t="n"/>
      <c r="U781" s="33" t="n"/>
      <c r="V781" s="33" t="n"/>
      <c r="W781" s="33" t="n"/>
      <c r="X781" s="33" t="n"/>
      <c r="Y781" s="33" t="n"/>
      <c r="Z781" s="33" t="n"/>
      <c r="AA781" s="4">
        <f>R781-G781</f>
        <v/>
      </c>
      <c r="AB781" s="4">
        <f>G781-R781</f>
        <v/>
      </c>
      <c r="AC781" s="33" t="n"/>
    </row>
    <row r="782" ht="18.75" customHeight="1">
      <c r="A782" s="35">
        <f>SUBTOTAL(103,$B$24:B782)</f>
        <v/>
      </c>
      <c r="B782" s="36" t="inlineStr">
        <is>
          <t>Холодильник побут. "Мінськ-210"</t>
        </is>
      </c>
      <c r="C782" s="37" t="inlineStr">
        <is>
          <t>к-т</t>
        </is>
      </c>
      <c r="D782" s="33" t="n"/>
      <c r="E782" s="33" t="n"/>
      <c r="F782" s="33">
        <f>E782*0.05</f>
        <v/>
      </c>
      <c r="G782" s="33">
        <f>E782+F782</f>
        <v/>
      </c>
      <c r="H782" s="33" t="n"/>
      <c r="I782" s="33" t="n"/>
      <c r="J782" s="33" t="n"/>
      <c r="K782" s="33">
        <f>L782+M782+N782</f>
        <v/>
      </c>
      <c r="L782" s="33" t="n"/>
      <c r="M782" s="33" t="n"/>
      <c r="N782" s="33" t="n"/>
      <c r="O782" s="33">
        <f>P782+Q782</f>
        <v/>
      </c>
      <c r="P782" s="33" t="n"/>
      <c r="Q782" s="33" t="n"/>
      <c r="R782" s="33">
        <f>H782+K782-O782</f>
        <v/>
      </c>
      <c r="S782" s="33" t="n"/>
      <c r="T782" s="33" t="n"/>
      <c r="U782" s="33" t="n"/>
      <c r="V782" s="33" t="n"/>
      <c r="W782" s="33" t="n"/>
      <c r="X782" s="33" t="n"/>
      <c r="Y782" s="33" t="n"/>
      <c r="Z782" s="33" t="n"/>
      <c r="AA782" s="4">
        <f>R782-G782</f>
        <v/>
      </c>
      <c r="AB782" s="4">
        <f>G782-R782</f>
        <v/>
      </c>
      <c r="AC782" s="33" t="n"/>
    </row>
    <row r="783" ht="18.75" customHeight="1">
      <c r="A783" s="35">
        <f>SUBTOTAL(103,$B$24:B783)</f>
        <v/>
      </c>
      <c r="B783" s="36" t="inlineStr">
        <is>
          <t>Холодильник побут. "МІНСЬК-126"</t>
        </is>
      </c>
      <c r="C783" s="37" t="inlineStr">
        <is>
          <t>к-т</t>
        </is>
      </c>
      <c r="D783" s="33" t="n"/>
      <c r="E783" s="33" t="n"/>
      <c r="F783" s="33">
        <f>E783*0.05</f>
        <v/>
      </c>
      <c r="G783" s="33">
        <f>E783+F783</f>
        <v/>
      </c>
      <c r="H783" s="33" t="n"/>
      <c r="I783" s="33" t="n"/>
      <c r="J783" s="33" t="n"/>
      <c r="K783" s="33">
        <f>L783+M783+N783</f>
        <v/>
      </c>
      <c r="L783" s="33" t="n"/>
      <c r="M783" s="33" t="n"/>
      <c r="N783" s="33" t="n"/>
      <c r="O783" s="33">
        <f>P783+Q783</f>
        <v/>
      </c>
      <c r="P783" s="33" t="n"/>
      <c r="Q783" s="33" t="n"/>
      <c r="R783" s="33">
        <f>H783+K783-O783</f>
        <v/>
      </c>
      <c r="S783" s="33" t="n"/>
      <c r="T783" s="33" t="n"/>
      <c r="U783" s="33" t="n"/>
      <c r="V783" s="33" t="n"/>
      <c r="W783" s="33" t="n"/>
      <c r="X783" s="33" t="n"/>
      <c r="Y783" s="33" t="n"/>
      <c r="Z783" s="33" t="n"/>
      <c r="AA783" s="4">
        <f>R783-G783</f>
        <v/>
      </c>
      <c r="AB783" s="4">
        <f>G783-R783</f>
        <v/>
      </c>
      <c r="AC783" s="33" t="n"/>
    </row>
    <row r="784" ht="18.75" customHeight="1">
      <c r="A784" s="35">
        <f>SUBTOTAL(103,$B$24:B784)</f>
        <v/>
      </c>
      <c r="B784" s="36" t="inlineStr">
        <is>
          <t>Холодильник побут. "ОКА"</t>
        </is>
      </c>
      <c r="C784" s="37" t="inlineStr">
        <is>
          <t>к-т</t>
        </is>
      </c>
      <c r="D784" s="33" t="n"/>
      <c r="E784" s="33" t="n"/>
      <c r="F784" s="33">
        <f>E784*0.05</f>
        <v/>
      </c>
      <c r="G784" s="33">
        <f>E784+F784</f>
        <v/>
      </c>
      <c r="H784" s="33" t="n"/>
      <c r="I784" s="33" t="n"/>
      <c r="J784" s="33" t="n"/>
      <c r="K784" s="33">
        <f>L784+M784+N784</f>
        <v/>
      </c>
      <c r="L784" s="33" t="n"/>
      <c r="M784" s="33" t="n"/>
      <c r="N784" s="33" t="n"/>
      <c r="O784" s="33">
        <f>P784+Q784</f>
        <v/>
      </c>
      <c r="P784" s="33" t="n"/>
      <c r="Q784" s="33" t="n"/>
      <c r="R784" s="33">
        <f>H784+K784-O784</f>
        <v/>
      </c>
      <c r="S784" s="33" t="n"/>
      <c r="T784" s="33" t="n"/>
      <c r="U784" s="33" t="n"/>
      <c r="V784" s="33" t="n"/>
      <c r="W784" s="33" t="n"/>
      <c r="X784" s="33" t="n"/>
      <c r="Y784" s="33" t="n"/>
      <c r="Z784" s="33" t="n"/>
      <c r="AA784" s="4">
        <f>R784-G784</f>
        <v/>
      </c>
      <c r="AB784" s="4">
        <f>G784-R784</f>
        <v/>
      </c>
      <c r="AC784" s="33" t="n"/>
    </row>
    <row r="785" ht="18.75" customHeight="1">
      <c r="A785" s="35">
        <f>SUBTOTAL(103,$B$24:B785)</f>
        <v/>
      </c>
      <c r="B785" s="36" t="inlineStr">
        <is>
          <t>Холодильник побут. "САРАТОВ"</t>
        </is>
      </c>
      <c r="C785" s="37" t="inlineStr">
        <is>
          <t>к-т</t>
        </is>
      </c>
      <c r="D785" s="33" t="n"/>
      <c r="E785" s="33" t="n"/>
      <c r="F785" s="33">
        <f>E785*0.05</f>
        <v/>
      </c>
      <c r="G785" s="33">
        <f>E785+F785</f>
        <v/>
      </c>
      <c r="H785" s="33" t="n"/>
      <c r="I785" s="33" t="n"/>
      <c r="J785" s="33" t="n"/>
      <c r="K785" s="33">
        <f>L785+M785+N785</f>
        <v/>
      </c>
      <c r="L785" s="33" t="n"/>
      <c r="M785" s="33" t="n"/>
      <c r="N785" s="33" t="n"/>
      <c r="O785" s="33">
        <f>P785+Q785</f>
        <v/>
      </c>
      <c r="P785" s="33" t="n"/>
      <c r="Q785" s="33" t="n"/>
      <c r="R785" s="33">
        <f>H785+K785-O785</f>
        <v/>
      </c>
      <c r="S785" s="33" t="n"/>
      <c r="T785" s="33" t="n"/>
      <c r="U785" s="33" t="n"/>
      <c r="V785" s="33" t="n"/>
      <c r="W785" s="33" t="n"/>
      <c r="X785" s="33" t="n"/>
      <c r="Y785" s="33" t="n"/>
      <c r="Z785" s="33" t="n"/>
      <c r="AA785" s="4">
        <f>R785-G785</f>
        <v/>
      </c>
      <c r="AB785" s="4">
        <f>G785-R785</f>
        <v/>
      </c>
      <c r="AC785" s="33" t="n"/>
    </row>
    <row r="786" ht="18.75" customHeight="1">
      <c r="A786" s="35">
        <f>SUBTOTAL(103,$B$24:B786)</f>
        <v/>
      </c>
      <c r="B786" s="36" t="inlineStr">
        <is>
          <t>Холодильник побут. "ДОНБАС"</t>
        </is>
      </c>
      <c r="C786" s="37" t="inlineStr">
        <is>
          <t>к-т</t>
        </is>
      </c>
      <c r="D786" s="33" t="n"/>
      <c r="E786" s="33" t="n"/>
      <c r="F786" s="33">
        <f>E786*0.05</f>
        <v/>
      </c>
      <c r="G786" s="33">
        <f>E786+F786</f>
        <v/>
      </c>
      <c r="H786" s="33" t="n"/>
      <c r="I786" s="33" t="n"/>
      <c r="J786" s="33" t="n"/>
      <c r="K786" s="33">
        <f>L786+M786+N786</f>
        <v/>
      </c>
      <c r="L786" s="33" t="n"/>
      <c r="M786" s="33" t="n"/>
      <c r="N786" s="33" t="n"/>
      <c r="O786" s="33">
        <f>P786+Q786</f>
        <v/>
      </c>
      <c r="P786" s="33" t="n"/>
      <c r="Q786" s="33" t="n"/>
      <c r="R786" s="33">
        <f>H786+K786-O786</f>
        <v/>
      </c>
      <c r="S786" s="33" t="n"/>
      <c r="T786" s="33" t="n"/>
      <c r="U786" s="33" t="n"/>
      <c r="V786" s="33" t="n"/>
      <c r="W786" s="33" t="n"/>
      <c r="X786" s="33" t="n"/>
      <c r="Y786" s="33" t="n"/>
      <c r="Z786" s="33" t="n"/>
      <c r="AA786" s="4">
        <f>R786-G786</f>
        <v/>
      </c>
      <c r="AB786" s="4">
        <f>G786-R786</f>
        <v/>
      </c>
      <c r="AC786" s="33" t="n"/>
    </row>
    <row r="787" ht="18.75" customHeight="1">
      <c r="A787" s="35">
        <f>SUBTOTAL(103,$B$24:B787)</f>
        <v/>
      </c>
      <c r="B787" s="36" t="inlineStr">
        <is>
          <t>Холодильник побут. "МОРОЗКО"</t>
        </is>
      </c>
      <c r="C787" s="37" t="inlineStr">
        <is>
          <t>к-т</t>
        </is>
      </c>
      <c r="D787" s="33" t="n"/>
      <c r="E787" s="33" t="n"/>
      <c r="F787" s="33">
        <f>E787*0.05</f>
        <v/>
      </c>
      <c r="G787" s="33">
        <f>E787+F787</f>
        <v/>
      </c>
      <c r="H787" s="33" t="n"/>
      <c r="I787" s="33" t="n"/>
      <c r="J787" s="33" t="n"/>
      <c r="K787" s="33">
        <f>L787+M787+N787</f>
        <v/>
      </c>
      <c r="L787" s="33" t="n"/>
      <c r="M787" s="33" t="n"/>
      <c r="N787" s="33" t="n"/>
      <c r="O787" s="33">
        <f>P787+Q787</f>
        <v/>
      </c>
      <c r="P787" s="33" t="n"/>
      <c r="Q787" s="33" t="n"/>
      <c r="R787" s="33">
        <f>H787+K787-O787</f>
        <v/>
      </c>
      <c r="S787" s="33" t="n"/>
      <c r="T787" s="33" t="n"/>
      <c r="U787" s="33" t="n"/>
      <c r="V787" s="33" t="n"/>
      <c r="W787" s="33" t="n"/>
      <c r="X787" s="33" t="n"/>
      <c r="Y787" s="33" t="n"/>
      <c r="Z787" s="33" t="n"/>
      <c r="AA787" s="4">
        <f>R787-G787</f>
        <v/>
      </c>
      <c r="AB787" s="4">
        <f>G787-R787</f>
        <v/>
      </c>
      <c r="AC787" s="33" t="n"/>
    </row>
    <row r="788" ht="18.75" customHeight="1">
      <c r="A788" s="35">
        <f>SUBTOTAL(103,$B$24:B788)</f>
        <v/>
      </c>
      <c r="B788" s="36" t="inlineStr">
        <is>
          <t>Холодильник побут. "НОРД-ДХ-428"</t>
        </is>
      </c>
      <c r="C788" s="37" t="inlineStr">
        <is>
          <t>к-т</t>
        </is>
      </c>
      <c r="D788" s="33" t="n"/>
      <c r="E788" s="33" t="n"/>
      <c r="F788" s="33">
        <f>E788*0.05</f>
        <v/>
      </c>
      <c r="G788" s="33">
        <f>E788+F788</f>
        <v/>
      </c>
      <c r="H788" s="33" t="n"/>
      <c r="I788" s="33" t="n"/>
      <c r="J788" s="33" t="n"/>
      <c r="K788" s="33">
        <f>L788+M788+N788</f>
        <v/>
      </c>
      <c r="L788" s="33" t="n"/>
      <c r="M788" s="33" t="n"/>
      <c r="N788" s="33" t="n"/>
      <c r="O788" s="33">
        <f>P788+Q788</f>
        <v/>
      </c>
      <c r="P788" s="33" t="n"/>
      <c r="Q788" s="33" t="n"/>
      <c r="R788" s="33">
        <f>H788+K788-O788</f>
        <v/>
      </c>
      <c r="S788" s="33" t="n"/>
      <c r="T788" s="33" t="n"/>
      <c r="U788" s="33" t="n"/>
      <c r="V788" s="33" t="n"/>
      <c r="W788" s="33" t="n"/>
      <c r="X788" s="33" t="n"/>
      <c r="Y788" s="33" t="n"/>
      <c r="Z788" s="33" t="n"/>
      <c r="AA788" s="4">
        <f>R788-G788</f>
        <v/>
      </c>
      <c r="AB788" s="4">
        <f>G788-R788</f>
        <v/>
      </c>
      <c r="AC788" s="33" t="n"/>
    </row>
    <row r="789" ht="18.75" customHeight="1">
      <c r="A789" s="35">
        <f>SUBTOTAL(103,$B$24:B789)</f>
        <v/>
      </c>
      <c r="B789" s="36" t="inlineStr">
        <is>
          <t>Холодильник побут. "НОРД-428"</t>
        </is>
      </c>
      <c r="C789" s="37" t="inlineStr">
        <is>
          <t>к-т</t>
        </is>
      </c>
      <c r="D789" s="33" t="n"/>
      <c r="E789" s="33" t="n"/>
      <c r="F789" s="33">
        <f>E789*0.05</f>
        <v/>
      </c>
      <c r="G789" s="33">
        <f>E789+F789</f>
        <v/>
      </c>
      <c r="H789" s="33" t="n"/>
      <c r="I789" s="33" t="n"/>
      <c r="J789" s="33" t="n"/>
      <c r="K789" s="33">
        <f>L789+M789+N789</f>
        <v/>
      </c>
      <c r="L789" s="33" t="n"/>
      <c r="M789" s="33" t="n"/>
      <c r="N789" s="33" t="n"/>
      <c r="O789" s="33">
        <f>P789+Q789</f>
        <v/>
      </c>
      <c r="P789" s="33" t="n"/>
      <c r="Q789" s="33" t="n"/>
      <c r="R789" s="33">
        <f>H789+K789-O789</f>
        <v/>
      </c>
      <c r="S789" s="33" t="n"/>
      <c r="T789" s="33" t="n"/>
      <c r="U789" s="33" t="n"/>
      <c r="V789" s="33" t="n"/>
      <c r="W789" s="33" t="n"/>
      <c r="X789" s="33" t="n"/>
      <c r="Y789" s="33" t="n"/>
      <c r="Z789" s="33" t="n"/>
      <c r="AA789" s="4">
        <f>R789-G789</f>
        <v/>
      </c>
      <c r="AB789" s="4">
        <f>G789-R789</f>
        <v/>
      </c>
      <c r="AC789" s="33" t="n"/>
    </row>
    <row r="790" ht="37.5" customHeight="1">
      <c r="A790" s="35">
        <f>SUBTOTAL(103,$B$24:B790)</f>
        <v/>
      </c>
      <c r="B790" s="36" t="inlineStr">
        <is>
          <t>Холодильник побут. "НОРД-428-7-400 ДХ"</t>
        </is>
      </c>
      <c r="C790" s="37" t="inlineStr">
        <is>
          <t>к-т</t>
        </is>
      </c>
      <c r="D790" s="33" t="n"/>
      <c r="E790" s="33" t="n"/>
      <c r="F790" s="33">
        <f>E790*0.05</f>
        <v/>
      </c>
      <c r="G790" s="33">
        <f>E790+F790</f>
        <v/>
      </c>
      <c r="H790" s="33" t="n"/>
      <c r="I790" s="33" t="n"/>
      <c r="J790" s="33" t="n"/>
      <c r="K790" s="33">
        <f>L790+M790+N790</f>
        <v/>
      </c>
      <c r="L790" s="33" t="n"/>
      <c r="M790" s="33" t="n"/>
      <c r="N790" s="33" t="n"/>
      <c r="O790" s="33">
        <f>P790+Q790</f>
        <v/>
      </c>
      <c r="P790" s="33" t="n"/>
      <c r="Q790" s="33" t="n"/>
      <c r="R790" s="33">
        <f>H790+K790-O790</f>
        <v/>
      </c>
      <c r="S790" s="33" t="n"/>
      <c r="T790" s="33" t="n"/>
      <c r="U790" s="33" t="n"/>
      <c r="V790" s="33" t="n"/>
      <c r="W790" s="33" t="n"/>
      <c r="X790" s="33" t="n"/>
      <c r="Y790" s="33" t="n"/>
      <c r="Z790" s="33" t="n"/>
      <c r="AA790" s="4">
        <f>R790-G790</f>
        <v/>
      </c>
      <c r="AB790" s="4">
        <f>G790-R790</f>
        <v/>
      </c>
      <c r="AC790" s="33" t="n"/>
    </row>
    <row r="791" ht="18.75" customHeight="1">
      <c r="A791" s="35">
        <f>SUBTOTAL(103,$B$24:B791)</f>
        <v/>
      </c>
      <c r="B791" s="36" t="inlineStr">
        <is>
          <t>Холодильник побут. "НОРД-ДХ-271"</t>
        </is>
      </c>
      <c r="C791" s="37" t="inlineStr">
        <is>
          <t>к-т</t>
        </is>
      </c>
      <c r="D791" s="33" t="n"/>
      <c r="E791" s="33" t="n"/>
      <c r="F791" s="33">
        <f>E791*0.05</f>
        <v/>
      </c>
      <c r="G791" s="33">
        <f>E791+F791</f>
        <v/>
      </c>
      <c r="H791" s="33" t="n"/>
      <c r="I791" s="33" t="n"/>
      <c r="J791" s="33" t="n"/>
      <c r="K791" s="33">
        <f>L791+M791+N791</f>
        <v/>
      </c>
      <c r="L791" s="33" t="n"/>
      <c r="M791" s="33" t="n"/>
      <c r="N791" s="33" t="n"/>
      <c r="O791" s="33">
        <f>P791+Q791</f>
        <v/>
      </c>
      <c r="P791" s="33" t="n"/>
      <c r="Q791" s="33" t="n"/>
      <c r="R791" s="33">
        <f>H791+K791-O791</f>
        <v/>
      </c>
      <c r="S791" s="33" t="n"/>
      <c r="T791" s="33" t="n"/>
      <c r="U791" s="33" t="n"/>
      <c r="V791" s="33" t="n"/>
      <c r="W791" s="33" t="n"/>
      <c r="X791" s="33" t="n"/>
      <c r="Y791" s="33" t="n"/>
      <c r="Z791" s="33" t="n"/>
      <c r="AA791" s="4">
        <f>R791-G791</f>
        <v/>
      </c>
      <c r="AB791" s="4">
        <f>G791-R791</f>
        <v/>
      </c>
      <c r="AC791" s="33" t="n"/>
    </row>
    <row r="792" ht="18.75" customHeight="1">
      <c r="A792" s="35">
        <f>SUBTOTAL(103,$B$24:B792)</f>
        <v/>
      </c>
      <c r="B792" s="36" t="inlineStr">
        <is>
          <t>Холодильник побут. "НОРД-274"</t>
        </is>
      </c>
      <c r="C792" s="37" t="inlineStr">
        <is>
          <t>к-т</t>
        </is>
      </c>
      <c r="D792" s="33" t="n"/>
      <c r="E792" s="33" t="n"/>
      <c r="F792" s="33">
        <f>E792*0.05</f>
        <v/>
      </c>
      <c r="G792" s="33">
        <f>E792+F792</f>
        <v/>
      </c>
      <c r="H792" s="33" t="n"/>
      <c r="I792" s="33" t="n"/>
      <c r="J792" s="33" t="n"/>
      <c r="K792" s="33">
        <f>L792+M792+N792</f>
        <v/>
      </c>
      <c r="L792" s="33" t="n"/>
      <c r="M792" s="33" t="n"/>
      <c r="N792" s="33" t="n"/>
      <c r="O792" s="33">
        <f>P792+Q792</f>
        <v/>
      </c>
      <c r="P792" s="33" t="n"/>
      <c r="Q792" s="33" t="n"/>
      <c r="R792" s="33">
        <f>H792+K792-O792</f>
        <v/>
      </c>
      <c r="S792" s="33" t="n"/>
      <c r="T792" s="33" t="n"/>
      <c r="U792" s="33" t="n"/>
      <c r="V792" s="33" t="n"/>
      <c r="W792" s="33" t="n"/>
      <c r="X792" s="33" t="n"/>
      <c r="Y792" s="33" t="n"/>
      <c r="Z792" s="33" t="n"/>
      <c r="AA792" s="4">
        <f>R792-G792</f>
        <v/>
      </c>
      <c r="AB792" s="4">
        <f>G792-R792</f>
        <v/>
      </c>
      <c r="AC792" s="33" t="n"/>
    </row>
    <row r="793" ht="18.75" customHeight="1">
      <c r="A793" s="35">
        <f>SUBTOTAL(103,$B$24:B793)</f>
        <v/>
      </c>
      <c r="B793" s="36" t="inlineStr">
        <is>
          <t>Холодильник побут. "НОРД-214"</t>
        </is>
      </c>
      <c r="C793" s="37" t="inlineStr">
        <is>
          <t>к-т</t>
        </is>
      </c>
      <c r="D793" s="33" t="n"/>
      <c r="E793" s="33" t="n"/>
      <c r="F793" s="33">
        <f>E793*0.05</f>
        <v/>
      </c>
      <c r="G793" s="33">
        <f>E793+F793</f>
        <v/>
      </c>
      <c r="H793" s="33" t="n"/>
      <c r="I793" s="33" t="n"/>
      <c r="J793" s="33" t="n"/>
      <c r="K793" s="33">
        <f>L793+M793+N793</f>
        <v/>
      </c>
      <c r="L793" s="33" t="n"/>
      <c r="M793" s="33" t="n"/>
      <c r="N793" s="33" t="n"/>
      <c r="O793" s="33">
        <f>P793+Q793</f>
        <v/>
      </c>
      <c r="P793" s="33" t="n"/>
      <c r="Q793" s="33" t="n"/>
      <c r="R793" s="33">
        <f>H793+K793-O793</f>
        <v/>
      </c>
      <c r="S793" s="33" t="n"/>
      <c r="T793" s="33" t="n"/>
      <c r="U793" s="33" t="n"/>
      <c r="V793" s="33" t="n"/>
      <c r="W793" s="33" t="n"/>
      <c r="X793" s="33" t="n"/>
      <c r="Y793" s="33" t="n"/>
      <c r="Z793" s="33" t="n"/>
      <c r="AA793" s="4">
        <f>R793-G793</f>
        <v/>
      </c>
      <c r="AB793" s="4">
        <f>G793-R793</f>
        <v/>
      </c>
      <c r="AC793" s="33" t="n"/>
    </row>
    <row r="794" ht="18.75" customHeight="1">
      <c r="A794" s="35">
        <f>SUBTOTAL(103,$B$24:B794)</f>
        <v/>
      </c>
      <c r="B794" s="36" t="inlineStr">
        <is>
          <t>Холодильник побут. "НОРД-442"</t>
        </is>
      </c>
      <c r="C794" s="37" t="inlineStr">
        <is>
          <t>к-т</t>
        </is>
      </c>
      <c r="D794" s="33" t="n"/>
      <c r="E794" s="33" t="n"/>
      <c r="F794" s="33">
        <f>E794*0.05</f>
        <v/>
      </c>
      <c r="G794" s="33">
        <f>E794+F794</f>
        <v/>
      </c>
      <c r="H794" s="33" t="n"/>
      <c r="I794" s="33" t="n"/>
      <c r="J794" s="33" t="n"/>
      <c r="K794" s="33">
        <f>L794+M794+N794</f>
        <v/>
      </c>
      <c r="L794" s="33" t="n"/>
      <c r="M794" s="33" t="n"/>
      <c r="N794" s="33" t="n"/>
      <c r="O794" s="33">
        <f>P794+Q794</f>
        <v/>
      </c>
      <c r="P794" s="33" t="n"/>
      <c r="Q794" s="33" t="n"/>
      <c r="R794" s="33">
        <f>H794+K794-O794</f>
        <v/>
      </c>
      <c r="S794" s="33" t="n"/>
      <c r="T794" s="33" t="n"/>
      <c r="U794" s="33" t="n"/>
      <c r="V794" s="33" t="n"/>
      <c r="W794" s="33" t="n"/>
      <c r="X794" s="33" t="n"/>
      <c r="Y794" s="33" t="n"/>
      <c r="Z794" s="33" t="n"/>
      <c r="AA794" s="4">
        <f>R794-G794</f>
        <v/>
      </c>
      <c r="AB794" s="4">
        <f>G794-R794</f>
        <v/>
      </c>
      <c r="AC794" s="33" t="n"/>
    </row>
    <row r="795" ht="18.75" customHeight="1">
      <c r="A795" s="35">
        <f>SUBTOTAL(103,$B$24:B795)</f>
        <v/>
      </c>
      <c r="B795" s="36" t="inlineStr">
        <is>
          <t>Холодильник побут. "НОРД-233"</t>
        </is>
      </c>
      <c r="C795" s="37" t="inlineStr">
        <is>
          <t>к-т</t>
        </is>
      </c>
      <c r="D795" s="33" t="n"/>
      <c r="E795" s="33" t="n"/>
      <c r="F795" s="33">
        <f>E795*0.05</f>
        <v/>
      </c>
      <c r="G795" s="33">
        <f>E795+F795</f>
        <v/>
      </c>
      <c r="H795" s="33" t="n"/>
      <c r="I795" s="33" t="n"/>
      <c r="J795" s="33" t="n"/>
      <c r="K795" s="33">
        <f>L795+M795+N795</f>
        <v/>
      </c>
      <c r="L795" s="33" t="n"/>
      <c r="M795" s="33" t="n"/>
      <c r="N795" s="33" t="n"/>
      <c r="O795" s="33">
        <f>P795+Q795</f>
        <v/>
      </c>
      <c r="P795" s="33" t="n"/>
      <c r="Q795" s="33" t="n"/>
      <c r="R795" s="33">
        <f>H795+K795-O795</f>
        <v/>
      </c>
      <c r="S795" s="33" t="n"/>
      <c r="T795" s="33" t="n"/>
      <c r="U795" s="33" t="n"/>
      <c r="V795" s="33" t="n"/>
      <c r="W795" s="33" t="n"/>
      <c r="X795" s="33" t="n"/>
      <c r="Y795" s="33" t="n"/>
      <c r="Z795" s="33" t="n"/>
      <c r="AA795" s="4">
        <f>R795-G795</f>
        <v/>
      </c>
      <c r="AB795" s="4">
        <f>G795-R795</f>
        <v/>
      </c>
      <c r="AC795" s="33" t="n"/>
    </row>
    <row r="796" ht="18.75" customHeight="1">
      <c r="A796" s="35">
        <f>SUBTOTAL(103,$B$24:B796)</f>
        <v/>
      </c>
      <c r="B796" s="36" t="inlineStr">
        <is>
          <t>Холодильник побут. "НОРД-235"</t>
        </is>
      </c>
      <c r="C796" s="37" t="inlineStr">
        <is>
          <t>к-т</t>
        </is>
      </c>
      <c r="D796" s="33" t="n"/>
      <c r="E796" s="33" t="n"/>
      <c r="F796" s="33">
        <f>E796*0.05</f>
        <v/>
      </c>
      <c r="G796" s="33">
        <f>E796+F796</f>
        <v/>
      </c>
      <c r="H796" s="33" t="n"/>
      <c r="I796" s="33" t="n"/>
      <c r="J796" s="33" t="n"/>
      <c r="K796" s="33">
        <f>L796+M796+N796</f>
        <v/>
      </c>
      <c r="L796" s="33" t="n"/>
      <c r="M796" s="33" t="n"/>
      <c r="N796" s="33" t="n"/>
      <c r="O796" s="33">
        <f>P796+Q796</f>
        <v/>
      </c>
      <c r="P796" s="33" t="n"/>
      <c r="Q796" s="33" t="n"/>
      <c r="R796" s="33">
        <f>H796+K796-O796</f>
        <v/>
      </c>
      <c r="S796" s="33" t="n"/>
      <c r="T796" s="33" t="n"/>
      <c r="U796" s="33" t="n"/>
      <c r="V796" s="33" t="n"/>
      <c r="W796" s="33" t="n"/>
      <c r="X796" s="33" t="n"/>
      <c r="Y796" s="33" t="n"/>
      <c r="Z796" s="33" t="n"/>
      <c r="AA796" s="4">
        <f>R796-G796</f>
        <v/>
      </c>
      <c r="AB796" s="4">
        <f>G796-R796</f>
        <v/>
      </c>
      <c r="AC796" s="33" t="n"/>
    </row>
    <row r="797" ht="18.75" customHeight="1">
      <c r="A797" s="35">
        <f>SUBTOTAL(103,$B$24:B797)</f>
        <v/>
      </c>
      <c r="B797" s="36" t="inlineStr">
        <is>
          <t>Холодильник побут. "НОРД-316"</t>
        </is>
      </c>
      <c r="C797" s="37" t="inlineStr">
        <is>
          <t>к-т</t>
        </is>
      </c>
      <c r="D797" s="33" t="n"/>
      <c r="E797" s="33" t="n"/>
      <c r="F797" s="33">
        <f>E797*0.05</f>
        <v/>
      </c>
      <c r="G797" s="33">
        <f>E797+F797</f>
        <v/>
      </c>
      <c r="H797" s="33" t="n"/>
      <c r="I797" s="33" t="n"/>
      <c r="J797" s="33" t="n"/>
      <c r="K797" s="33">
        <f>L797+M797+N797</f>
        <v/>
      </c>
      <c r="L797" s="33" t="n"/>
      <c r="M797" s="33" t="n"/>
      <c r="N797" s="33" t="n"/>
      <c r="O797" s="33">
        <f>P797+Q797</f>
        <v/>
      </c>
      <c r="P797" s="33" t="n"/>
      <c r="Q797" s="33" t="n"/>
      <c r="R797" s="33">
        <f>H797+K797-O797</f>
        <v/>
      </c>
      <c r="S797" s="33" t="n"/>
      <c r="T797" s="33" t="n"/>
      <c r="U797" s="33" t="n"/>
      <c r="V797" s="33" t="n"/>
      <c r="W797" s="33" t="n"/>
      <c r="X797" s="33" t="n"/>
      <c r="Y797" s="33" t="n"/>
      <c r="Z797" s="33" t="n"/>
      <c r="AA797" s="4">
        <f>R797-G797</f>
        <v/>
      </c>
      <c r="AB797" s="4">
        <f>G797-R797</f>
        <v/>
      </c>
      <c r="AC797" s="33" t="n"/>
    </row>
    <row r="798" ht="18.75" customHeight="1">
      <c r="A798" s="35">
        <f>SUBTOTAL(103,$B$24:B798)</f>
        <v/>
      </c>
      <c r="B798" s="36" t="inlineStr">
        <is>
          <t>Холодильник побут. "НОРД-403"</t>
        </is>
      </c>
      <c r="C798" s="37" t="inlineStr">
        <is>
          <t>к-т</t>
        </is>
      </c>
      <c r="D798" s="33" t="n"/>
      <c r="E798" s="33" t="n"/>
      <c r="F798" s="33">
        <f>E798*0.05</f>
        <v/>
      </c>
      <c r="G798" s="33">
        <f>E798+F798</f>
        <v/>
      </c>
      <c r="H798" s="33" t="n"/>
      <c r="I798" s="33" t="n"/>
      <c r="J798" s="33" t="n"/>
      <c r="K798" s="33">
        <f>L798+M798+N798</f>
        <v/>
      </c>
      <c r="L798" s="33" t="n"/>
      <c r="M798" s="33" t="n"/>
      <c r="N798" s="33" t="n"/>
      <c r="O798" s="33">
        <f>P798+Q798</f>
        <v/>
      </c>
      <c r="P798" s="33" t="n"/>
      <c r="Q798" s="33" t="n"/>
      <c r="R798" s="33">
        <f>H798+K798-O798</f>
        <v/>
      </c>
      <c r="S798" s="33" t="n"/>
      <c r="T798" s="33" t="n"/>
      <c r="U798" s="33" t="n"/>
      <c r="V798" s="33" t="n"/>
      <c r="W798" s="33" t="n"/>
      <c r="X798" s="33" t="n"/>
      <c r="Y798" s="33" t="n"/>
      <c r="Z798" s="33" t="n"/>
      <c r="AA798" s="4">
        <f>R798-G798</f>
        <v/>
      </c>
      <c r="AB798" s="4">
        <f>G798-R798</f>
        <v/>
      </c>
      <c r="AC798" s="33" t="n"/>
    </row>
    <row r="799" ht="18.75" customHeight="1">
      <c r="A799" s="35">
        <f>SUBTOTAL(103,$B$24:B799)</f>
        <v/>
      </c>
      <c r="B799" s="36" t="inlineStr">
        <is>
          <t>Холодильник побут. "НОРД-507"</t>
        </is>
      </c>
      <c r="C799" s="37" t="inlineStr">
        <is>
          <t>к-т</t>
        </is>
      </c>
      <c r="D799" s="33" t="n"/>
      <c r="E799" s="33" t="n"/>
      <c r="F799" s="33">
        <f>E799*0.05</f>
        <v/>
      </c>
      <c r="G799" s="33">
        <f>E799+F799</f>
        <v/>
      </c>
      <c r="H799" s="33" t="n"/>
      <c r="I799" s="33" t="n"/>
      <c r="J799" s="33" t="n"/>
      <c r="K799" s="33">
        <f>L799+M799+N799</f>
        <v/>
      </c>
      <c r="L799" s="33" t="n"/>
      <c r="M799" s="33" t="n"/>
      <c r="N799" s="33" t="n"/>
      <c r="O799" s="33">
        <f>P799+Q799</f>
        <v/>
      </c>
      <c r="P799" s="33" t="n"/>
      <c r="Q799" s="33" t="n"/>
      <c r="R799" s="33">
        <f>H799+K799-O799</f>
        <v/>
      </c>
      <c r="S799" s="33" t="n"/>
      <c r="T799" s="33" t="n"/>
      <c r="U799" s="33" t="n"/>
      <c r="V799" s="33" t="n"/>
      <c r="W799" s="33" t="n"/>
      <c r="X799" s="33" t="n"/>
      <c r="Y799" s="33" t="n"/>
      <c r="Z799" s="33" t="n"/>
      <c r="AA799" s="4">
        <f>R799-G799</f>
        <v/>
      </c>
      <c r="AB799" s="4">
        <f>G799-R799</f>
        <v/>
      </c>
      <c r="AC799" s="33" t="n"/>
    </row>
    <row r="800" ht="18.75" customHeight="1">
      <c r="A800" s="35">
        <f>SUBTOTAL(103,$B$24:B800)</f>
        <v/>
      </c>
      <c r="B800" s="36" t="inlineStr">
        <is>
          <t>Холодильник побут. "НОРД-548"</t>
        </is>
      </c>
      <c r="C800" s="37" t="inlineStr">
        <is>
          <t>к-т</t>
        </is>
      </c>
      <c r="D800" s="33" t="n"/>
      <c r="E800" s="33" t="n"/>
      <c r="F800" s="33">
        <f>E800*0.05</f>
        <v/>
      </c>
      <c r="G800" s="33">
        <f>E800+F800</f>
        <v/>
      </c>
      <c r="H800" s="33" t="n"/>
      <c r="I800" s="33" t="n"/>
      <c r="J800" s="33" t="n"/>
      <c r="K800" s="33">
        <f>L800+M800+N800</f>
        <v/>
      </c>
      <c r="L800" s="33" t="n"/>
      <c r="M800" s="33" t="n"/>
      <c r="N800" s="33" t="n"/>
      <c r="O800" s="33">
        <f>P800+Q800</f>
        <v/>
      </c>
      <c r="P800" s="33" t="n"/>
      <c r="Q800" s="33" t="n"/>
      <c r="R800" s="33">
        <f>H800+K800-O800</f>
        <v/>
      </c>
      <c r="S800" s="33" t="n"/>
      <c r="T800" s="33" t="n"/>
      <c r="U800" s="33" t="n"/>
      <c r="V800" s="33" t="n"/>
      <c r="W800" s="33" t="n"/>
      <c r="X800" s="33" t="n"/>
      <c r="Y800" s="33" t="n"/>
      <c r="Z800" s="33" t="n"/>
      <c r="AA800" s="4">
        <f>R800-G800</f>
        <v/>
      </c>
      <c r="AB800" s="4">
        <f>G800-R800</f>
        <v/>
      </c>
      <c r="AC800" s="33" t="n"/>
    </row>
    <row r="801" ht="18.75" customHeight="1">
      <c r="A801" s="35">
        <f>SUBTOTAL(103,$B$24:B801)</f>
        <v/>
      </c>
      <c r="B801" s="36" t="inlineStr">
        <is>
          <t>Холодильник побут. "НОРД-517"</t>
        </is>
      </c>
      <c r="C801" s="37" t="inlineStr">
        <is>
          <t>к-т</t>
        </is>
      </c>
      <c r="D801" s="33" t="n"/>
      <c r="E801" s="33" t="n"/>
      <c r="F801" s="33">
        <f>E801*0.05</f>
        <v/>
      </c>
      <c r="G801" s="33">
        <f>E801+F801</f>
        <v/>
      </c>
      <c r="H801" s="33" t="n"/>
      <c r="I801" s="33" t="n"/>
      <c r="J801" s="33" t="n"/>
      <c r="K801" s="33">
        <f>L801+M801+N801</f>
        <v/>
      </c>
      <c r="L801" s="33" t="n"/>
      <c r="M801" s="33" t="n"/>
      <c r="N801" s="33" t="n"/>
      <c r="O801" s="33">
        <f>P801+Q801</f>
        <v/>
      </c>
      <c r="P801" s="33" t="n"/>
      <c r="Q801" s="33" t="n"/>
      <c r="R801" s="33">
        <f>H801+K801-O801</f>
        <v/>
      </c>
      <c r="S801" s="33" t="n"/>
      <c r="T801" s="33" t="n"/>
      <c r="U801" s="33" t="n"/>
      <c r="V801" s="33" t="n"/>
      <c r="W801" s="33" t="n"/>
      <c r="X801" s="33" t="n"/>
      <c r="Y801" s="33" t="n"/>
      <c r="Z801" s="33" t="n"/>
      <c r="AA801" s="4">
        <f>R801-G801</f>
        <v/>
      </c>
      <c r="AB801" s="4">
        <f>G801-R801</f>
        <v/>
      </c>
      <c r="AC801" s="33" t="n"/>
    </row>
    <row r="802" ht="18.75" customHeight="1">
      <c r="A802" s="35">
        <f>SUBTOTAL(103,$B$24:B802)</f>
        <v/>
      </c>
      <c r="B802" s="36" t="inlineStr">
        <is>
          <t>Холодильник побут. "НОРД-214/6"</t>
        </is>
      </c>
      <c r="C802" s="37" t="inlineStr">
        <is>
          <t>к-т</t>
        </is>
      </c>
      <c r="D802" s="33" t="n"/>
      <c r="E802" s="33" t="n"/>
      <c r="F802" s="33">
        <f>E802*0.05</f>
        <v/>
      </c>
      <c r="G802" s="33">
        <f>E802+F802</f>
        <v/>
      </c>
      <c r="H802" s="33" t="n"/>
      <c r="I802" s="33" t="n"/>
      <c r="J802" s="33" t="n"/>
      <c r="K802" s="33">
        <f>L802+M802+N802</f>
        <v/>
      </c>
      <c r="L802" s="33" t="n"/>
      <c r="M802" s="33" t="n"/>
      <c r="N802" s="33" t="n"/>
      <c r="O802" s="33">
        <f>P802+Q802</f>
        <v/>
      </c>
      <c r="P802" s="33" t="n"/>
      <c r="Q802" s="33" t="n"/>
      <c r="R802" s="33">
        <f>H802+K802-O802</f>
        <v/>
      </c>
      <c r="S802" s="33" t="n"/>
      <c r="T802" s="33" t="n"/>
      <c r="U802" s="33" t="n"/>
      <c r="V802" s="33" t="n"/>
      <c r="W802" s="33" t="n"/>
      <c r="X802" s="33" t="n"/>
      <c r="Y802" s="33" t="n"/>
      <c r="Z802" s="33" t="n"/>
      <c r="AA802" s="4">
        <f>R802-G802</f>
        <v/>
      </c>
      <c r="AB802" s="4">
        <f>G802-R802</f>
        <v/>
      </c>
      <c r="AC802" s="33" t="n"/>
    </row>
    <row r="803" ht="37.5" customHeight="1">
      <c r="A803" s="35">
        <f>SUBTOTAL(103,$B$24:B803)</f>
        <v/>
      </c>
      <c r="B803" s="36" t="inlineStr">
        <is>
          <t>Холодильник побутовий SMART BM-36 WAW</t>
        </is>
      </c>
      <c r="C803" s="37" t="inlineStr">
        <is>
          <t>к-т</t>
        </is>
      </c>
      <c r="D803" s="33" t="n"/>
      <c r="E803" s="33" t="n"/>
      <c r="F803" s="33">
        <f>E803*0.05</f>
        <v/>
      </c>
      <c r="G803" s="33">
        <f>E803+F803</f>
        <v/>
      </c>
      <c r="H803" s="33" t="n"/>
      <c r="I803" s="33" t="n"/>
      <c r="J803" s="33" t="n"/>
      <c r="K803" s="33">
        <f>L803+M803+N803</f>
        <v/>
      </c>
      <c r="L803" s="33" t="n"/>
      <c r="M803" s="33" t="n"/>
      <c r="N803" s="33" t="n"/>
      <c r="O803" s="33">
        <f>P803+Q803</f>
        <v/>
      </c>
      <c r="P803" s="33" t="n"/>
      <c r="Q803" s="33" t="n"/>
      <c r="R803" s="33">
        <f>H803+K803-O803</f>
        <v/>
      </c>
      <c r="S803" s="33" t="n"/>
      <c r="T803" s="33" t="n"/>
      <c r="U803" s="33" t="n"/>
      <c r="V803" s="33" t="n"/>
      <c r="W803" s="33" t="n"/>
      <c r="X803" s="33" t="n"/>
      <c r="Y803" s="33" t="n"/>
      <c r="Z803" s="33" t="n"/>
      <c r="AA803" s="4">
        <f>R803-G803</f>
        <v/>
      </c>
      <c r="AB803" s="4">
        <f>G803-R803</f>
        <v/>
      </c>
      <c r="AC803" s="33" t="n"/>
    </row>
    <row r="804" ht="37.5" customHeight="1">
      <c r="A804" s="35">
        <f>SUBTOTAL(103,$B$24:B804)</f>
        <v/>
      </c>
      <c r="B804" s="36" t="inlineStr">
        <is>
          <t>Холодильник побутовий Edler ES-47WL/IN</t>
        </is>
      </c>
      <c r="C804" s="37" t="inlineStr">
        <is>
          <t>к-т</t>
        </is>
      </c>
      <c r="D804" s="33" t="n"/>
      <c r="E804" s="33" t="n"/>
      <c r="F804" s="33">
        <f>E804*0.05</f>
        <v/>
      </c>
      <c r="G804" s="33">
        <f>E804+F804</f>
        <v/>
      </c>
      <c r="H804" s="33" t="n"/>
      <c r="I804" s="33" t="n"/>
      <c r="J804" s="33" t="n"/>
      <c r="K804" s="33">
        <f>L804+M804+N804</f>
        <v/>
      </c>
      <c r="L804" s="33" t="n"/>
      <c r="M804" s="33" t="n"/>
      <c r="N804" s="33" t="n"/>
      <c r="O804" s="33">
        <f>P804+Q804</f>
        <v/>
      </c>
      <c r="P804" s="33" t="n"/>
      <c r="Q804" s="33" t="n"/>
      <c r="R804" s="33">
        <f>H804+K804-O804</f>
        <v/>
      </c>
      <c r="S804" s="33" t="n"/>
      <c r="T804" s="33" t="n"/>
      <c r="U804" s="33" t="n"/>
      <c r="V804" s="33" t="n"/>
      <c r="W804" s="33" t="n"/>
      <c r="X804" s="33" t="n"/>
      <c r="Y804" s="33" t="n"/>
      <c r="Z804" s="33" t="n"/>
      <c r="AA804" s="4">
        <f>R804-G804</f>
        <v/>
      </c>
      <c r="AB804" s="4">
        <f>G804-R804</f>
        <v/>
      </c>
      <c r="AC804" s="33" t="n"/>
    </row>
    <row r="805" ht="18.75" customHeight="1">
      <c r="A805" s="35">
        <f>SUBTOTAL(103,$B$24:B805)</f>
        <v/>
      </c>
      <c r="B805" s="36" t="inlineStr">
        <is>
          <t>Холодильник побутовий "НОРД-225"</t>
        </is>
      </c>
      <c r="C805" s="37" t="inlineStr">
        <is>
          <t>к-т</t>
        </is>
      </c>
      <c r="D805" s="33" t="n"/>
      <c r="E805" s="33" t="n"/>
      <c r="F805" s="33">
        <f>E805*0.05</f>
        <v/>
      </c>
      <c r="G805" s="33">
        <f>E805+F805</f>
        <v/>
      </c>
      <c r="H805" s="33" t="n"/>
      <c r="I805" s="33" t="n"/>
      <c r="J805" s="33" t="n"/>
      <c r="K805" s="33">
        <f>L805+M805+N805</f>
        <v/>
      </c>
      <c r="L805" s="33" t="n"/>
      <c r="M805" s="33" t="n"/>
      <c r="N805" s="33" t="n"/>
      <c r="O805" s="33">
        <f>P805+Q805</f>
        <v/>
      </c>
      <c r="P805" s="33" t="n"/>
      <c r="Q805" s="33" t="n"/>
      <c r="R805" s="33">
        <f>H805+K805-O805</f>
        <v/>
      </c>
      <c r="S805" s="33" t="n"/>
      <c r="T805" s="33" t="n"/>
      <c r="U805" s="33" t="n"/>
      <c r="V805" s="33" t="n"/>
      <c r="W805" s="33" t="n"/>
      <c r="X805" s="33" t="n"/>
      <c r="Y805" s="33" t="n"/>
      <c r="Z805" s="33" t="n"/>
      <c r="AA805" s="4">
        <f>R805-G805</f>
        <v/>
      </c>
      <c r="AB805" s="4">
        <f>G805-R805</f>
        <v/>
      </c>
      <c r="AC805" s="33" t="n"/>
    </row>
    <row r="806" ht="18.75" customHeight="1">
      <c r="A806" s="35">
        <f>SUBTOTAL(103,$B$24:B806)</f>
        <v/>
      </c>
      <c r="B806" s="36" t="inlineStr">
        <is>
          <t>Холодильник побутовий "НОРД-226"</t>
        </is>
      </c>
      <c r="C806" s="37" t="inlineStr">
        <is>
          <t>к-т</t>
        </is>
      </c>
      <c r="D806" s="33" t="n"/>
      <c r="E806" s="33" t="n"/>
      <c r="F806" s="33">
        <f>E806*0.05</f>
        <v/>
      </c>
      <c r="G806" s="33">
        <f>E806+F806</f>
        <v/>
      </c>
      <c r="H806" s="33" t="n"/>
      <c r="I806" s="33" t="n"/>
      <c r="J806" s="33" t="n"/>
      <c r="K806" s="33">
        <f>L806+M806+N806</f>
        <v/>
      </c>
      <c r="L806" s="33" t="n"/>
      <c r="M806" s="33" t="n"/>
      <c r="N806" s="33" t="n"/>
      <c r="O806" s="33">
        <f>P806+Q806</f>
        <v/>
      </c>
      <c r="P806" s="33" t="n"/>
      <c r="Q806" s="33" t="n"/>
      <c r="R806" s="33">
        <f>H806+K806-O806</f>
        <v/>
      </c>
      <c r="S806" s="33" t="n"/>
      <c r="T806" s="33" t="n"/>
      <c r="U806" s="33" t="n"/>
      <c r="V806" s="33" t="n"/>
      <c r="W806" s="33" t="n"/>
      <c r="X806" s="33" t="n"/>
      <c r="Y806" s="33" t="n"/>
      <c r="Z806" s="33" t="n"/>
      <c r="AA806" s="4">
        <f>R806-G806</f>
        <v/>
      </c>
      <c r="AB806" s="4">
        <f>G806-R806</f>
        <v/>
      </c>
      <c r="AC806" s="33" t="n"/>
    </row>
    <row r="807" ht="18.75" customHeight="1">
      <c r="A807" s="35">
        <f>SUBTOTAL(103,$B$24:B807)</f>
        <v/>
      </c>
      <c r="B807" s="36" t="inlineStr">
        <is>
          <t>Холодильник побутовий "НОРД-245/6"</t>
        </is>
      </c>
      <c r="C807" s="37" t="inlineStr">
        <is>
          <t>к-т</t>
        </is>
      </c>
      <c r="D807" s="33" t="n"/>
      <c r="E807" s="33" t="n"/>
      <c r="F807" s="33">
        <f>E807*0.05</f>
        <v/>
      </c>
      <c r="G807" s="33">
        <f>E807+F807</f>
        <v/>
      </c>
      <c r="H807" s="33" t="n"/>
      <c r="I807" s="33" t="n"/>
      <c r="J807" s="33" t="n"/>
      <c r="K807" s="33">
        <f>L807+M807+N807</f>
        <v/>
      </c>
      <c r="L807" s="33" t="n"/>
      <c r="M807" s="33" t="n"/>
      <c r="N807" s="33" t="n"/>
      <c r="O807" s="33">
        <f>P807+Q807</f>
        <v/>
      </c>
      <c r="P807" s="33" t="n"/>
      <c r="Q807" s="33" t="n"/>
      <c r="R807" s="33">
        <f>H807+K807-O807</f>
        <v/>
      </c>
      <c r="S807" s="33" t="n"/>
      <c r="T807" s="33" t="n"/>
      <c r="U807" s="33" t="n"/>
      <c r="V807" s="33" t="n"/>
      <c r="W807" s="33" t="n"/>
      <c r="X807" s="33" t="n"/>
      <c r="Y807" s="33" t="n"/>
      <c r="Z807" s="33" t="n"/>
      <c r="AA807" s="4">
        <f>R807-G807</f>
        <v/>
      </c>
      <c r="AB807" s="4">
        <f>G807-R807</f>
        <v/>
      </c>
      <c r="AC807" s="33" t="n"/>
    </row>
    <row r="808" ht="18.75" customHeight="1">
      <c r="A808" s="35">
        <f>SUBTOTAL(103,$B$24:B808)</f>
        <v/>
      </c>
      <c r="B808" s="36" t="inlineStr">
        <is>
          <t>Холодильник побутовий "НОРД-431"</t>
        </is>
      </c>
      <c r="C808" s="37" t="inlineStr">
        <is>
          <t>к-т</t>
        </is>
      </c>
      <c r="D808" s="33" t="n"/>
      <c r="E808" s="33" t="n"/>
      <c r="F808" s="33">
        <f>E808*0.05</f>
        <v/>
      </c>
      <c r="G808" s="33">
        <f>E808+F808</f>
        <v/>
      </c>
      <c r="H808" s="33" t="n"/>
      <c r="I808" s="33" t="n"/>
      <c r="J808" s="33" t="n"/>
      <c r="K808" s="33">
        <f>L808+M808+N808</f>
        <v/>
      </c>
      <c r="L808" s="33" t="n"/>
      <c r="M808" s="33" t="n"/>
      <c r="N808" s="33" t="n"/>
      <c r="O808" s="33">
        <f>P808+Q808</f>
        <v/>
      </c>
      <c r="P808" s="33" t="n"/>
      <c r="Q808" s="33" t="n"/>
      <c r="R808" s="33">
        <f>H808+K808-O808</f>
        <v/>
      </c>
      <c r="S808" s="33" t="n"/>
      <c r="T808" s="33" t="n"/>
      <c r="U808" s="33" t="n"/>
      <c r="V808" s="33" t="n"/>
      <c r="W808" s="33" t="n"/>
      <c r="X808" s="33" t="n"/>
      <c r="Y808" s="33" t="n"/>
      <c r="Z808" s="33" t="n"/>
      <c r="AA808" s="4">
        <f>R808-G808</f>
        <v/>
      </c>
      <c r="AB808" s="4">
        <f>G808-R808</f>
        <v/>
      </c>
      <c r="AC808" s="33" t="n"/>
    </row>
    <row r="809" ht="18.75" customHeight="1">
      <c r="A809" s="35">
        <f>SUBTOTAL(103,$B$24:B809)</f>
        <v/>
      </c>
      <c r="B809" s="36" t="inlineStr">
        <is>
          <t>Холодильник побутовий "НОРД"</t>
        </is>
      </c>
      <c r="C809" s="37" t="inlineStr">
        <is>
          <t>к-т</t>
        </is>
      </c>
      <c r="D809" s="33" t="n"/>
      <c r="E809" s="33" t="n"/>
      <c r="F809" s="33">
        <f>E809*0.05</f>
        <v/>
      </c>
      <c r="G809" s="33">
        <f>E809+F809</f>
        <v/>
      </c>
      <c r="H809" s="33" t="n"/>
      <c r="I809" s="33" t="n"/>
      <c r="J809" s="33" t="n"/>
      <c r="K809" s="33">
        <f>L809+M809+N809</f>
        <v/>
      </c>
      <c r="L809" s="33" t="n"/>
      <c r="M809" s="33" t="n"/>
      <c r="N809" s="33" t="n"/>
      <c r="O809" s="33">
        <f>P809+Q809</f>
        <v/>
      </c>
      <c r="P809" s="33" t="n"/>
      <c r="Q809" s="33" t="n"/>
      <c r="R809" s="33">
        <f>H809+K809-O809</f>
        <v/>
      </c>
      <c r="S809" s="33" t="n"/>
      <c r="T809" s="33" t="n"/>
      <c r="U809" s="33" t="n"/>
      <c r="V809" s="33" t="n"/>
      <c r="W809" s="33" t="n"/>
      <c r="X809" s="33" t="n"/>
      <c r="Y809" s="33" t="n"/>
      <c r="Z809" s="33" t="n"/>
      <c r="AA809" s="4">
        <f>R809-G809</f>
        <v/>
      </c>
      <c r="AB809" s="4">
        <f>G809-R809</f>
        <v/>
      </c>
      <c r="AC809" s="33" t="n"/>
    </row>
    <row r="810" ht="18.75" customHeight="1">
      <c r="A810" s="35">
        <f>SUBTOTAL(103,$B$24:B810)</f>
        <v/>
      </c>
      <c r="B810" s="36" t="inlineStr">
        <is>
          <t>Холодильник побутовий "НОРД" М85</t>
        </is>
      </c>
      <c r="C810" s="37" t="inlineStr">
        <is>
          <t>к-т</t>
        </is>
      </c>
      <c r="D810" s="33" t="n"/>
      <c r="E810" s="33" t="n"/>
      <c r="F810" s="33">
        <f>E810*0.05</f>
        <v/>
      </c>
      <c r="G810" s="33">
        <f>E810+F810</f>
        <v/>
      </c>
      <c r="H810" s="33" t="n"/>
      <c r="I810" s="33" t="n"/>
      <c r="J810" s="33" t="n"/>
      <c r="K810" s="33">
        <f>L810+M810+N810</f>
        <v/>
      </c>
      <c r="L810" s="33" t="n"/>
      <c r="M810" s="33" t="n"/>
      <c r="N810" s="33" t="n"/>
      <c r="O810" s="33">
        <f>P810+Q810</f>
        <v/>
      </c>
      <c r="P810" s="33" t="n"/>
      <c r="Q810" s="33" t="n"/>
      <c r="R810" s="33">
        <f>H810+K810-O810</f>
        <v/>
      </c>
      <c r="S810" s="33" t="n"/>
      <c r="T810" s="33" t="n"/>
      <c r="U810" s="33" t="n"/>
      <c r="V810" s="33" t="n"/>
      <c r="W810" s="33" t="n"/>
      <c r="X810" s="33" t="n"/>
      <c r="Y810" s="33" t="n"/>
      <c r="Z810" s="33" t="n"/>
      <c r="AA810" s="4">
        <f>R810-G810</f>
        <v/>
      </c>
      <c r="AB810" s="4">
        <f>G810-R810</f>
        <v/>
      </c>
      <c r="AC810" s="33" t="n"/>
    </row>
    <row r="811" ht="18.75" customHeight="1">
      <c r="A811" s="35">
        <f>SUBTOTAL(103,$B$24:B811)</f>
        <v/>
      </c>
      <c r="B811" s="36" t="inlineStr">
        <is>
          <t>Холодильник побутовий "КОДРИ"</t>
        </is>
      </c>
      <c r="C811" s="37" t="inlineStr">
        <is>
          <t>к-т</t>
        </is>
      </c>
      <c r="D811" s="33" t="n"/>
      <c r="E811" s="33" t="n"/>
      <c r="F811" s="33">
        <f>E811*0.05</f>
        <v/>
      </c>
      <c r="G811" s="33">
        <f>E811+F811</f>
        <v/>
      </c>
      <c r="H811" s="33" t="n"/>
      <c r="I811" s="33" t="n"/>
      <c r="J811" s="33" t="n"/>
      <c r="K811" s="33">
        <f>L811+M811+N811</f>
        <v/>
      </c>
      <c r="L811" s="33" t="n"/>
      <c r="M811" s="33" t="n"/>
      <c r="N811" s="33" t="n"/>
      <c r="O811" s="33">
        <f>P811+Q811</f>
        <v/>
      </c>
      <c r="P811" s="33" t="n"/>
      <c r="Q811" s="33" t="n"/>
      <c r="R811" s="33">
        <f>H811+K811-O811</f>
        <v/>
      </c>
      <c r="S811" s="33" t="n"/>
      <c r="T811" s="33" t="n"/>
      <c r="U811" s="33" t="n"/>
      <c r="V811" s="33" t="n"/>
      <c r="W811" s="33" t="n"/>
      <c r="X811" s="33" t="n"/>
      <c r="Y811" s="33" t="n"/>
      <c r="Z811" s="33" t="n"/>
      <c r="AA811" s="4">
        <f>R811-G811</f>
        <v/>
      </c>
      <c r="AB811" s="4">
        <f>G811-R811</f>
        <v/>
      </c>
      <c r="AC811" s="33" t="n"/>
    </row>
    <row r="812" ht="18.75" customHeight="1">
      <c r="A812" s="35">
        <f>SUBTOTAL(103,$B$24:B812)</f>
        <v/>
      </c>
      <c r="B812" s="36" t="inlineStr">
        <is>
          <t>Холодильник побутовий "ЗІЛ"</t>
        </is>
      </c>
      <c r="C812" s="37" t="inlineStr">
        <is>
          <t>к-т</t>
        </is>
      </c>
      <c r="D812" s="33" t="n"/>
      <c r="E812" s="33" t="n"/>
      <c r="F812" s="33">
        <f>E812*0.05</f>
        <v/>
      </c>
      <c r="G812" s="33">
        <f>E812+F812</f>
        <v/>
      </c>
      <c r="H812" s="33" t="n"/>
      <c r="I812" s="33" t="n"/>
      <c r="J812" s="33" t="n"/>
      <c r="K812" s="33">
        <f>L812+M812+N812</f>
        <v/>
      </c>
      <c r="L812" s="33" t="n"/>
      <c r="M812" s="33" t="n"/>
      <c r="N812" s="33" t="n"/>
      <c r="O812" s="33">
        <f>P812+Q812</f>
        <v/>
      </c>
      <c r="P812" s="33" t="n"/>
      <c r="Q812" s="33" t="n"/>
      <c r="R812" s="33">
        <f>H812+K812-O812</f>
        <v/>
      </c>
      <c r="S812" s="33" t="n"/>
      <c r="T812" s="33" t="n"/>
      <c r="U812" s="33" t="n"/>
      <c r="V812" s="33" t="n"/>
      <c r="W812" s="33" t="n"/>
      <c r="X812" s="33" t="n"/>
      <c r="Y812" s="33" t="n"/>
      <c r="Z812" s="33" t="n"/>
      <c r="AA812" s="4">
        <f>R812-G812</f>
        <v/>
      </c>
      <c r="AB812" s="4">
        <f>G812-R812</f>
        <v/>
      </c>
      <c r="AC812" s="33" t="n"/>
    </row>
    <row r="813" ht="18.75" customHeight="1">
      <c r="A813" s="35">
        <f>SUBTOTAL(103,$B$24:B813)</f>
        <v/>
      </c>
      <c r="B813" s="36" t="inlineStr">
        <is>
          <t>Холодильник побутовий "Альпарі"</t>
        </is>
      </c>
      <c r="C813" s="37" t="inlineStr">
        <is>
          <t>к-т</t>
        </is>
      </c>
      <c r="D813" s="33" t="n"/>
      <c r="E813" s="33" t="n"/>
      <c r="F813" s="33">
        <f>E813*0.05</f>
        <v/>
      </c>
      <c r="G813" s="33">
        <f>E813+F813</f>
        <v/>
      </c>
      <c r="H813" s="33" t="n"/>
      <c r="I813" s="33" t="n"/>
      <c r="J813" s="33" t="n"/>
      <c r="K813" s="33">
        <f>L813+M813+N813</f>
        <v/>
      </c>
      <c r="L813" s="33" t="n"/>
      <c r="M813" s="33" t="n"/>
      <c r="N813" s="33" t="n"/>
      <c r="O813" s="33">
        <f>P813+Q813</f>
        <v/>
      </c>
      <c r="P813" s="33" t="n"/>
      <c r="Q813" s="33" t="n"/>
      <c r="R813" s="33">
        <f>H813+K813-O813</f>
        <v/>
      </c>
      <c r="S813" s="33" t="n"/>
      <c r="T813" s="33" t="n"/>
      <c r="U813" s="33" t="n"/>
      <c r="V813" s="33" t="n"/>
      <c r="W813" s="33" t="n"/>
      <c r="X813" s="33" t="n"/>
      <c r="Y813" s="33" t="n"/>
      <c r="Z813" s="33" t="n"/>
      <c r="AA813" s="4">
        <f>R813-G813</f>
        <v/>
      </c>
      <c r="AB813" s="4">
        <f>G813-R813</f>
        <v/>
      </c>
      <c r="AC813" s="33" t="n"/>
    </row>
    <row r="814" ht="18.75" customHeight="1">
      <c r="A814" s="35">
        <f>SUBTOTAL(103,$B$24:B814)</f>
        <v/>
      </c>
      <c r="B814" s="36" t="inlineStr">
        <is>
          <t>Холодильник побутовий "Вега"</t>
        </is>
      </c>
      <c r="C814" s="37" t="inlineStr">
        <is>
          <t>к-т</t>
        </is>
      </c>
      <c r="D814" s="33" t="n"/>
      <c r="E814" s="33" t="n"/>
      <c r="F814" s="33">
        <f>E814*0.05</f>
        <v/>
      </c>
      <c r="G814" s="33">
        <f>E814+F814</f>
        <v/>
      </c>
      <c r="H814" s="33" t="n"/>
      <c r="I814" s="33" t="n"/>
      <c r="J814" s="33" t="n"/>
      <c r="K814" s="33">
        <f>L814+M814+N814</f>
        <v/>
      </c>
      <c r="L814" s="33" t="n"/>
      <c r="M814" s="33" t="n"/>
      <c r="N814" s="33" t="n"/>
      <c r="O814" s="33">
        <f>P814+Q814</f>
        <v/>
      </c>
      <c r="P814" s="33" t="n"/>
      <c r="Q814" s="33" t="n"/>
      <c r="R814" s="33">
        <f>H814+K814-O814</f>
        <v/>
      </c>
      <c r="S814" s="33" t="n"/>
      <c r="T814" s="33" t="n"/>
      <c r="U814" s="33" t="n"/>
      <c r="V814" s="33" t="n"/>
      <c r="W814" s="33" t="n"/>
      <c r="X814" s="33" t="n"/>
      <c r="Y814" s="33" t="n"/>
      <c r="Z814" s="33" t="n"/>
      <c r="AA814" s="4">
        <f>R814-G814</f>
        <v/>
      </c>
      <c r="AB814" s="4">
        <f>G814-R814</f>
        <v/>
      </c>
      <c r="AC814" s="33" t="n"/>
    </row>
    <row r="815" ht="18.75" customHeight="1">
      <c r="A815" s="35">
        <f>SUBTOTAL(103,$B$24:B815)</f>
        <v/>
      </c>
      <c r="B815" s="42" t="inlineStr">
        <is>
          <t>Холодильник побутовий "Горенія"</t>
        </is>
      </c>
      <c r="C815" s="37" t="inlineStr">
        <is>
          <t>к-т</t>
        </is>
      </c>
      <c r="D815" s="33" t="n"/>
      <c r="E815" s="33" t="n"/>
      <c r="F815" s="33">
        <f>E815*0.05</f>
        <v/>
      </c>
      <c r="G815" s="33">
        <f>E815+F815</f>
        <v/>
      </c>
      <c r="H815" s="33" t="n"/>
      <c r="I815" s="33" t="n"/>
      <c r="J815" s="33" t="n"/>
      <c r="K815" s="33">
        <f>L815+M815+N815</f>
        <v/>
      </c>
      <c r="L815" s="33" t="n"/>
      <c r="M815" s="33" t="n"/>
      <c r="N815" s="33" t="n"/>
      <c r="O815" s="33">
        <f>P815+Q815</f>
        <v/>
      </c>
      <c r="P815" s="33" t="n"/>
      <c r="Q815" s="33" t="n"/>
      <c r="R815" s="33">
        <f>H815+K815-O815</f>
        <v/>
      </c>
      <c r="S815" s="33" t="n"/>
      <c r="T815" s="33" t="n"/>
      <c r="U815" s="33" t="n"/>
      <c r="V815" s="33" t="n"/>
      <c r="W815" s="33" t="n"/>
      <c r="X815" s="33" t="n"/>
      <c r="Y815" s="33" t="n"/>
      <c r="Z815" s="33" t="n"/>
      <c r="AA815" s="4">
        <f>R815-G815</f>
        <v/>
      </c>
      <c r="AB815" s="4">
        <f>G815-R815</f>
        <v/>
      </c>
      <c r="AC815" s="33" t="n"/>
    </row>
    <row r="816" ht="18.75" customHeight="1">
      <c r="A816" s="35">
        <f>SUBTOTAL(103,$B$24:B816)</f>
        <v/>
      </c>
      <c r="B816" s="42" t="inlineStr">
        <is>
          <t>Холодильник побутовий "Орск"</t>
        </is>
      </c>
      <c r="C816" s="37" t="inlineStr">
        <is>
          <t>к-т</t>
        </is>
      </c>
      <c r="D816" s="33" t="n"/>
      <c r="E816" s="33" t="n"/>
      <c r="F816" s="33">
        <f>E816*0.05</f>
        <v/>
      </c>
      <c r="G816" s="33">
        <f>E816+F816</f>
        <v/>
      </c>
      <c r="H816" s="33" t="n"/>
      <c r="I816" s="33" t="n"/>
      <c r="J816" s="33" t="n"/>
      <c r="K816" s="33">
        <f>L816+M816+N816</f>
        <v/>
      </c>
      <c r="L816" s="33" t="n"/>
      <c r="M816" s="33" t="n"/>
      <c r="N816" s="33" t="n"/>
      <c r="O816" s="33">
        <f>P816+Q816</f>
        <v/>
      </c>
      <c r="P816" s="33" t="n"/>
      <c r="Q816" s="33" t="n"/>
      <c r="R816" s="33">
        <f>H816+K816-O816</f>
        <v/>
      </c>
      <c r="S816" s="33" t="n"/>
      <c r="T816" s="33" t="n"/>
      <c r="U816" s="33" t="n"/>
      <c r="V816" s="33" t="n"/>
      <c r="W816" s="33" t="n"/>
      <c r="X816" s="33" t="n"/>
      <c r="Y816" s="33" t="n"/>
      <c r="Z816" s="33" t="n"/>
      <c r="AA816" s="4">
        <f>R816-G816</f>
        <v/>
      </c>
      <c r="AB816" s="4">
        <f>G816-R816</f>
        <v/>
      </c>
      <c r="AC816" s="33" t="n"/>
    </row>
    <row r="817" ht="18.75" customHeight="1">
      <c r="A817" s="35">
        <f>SUBTOTAL(103,$B$24:B817)</f>
        <v/>
      </c>
      <c r="B817" s="36" t="inlineStr">
        <is>
          <t>Холодильник побутовий "Стінол"</t>
        </is>
      </c>
      <c r="C817" s="37" t="inlineStr">
        <is>
          <t>к-т</t>
        </is>
      </c>
      <c r="D817" s="33" t="n"/>
      <c r="E817" s="33" t="n"/>
      <c r="F817" s="33">
        <f>E817*0.05</f>
        <v/>
      </c>
      <c r="G817" s="33">
        <f>E817+F817</f>
        <v/>
      </c>
      <c r="H817" s="33" t="n"/>
      <c r="I817" s="33" t="n"/>
      <c r="J817" s="33" t="n"/>
      <c r="K817" s="33">
        <f>L817+M817+N817</f>
        <v/>
      </c>
      <c r="L817" s="33" t="n"/>
      <c r="M817" s="33" t="n"/>
      <c r="N817" s="33" t="n"/>
      <c r="O817" s="33">
        <f>P817+Q817</f>
        <v/>
      </c>
      <c r="P817" s="33" t="n"/>
      <c r="Q817" s="33" t="n"/>
      <c r="R817" s="33">
        <f>H817+K817-O817</f>
        <v/>
      </c>
      <c r="S817" s="33" t="n"/>
      <c r="T817" s="33" t="n"/>
      <c r="U817" s="33" t="n"/>
      <c r="V817" s="33" t="n"/>
      <c r="W817" s="33" t="n"/>
      <c r="X817" s="33" t="n"/>
      <c r="Y817" s="33" t="n"/>
      <c r="Z817" s="33" t="n"/>
      <c r="AA817" s="4">
        <f>R817-G817</f>
        <v/>
      </c>
      <c r="AB817" s="4">
        <f>G817-R817</f>
        <v/>
      </c>
      <c r="AC817" s="33" t="n"/>
    </row>
    <row r="818" ht="18.75" customHeight="1">
      <c r="A818" s="35">
        <f>SUBTOTAL(103,$B$24:B818)</f>
        <v/>
      </c>
      <c r="B818" s="36" t="inlineStr">
        <is>
          <t>Холодильник побутовий "СВІЯГА"</t>
        </is>
      </c>
      <c r="C818" s="37" t="inlineStr">
        <is>
          <t>к-т</t>
        </is>
      </c>
      <c r="D818" s="33" t="n"/>
      <c r="E818" s="33" t="n"/>
      <c r="F818" s="33">
        <f>E818*0.05</f>
        <v/>
      </c>
      <c r="G818" s="33">
        <f>E818+F818</f>
        <v/>
      </c>
      <c r="H818" s="33" t="n"/>
      <c r="I818" s="33" t="n"/>
      <c r="J818" s="33" t="n"/>
      <c r="K818" s="33">
        <f>L818+M818+N818</f>
        <v/>
      </c>
      <c r="L818" s="33" t="n"/>
      <c r="M818" s="33" t="n"/>
      <c r="N818" s="33" t="n"/>
      <c r="O818" s="33">
        <f>P818+Q818</f>
        <v/>
      </c>
      <c r="P818" s="33" t="n"/>
      <c r="Q818" s="33" t="n"/>
      <c r="R818" s="33">
        <f>H818+K818-O818</f>
        <v/>
      </c>
      <c r="S818" s="33" t="n"/>
      <c r="T818" s="33" t="n"/>
      <c r="U818" s="33" t="n"/>
      <c r="V818" s="33" t="n"/>
      <c r="W818" s="33" t="n"/>
      <c r="X818" s="33" t="n"/>
      <c r="Y818" s="33" t="n"/>
      <c r="Z818" s="33" t="n"/>
      <c r="AA818" s="4">
        <f>R818-G818</f>
        <v/>
      </c>
      <c r="AB818" s="4">
        <f>G818-R818</f>
        <v/>
      </c>
      <c r="AC818" s="33" t="n"/>
    </row>
    <row r="819" ht="18.75" customHeight="1">
      <c r="A819" s="35">
        <f>SUBTOTAL(103,$B$24:B819)</f>
        <v/>
      </c>
      <c r="B819" s="36" t="inlineStr">
        <is>
          <t>Холодильник побутовий "ЧИНАР"</t>
        </is>
      </c>
      <c r="C819" s="37" t="inlineStr">
        <is>
          <t>к-т</t>
        </is>
      </c>
      <c r="D819" s="33" t="n"/>
      <c r="E819" s="33" t="n"/>
      <c r="F819" s="33">
        <f>E819*0.05</f>
        <v/>
      </c>
      <c r="G819" s="33">
        <f>E819+F819</f>
        <v/>
      </c>
      <c r="H819" s="33" t="n"/>
      <c r="I819" s="33" t="n"/>
      <c r="J819" s="33" t="n"/>
      <c r="K819" s="33">
        <f>L819+M819+N819</f>
        <v/>
      </c>
      <c r="L819" s="33" t="n"/>
      <c r="M819" s="33" t="n"/>
      <c r="N819" s="33" t="n"/>
      <c r="O819" s="33">
        <f>P819+Q819</f>
        <v/>
      </c>
      <c r="P819" s="33" t="n"/>
      <c r="Q819" s="33" t="n"/>
      <c r="R819" s="33">
        <f>H819+K819-O819</f>
        <v/>
      </c>
      <c r="S819" s="33" t="n"/>
      <c r="T819" s="33" t="n"/>
      <c r="U819" s="33" t="n"/>
      <c r="V819" s="33" t="n"/>
      <c r="W819" s="33" t="n"/>
      <c r="X819" s="33" t="n"/>
      <c r="Y819" s="33" t="n"/>
      <c r="Z819" s="33" t="n"/>
      <c r="AA819" s="4">
        <f>R819-G819</f>
        <v/>
      </c>
      <c r="AB819" s="4">
        <f>G819-R819</f>
        <v/>
      </c>
      <c r="AC819" s="33" t="n"/>
    </row>
    <row r="820" ht="37.5" customHeight="1">
      <c r="A820" s="35">
        <f>SUBTOTAL(103,$B$24:B820)</f>
        <v/>
      </c>
      <c r="B820" s="36" t="inlineStr">
        <is>
          <t>Холодильник побутовий "Електролюкс"</t>
        </is>
      </c>
      <c r="C820" s="37" t="inlineStr">
        <is>
          <t>к-т</t>
        </is>
      </c>
      <c r="D820" s="33" t="n"/>
      <c r="E820" s="33" t="n"/>
      <c r="F820" s="33">
        <f>E820*0.05</f>
        <v/>
      </c>
      <c r="G820" s="33">
        <f>E820+F820</f>
        <v/>
      </c>
      <c r="H820" s="33" t="n"/>
      <c r="I820" s="33" t="n"/>
      <c r="J820" s="33" t="n"/>
      <c r="K820" s="33">
        <f>L820+M820+N820</f>
        <v/>
      </c>
      <c r="L820" s="33" t="n"/>
      <c r="M820" s="33" t="n"/>
      <c r="N820" s="33" t="n"/>
      <c r="O820" s="33">
        <f>P820+Q820</f>
        <v/>
      </c>
      <c r="P820" s="33" t="n"/>
      <c r="Q820" s="33" t="n"/>
      <c r="R820" s="33">
        <f>H820+K820-O820</f>
        <v/>
      </c>
      <c r="S820" s="33" t="n"/>
      <c r="T820" s="33" t="n"/>
      <c r="U820" s="33" t="n"/>
      <c r="V820" s="33" t="n"/>
      <c r="W820" s="33" t="n"/>
      <c r="X820" s="33" t="n"/>
      <c r="Y820" s="33" t="n"/>
      <c r="Z820" s="33" t="n"/>
      <c r="AA820" s="4">
        <f>R820-G820</f>
        <v/>
      </c>
      <c r="AB820" s="4">
        <f>G820-R820</f>
        <v/>
      </c>
      <c r="AC820" s="33" t="n"/>
    </row>
    <row r="821" ht="18.75" customHeight="1">
      <c r="A821" s="35">
        <f>SUBTOTAL(103,$B$24:B821)</f>
        <v/>
      </c>
      <c r="B821" s="36" t="inlineStr">
        <is>
          <t>Холодильник побутовий "Апшерон"</t>
        </is>
      </c>
      <c r="C821" s="37" t="inlineStr">
        <is>
          <t>к-т</t>
        </is>
      </c>
      <c r="D821" s="33" t="n"/>
      <c r="E821" s="33" t="n"/>
      <c r="F821" s="33">
        <f>E821*0.05</f>
        <v/>
      </c>
      <c r="G821" s="33">
        <f>E821+F821</f>
        <v/>
      </c>
      <c r="H821" s="33" t="n"/>
      <c r="I821" s="33" t="n"/>
      <c r="J821" s="33" t="n"/>
      <c r="K821" s="33">
        <f>L821+M821+N821</f>
        <v/>
      </c>
      <c r="L821" s="33" t="n"/>
      <c r="M821" s="33" t="n"/>
      <c r="N821" s="33" t="n"/>
      <c r="O821" s="33">
        <f>P821+Q821</f>
        <v/>
      </c>
      <c r="P821" s="33" t="n"/>
      <c r="Q821" s="33" t="n"/>
      <c r="R821" s="33">
        <f>H821+K821-O821</f>
        <v/>
      </c>
      <c r="S821" s="33" t="n"/>
      <c r="T821" s="33" t="n"/>
      <c r="U821" s="33" t="n"/>
      <c r="V821" s="33" t="n"/>
      <c r="W821" s="33" t="n"/>
      <c r="X821" s="33" t="n"/>
      <c r="Y821" s="33" t="n"/>
      <c r="Z821" s="33" t="n"/>
      <c r="AA821" s="4">
        <f>R821-G821</f>
        <v/>
      </c>
      <c r="AB821" s="4">
        <f>G821-R821</f>
        <v/>
      </c>
      <c r="AC821" s="33" t="n"/>
    </row>
    <row r="822" ht="18.75" customHeight="1">
      <c r="A822" s="35">
        <f>SUBTOTAL(103,$B$24:B822)</f>
        <v/>
      </c>
      <c r="B822" s="36" t="inlineStr">
        <is>
          <t>Холодильник побутовий "Атлант"</t>
        </is>
      </c>
      <c r="C822" s="37" t="inlineStr">
        <is>
          <t>к-т</t>
        </is>
      </c>
      <c r="D822" s="33" t="n"/>
      <c r="E822" s="33" t="n"/>
      <c r="F822" s="33">
        <f>E822*0.05</f>
        <v/>
      </c>
      <c r="G822" s="33">
        <f>E822+F822</f>
        <v/>
      </c>
      <c r="H822" s="33" t="n"/>
      <c r="I822" s="33" t="n"/>
      <c r="J822" s="33" t="n"/>
      <c r="K822" s="33">
        <f>L822+M822+N822</f>
        <v/>
      </c>
      <c r="L822" s="33" t="n"/>
      <c r="M822" s="33" t="n"/>
      <c r="N822" s="33" t="n"/>
      <c r="O822" s="33">
        <f>P822+Q822</f>
        <v/>
      </c>
      <c r="P822" s="33" t="n"/>
      <c r="Q822" s="33" t="n"/>
      <c r="R822" s="33">
        <f>H822+K822-O822</f>
        <v/>
      </c>
      <c r="S822" s="33" t="n"/>
      <c r="T822" s="33" t="n"/>
      <c r="U822" s="33" t="n"/>
      <c r="V822" s="33" t="n"/>
      <c r="W822" s="33" t="n"/>
      <c r="X822" s="33" t="n"/>
      <c r="Y822" s="33" t="n"/>
      <c r="Z822" s="33" t="n"/>
      <c r="AA822" s="4">
        <f>R822-G822</f>
        <v/>
      </c>
      <c r="AB822" s="4">
        <f>G822-R822</f>
        <v/>
      </c>
      <c r="AC822" s="33" t="n"/>
      <c r="NG822" s="74" t="n">
        <v>28</v>
      </c>
      <c r="NH822" s="74" t="n">
        <v>22</v>
      </c>
    </row>
    <row r="823" ht="37.5" customHeight="1">
      <c r="A823" s="35">
        <f>SUBTOTAL(103,$B$24:B823)</f>
        <v/>
      </c>
      <c r="B823" s="36" t="inlineStr">
        <is>
          <t>Холодильник побутовий "Атлант" ХМ-4008-500</t>
        </is>
      </c>
      <c r="C823" s="37" t="inlineStr">
        <is>
          <t>к-т</t>
        </is>
      </c>
      <c r="D823" s="33" t="n"/>
      <c r="E823" s="33" t="n"/>
      <c r="F823" s="33">
        <f>E823*0.05</f>
        <v/>
      </c>
      <c r="G823" s="33">
        <f>E823+F823</f>
        <v/>
      </c>
      <c r="H823" s="33" t="n"/>
      <c r="I823" s="33" t="n"/>
      <c r="J823" s="33" t="n"/>
      <c r="K823" s="33">
        <f>L823+M823+N823</f>
        <v/>
      </c>
      <c r="L823" s="33" t="n"/>
      <c r="M823" s="33" t="n"/>
      <c r="N823" s="33" t="n"/>
      <c r="O823" s="33">
        <f>P823+Q823</f>
        <v/>
      </c>
      <c r="P823" s="33" t="n"/>
      <c r="Q823" s="33" t="n"/>
      <c r="R823" s="33">
        <f>H823+K823-O823</f>
        <v/>
      </c>
      <c r="S823" s="33" t="n"/>
      <c r="T823" s="33" t="n"/>
      <c r="U823" s="33" t="n"/>
      <c r="V823" s="33" t="n"/>
      <c r="W823" s="33" t="n"/>
      <c r="X823" s="33" t="n"/>
      <c r="Y823" s="33" t="n"/>
      <c r="Z823" s="33" t="n"/>
      <c r="AA823" s="4">
        <f>R823-G823</f>
        <v/>
      </c>
      <c r="AB823" s="4">
        <f>G823-R823</f>
        <v/>
      </c>
      <c r="AC823" s="33" t="n"/>
      <c r="NI823" s="74" t="n">
        <v>12</v>
      </c>
    </row>
    <row r="824" ht="37.5" customHeight="1">
      <c r="A824" s="35">
        <f>SUBTOTAL(103,$B$24:B824)</f>
        <v/>
      </c>
      <c r="B824" s="36" t="inlineStr">
        <is>
          <t>Холодильник побутовий "Атлант" ХМ-4012-500</t>
        </is>
      </c>
      <c r="C824" s="37" t="inlineStr">
        <is>
          <t>к-т</t>
        </is>
      </c>
      <c r="D824" s="33" t="n"/>
      <c r="E824" s="33" t="n"/>
      <c r="F824" s="33">
        <f>E824*0.05</f>
        <v/>
      </c>
      <c r="G824" s="33">
        <f>E824+F824</f>
        <v/>
      </c>
      <c r="H824" s="33" t="n"/>
      <c r="I824" s="33" t="n"/>
      <c r="J824" s="33" t="n"/>
      <c r="K824" s="33">
        <f>L824+M824+N824</f>
        <v/>
      </c>
      <c r="L824" s="33" t="n"/>
      <c r="M824" s="33" t="n"/>
      <c r="N824" s="33" t="n"/>
      <c r="O824" s="33">
        <f>P824+Q824</f>
        <v/>
      </c>
      <c r="P824" s="33" t="n"/>
      <c r="Q824" s="33" t="n"/>
      <c r="R824" s="33">
        <f>H824+K824-O824</f>
        <v/>
      </c>
      <c r="S824" s="33" t="n"/>
      <c r="T824" s="33" t="n"/>
      <c r="U824" s="33" t="n"/>
      <c r="V824" s="33" t="n"/>
      <c r="W824" s="33" t="n"/>
      <c r="X824" s="33" t="n"/>
      <c r="Y824" s="33" t="n"/>
      <c r="Z824" s="33" t="n"/>
      <c r="AA824" s="4">
        <f>R824-G824</f>
        <v/>
      </c>
      <c r="AB824" s="4">
        <f>G824-R824</f>
        <v/>
      </c>
      <c r="AC824" s="33" t="n"/>
    </row>
    <row r="825" ht="37.5" customHeight="1">
      <c r="A825" s="35">
        <f>SUBTOTAL(103,$B$24:B825)</f>
        <v/>
      </c>
      <c r="B825" s="36" t="inlineStr">
        <is>
          <t>Холодильник побутовий Атлант MXM-5810-72</t>
        </is>
      </c>
      <c r="C825" s="37" t="inlineStr">
        <is>
          <t>к-т</t>
        </is>
      </c>
      <c r="D825" s="33" t="n"/>
      <c r="E825" s="33" t="n"/>
      <c r="F825" s="33">
        <f>E825*0.05</f>
        <v/>
      </c>
      <c r="G825" s="33">
        <f>E825+F825</f>
        <v/>
      </c>
      <c r="H825" s="33" t="n"/>
      <c r="I825" s="33" t="n"/>
      <c r="J825" s="33" t="n"/>
      <c r="K825" s="33">
        <f>L825+M825+N825</f>
        <v/>
      </c>
      <c r="L825" s="33" t="n"/>
      <c r="M825" s="33" t="n"/>
      <c r="N825" s="33" t="n"/>
      <c r="O825" s="33">
        <f>P825+Q825</f>
        <v/>
      </c>
      <c r="P825" s="33" t="n"/>
      <c r="Q825" s="33" t="n"/>
      <c r="R825" s="33">
        <f>H825+K825-O825</f>
        <v/>
      </c>
      <c r="S825" s="33" t="n"/>
      <c r="T825" s="33" t="n"/>
      <c r="U825" s="33" t="n"/>
      <c r="V825" s="33" t="n"/>
      <c r="W825" s="33" t="n"/>
      <c r="X825" s="33" t="n"/>
      <c r="Y825" s="33" t="n"/>
      <c r="Z825" s="33" t="n"/>
      <c r="AA825" s="4">
        <f>R825-G825</f>
        <v/>
      </c>
      <c r="AB825" s="4">
        <f>G825-R825</f>
        <v/>
      </c>
      <c r="AC825" s="33" t="n"/>
    </row>
    <row r="826" ht="37.5" customHeight="1">
      <c r="A826" s="35">
        <f>SUBTOTAL(103,$B$24:B826)</f>
        <v/>
      </c>
      <c r="B826" s="36" t="inlineStr">
        <is>
          <t>Холодильник побутовий "Атлант" ХМ-4426-500-N</t>
        </is>
      </c>
      <c r="C826" s="37" t="inlineStr">
        <is>
          <t>к-т</t>
        </is>
      </c>
      <c r="D826" s="33" t="n"/>
      <c r="E826" s="33" t="n"/>
      <c r="F826" s="33">
        <f>E826*0.05</f>
        <v/>
      </c>
      <c r="G826" s="33">
        <f>E826+F826</f>
        <v/>
      </c>
      <c r="H826" s="33" t="n"/>
      <c r="I826" s="33" t="n"/>
      <c r="J826" s="33" t="n"/>
      <c r="K826" s="33">
        <f>L826+M826+N826</f>
        <v/>
      </c>
      <c r="L826" s="33" t="n"/>
      <c r="M826" s="33" t="n"/>
      <c r="N826" s="33" t="n"/>
      <c r="O826" s="33">
        <f>P826+Q826</f>
        <v/>
      </c>
      <c r="P826" s="33" t="n"/>
      <c r="Q826" s="33" t="n"/>
      <c r="R826" s="33">
        <f>H826+K826-O826</f>
        <v/>
      </c>
      <c r="S826" s="33" t="n"/>
      <c r="T826" s="33" t="n"/>
      <c r="U826" s="33" t="n"/>
      <c r="V826" s="33" t="n"/>
      <c r="W826" s="33" t="n"/>
      <c r="X826" s="33" t="n"/>
      <c r="Y826" s="33" t="n"/>
      <c r="Z826" s="33" t="n"/>
      <c r="AA826" s="4">
        <f>R826-G826</f>
        <v/>
      </c>
      <c r="AB826" s="4">
        <f>G826-R826</f>
        <v/>
      </c>
      <c r="AC826" s="33" t="n"/>
    </row>
    <row r="827" ht="37.5" customHeight="1">
      <c r="A827" s="35">
        <f>SUBTOTAL(103,$B$24:B827)</f>
        <v/>
      </c>
      <c r="B827" s="36" t="inlineStr">
        <is>
          <t>Холодильник побутовий Атлант XM-6025-562</t>
        </is>
      </c>
      <c r="C827" s="37" t="inlineStr">
        <is>
          <t>к-т</t>
        </is>
      </c>
      <c r="D827" s="33" t="n"/>
      <c r="E827" s="33" t="n"/>
      <c r="F827" s="33">
        <f>E827*0.05</f>
        <v/>
      </c>
      <c r="G827" s="33">
        <f>E827+F827</f>
        <v/>
      </c>
      <c r="H827" s="33" t="n"/>
      <c r="I827" s="33" t="n"/>
      <c r="J827" s="33" t="n"/>
      <c r="K827" s="33">
        <f>L827+M827+N827</f>
        <v/>
      </c>
      <c r="L827" s="33" t="n"/>
      <c r="M827" s="33" t="n"/>
      <c r="N827" s="33" t="n"/>
      <c r="O827" s="33">
        <f>P827+Q827</f>
        <v/>
      </c>
      <c r="P827" s="33" t="n"/>
      <c r="Q827" s="33" t="n"/>
      <c r="R827" s="33">
        <f>H827+K827-O827</f>
        <v/>
      </c>
      <c r="S827" s="33" t="n"/>
      <c r="T827" s="33" t="n"/>
      <c r="U827" s="33" t="n"/>
      <c r="V827" s="33" t="n"/>
      <c r="W827" s="33" t="n"/>
      <c r="X827" s="33" t="n"/>
      <c r="Y827" s="33" t="n"/>
      <c r="Z827" s="33" t="n"/>
      <c r="AA827" s="4">
        <f>R827-G827</f>
        <v/>
      </c>
      <c r="AB827" s="4">
        <f>G827-R827</f>
        <v/>
      </c>
      <c r="AC827" s="33" t="n"/>
    </row>
    <row r="828" ht="37.5" customHeight="1">
      <c r="A828" s="35">
        <f>SUBTOTAL(103,$B$24:B828)</f>
        <v/>
      </c>
      <c r="B828" s="36" t="inlineStr">
        <is>
          <t>Холодильник побутовий "Атлант" МХМ-2835-95</t>
        </is>
      </c>
      <c r="C828" s="37" t="inlineStr">
        <is>
          <t>к-т</t>
        </is>
      </c>
      <c r="D828" s="33" t="n"/>
      <c r="E828" s="33" t="n"/>
      <c r="F828" s="33">
        <f>E828*0.05</f>
        <v/>
      </c>
      <c r="G828" s="33">
        <f>E828+F828</f>
        <v/>
      </c>
      <c r="H828" s="33" t="n"/>
      <c r="I828" s="33" t="n"/>
      <c r="J828" s="33" t="n"/>
      <c r="K828" s="33">
        <f>L828+M828+N828</f>
        <v/>
      </c>
      <c r="L828" s="33" t="n"/>
      <c r="M828" s="33" t="n"/>
      <c r="N828" s="33" t="n"/>
      <c r="O828" s="33">
        <f>P828+Q828</f>
        <v/>
      </c>
      <c r="P828" s="33" t="n"/>
      <c r="Q828" s="33" t="n"/>
      <c r="R828" s="33">
        <f>H828+K828-O828</f>
        <v/>
      </c>
      <c r="S828" s="33" t="n"/>
      <c r="T828" s="33" t="n"/>
      <c r="U828" s="33" t="n"/>
      <c r="V828" s="33" t="n"/>
      <c r="W828" s="33" t="n"/>
      <c r="X828" s="33" t="n"/>
      <c r="Y828" s="33" t="n"/>
      <c r="Z828" s="33" t="n"/>
      <c r="AA828" s="4">
        <f>R828-G828</f>
        <v/>
      </c>
      <c r="AB828" s="4">
        <f>G828-R828</f>
        <v/>
      </c>
      <c r="AC828" s="33" t="n"/>
    </row>
    <row r="829" ht="18.75" customHeight="1">
      <c r="A829" s="35">
        <f>SUBTOTAL(103,$B$24:B829)</f>
        <v/>
      </c>
      <c r="B829" s="36" t="inlineStr">
        <is>
          <t>Ел.холодильник "Снайге"</t>
        </is>
      </c>
      <c r="C829" s="37" t="inlineStr">
        <is>
          <t>к-т</t>
        </is>
      </c>
      <c r="D829" s="33" t="n"/>
      <c r="E829" s="33" t="n"/>
      <c r="F829" s="33">
        <f>E829*0.05</f>
        <v/>
      </c>
      <c r="G829" s="33">
        <f>E829+F829</f>
        <v/>
      </c>
      <c r="H829" s="33" t="n"/>
      <c r="I829" s="33" t="n"/>
      <c r="J829" s="33" t="n"/>
      <c r="K829" s="33">
        <f>L829+M829+N829</f>
        <v/>
      </c>
      <c r="L829" s="33" t="n"/>
      <c r="M829" s="33" t="n"/>
      <c r="N829" s="33" t="n"/>
      <c r="O829" s="33">
        <f>P829+Q829</f>
        <v/>
      </c>
      <c r="P829" s="33" t="n"/>
      <c r="Q829" s="33" t="n"/>
      <c r="R829" s="33">
        <f>H829+K829-O829</f>
        <v/>
      </c>
      <c r="S829" s="33" t="n"/>
      <c r="T829" s="33" t="n"/>
      <c r="U829" s="33" t="n"/>
      <c r="V829" s="33" t="n"/>
      <c r="W829" s="33" t="n"/>
      <c r="X829" s="33" t="n"/>
      <c r="Y829" s="33" t="n"/>
      <c r="Z829" s="33" t="n"/>
      <c r="AA829" s="4">
        <f>R829-G829</f>
        <v/>
      </c>
      <c r="AB829" s="4">
        <f>G829-R829</f>
        <v/>
      </c>
      <c r="AC829" s="33" t="n"/>
    </row>
    <row r="830" ht="18.75" customHeight="1">
      <c r="A830" s="35">
        <f>SUBTOTAL(103,$B$24:B830)</f>
        <v/>
      </c>
      <c r="B830" s="36" t="inlineStr">
        <is>
          <t>Холодильник Снайге 240</t>
        </is>
      </c>
      <c r="C830" s="37" t="inlineStr">
        <is>
          <t>к-т</t>
        </is>
      </c>
      <c r="D830" s="33" t="n"/>
      <c r="E830" s="33" t="n"/>
      <c r="F830" s="33">
        <f>E830*0.05</f>
        <v/>
      </c>
      <c r="G830" s="33">
        <f>E830+F830</f>
        <v/>
      </c>
      <c r="H830" s="33" t="n"/>
      <c r="I830" s="33" t="n"/>
      <c r="J830" s="33" t="n"/>
      <c r="K830" s="33">
        <f>L830+M830+N830</f>
        <v/>
      </c>
      <c r="L830" s="33" t="n"/>
      <c r="M830" s="33" t="n"/>
      <c r="N830" s="33" t="n"/>
      <c r="O830" s="33">
        <f>P830+Q830</f>
        <v/>
      </c>
      <c r="P830" s="33" t="n"/>
      <c r="Q830" s="33" t="n"/>
      <c r="R830" s="33">
        <f>H830+K830-O830</f>
        <v/>
      </c>
      <c r="S830" s="33" t="n"/>
      <c r="T830" s="33" t="n"/>
      <c r="U830" s="33" t="n"/>
      <c r="V830" s="33" t="n"/>
      <c r="W830" s="33" t="n"/>
      <c r="X830" s="33" t="n"/>
      <c r="Y830" s="33" t="n"/>
      <c r="Z830" s="33" t="n"/>
      <c r="AA830" s="4">
        <f>R830-G830</f>
        <v/>
      </c>
      <c r="AB830" s="4">
        <f>G830-R830</f>
        <v/>
      </c>
      <c r="AC830" s="33" t="n"/>
    </row>
    <row r="831" ht="18.75" customHeight="1">
      <c r="A831" s="35">
        <f>SUBTOTAL(103,$B$24:B831)</f>
        <v/>
      </c>
      <c r="B831" s="36" t="inlineStr">
        <is>
          <t>Холодильник Snaige CD-290</t>
        </is>
      </c>
      <c r="C831" s="37" t="inlineStr">
        <is>
          <t>к-т</t>
        </is>
      </c>
      <c r="D831" s="33" t="n"/>
      <c r="E831" s="33" t="n"/>
      <c r="F831" s="33">
        <f>E831*0.05</f>
        <v/>
      </c>
      <c r="G831" s="33">
        <f>E831+F831</f>
        <v/>
      </c>
      <c r="H831" s="33" t="n"/>
      <c r="I831" s="33" t="n"/>
      <c r="J831" s="33" t="n"/>
      <c r="K831" s="33">
        <f>L831+M831+N831</f>
        <v/>
      </c>
      <c r="L831" s="33" t="n"/>
      <c r="M831" s="33" t="n"/>
      <c r="N831" s="33" t="n"/>
      <c r="O831" s="33">
        <f>P831+Q831</f>
        <v/>
      </c>
      <c r="P831" s="33" t="n"/>
      <c r="Q831" s="33" t="n"/>
      <c r="R831" s="33">
        <f>H831+K831-O831</f>
        <v/>
      </c>
      <c r="S831" s="33" t="n"/>
      <c r="T831" s="33" t="n"/>
      <c r="U831" s="33" t="n"/>
      <c r="V831" s="33" t="n"/>
      <c r="W831" s="33" t="n"/>
      <c r="X831" s="33" t="n"/>
      <c r="Y831" s="33" t="n"/>
      <c r="Z831" s="33" t="n"/>
      <c r="AA831" s="4">
        <f>R831-G831</f>
        <v/>
      </c>
      <c r="AB831" s="4">
        <f>G831-R831</f>
        <v/>
      </c>
      <c r="AC831" s="33" t="n"/>
    </row>
    <row r="832" ht="18.75" customHeight="1">
      <c r="A832" s="35">
        <f>SUBTOTAL(103,$B$24:B832)</f>
        <v/>
      </c>
      <c r="B832" s="36" t="inlineStr">
        <is>
          <t>Ел.холодильник "Liberton"</t>
        </is>
      </c>
      <c r="C832" s="37" t="inlineStr">
        <is>
          <t>к-т</t>
        </is>
      </c>
      <c r="D832" s="33" t="n"/>
      <c r="E832" s="33" t="n"/>
      <c r="F832" s="33">
        <f>E832*0.05</f>
        <v/>
      </c>
      <c r="G832" s="33">
        <f>E832+F832</f>
        <v/>
      </c>
      <c r="H832" s="33" t="n"/>
      <c r="I832" s="33" t="n"/>
      <c r="J832" s="33" t="n"/>
      <c r="K832" s="33">
        <f>L832+M832+N832</f>
        <v/>
      </c>
      <c r="L832" s="33" t="n"/>
      <c r="M832" s="33" t="n"/>
      <c r="N832" s="33" t="n"/>
      <c r="O832" s="33">
        <f>P832+Q832</f>
        <v/>
      </c>
      <c r="P832" s="33" t="n"/>
      <c r="Q832" s="33" t="n"/>
      <c r="R832" s="33">
        <f>H832+K832-O832</f>
        <v/>
      </c>
      <c r="S832" s="33" t="n"/>
      <c r="T832" s="33" t="n"/>
      <c r="U832" s="33" t="n"/>
      <c r="V832" s="33" t="n"/>
      <c r="W832" s="33" t="n"/>
      <c r="X832" s="33" t="n"/>
      <c r="Y832" s="33" t="n"/>
      <c r="Z832" s="33" t="n"/>
      <c r="AA832" s="4">
        <f>R832-G832</f>
        <v/>
      </c>
      <c r="AB832" s="4">
        <f>G832-R832</f>
        <v/>
      </c>
      <c r="AC832" s="33" t="n"/>
    </row>
    <row r="833" ht="37.5" customHeight="1">
      <c r="A833" s="35">
        <f>SUBTOTAL(103,$B$24:B833)</f>
        <v/>
      </c>
      <c r="B833" s="36" t="inlineStr">
        <is>
          <t>Холодильник побутовий "Атлант" ХМ-4425-500 N1</t>
        </is>
      </c>
      <c r="C833" s="37" t="inlineStr">
        <is>
          <t>к-т</t>
        </is>
      </c>
      <c r="D833" s="33" t="n"/>
      <c r="E833" s="33" t="n"/>
      <c r="F833" s="33">
        <f>E833*0.05</f>
        <v/>
      </c>
      <c r="G833" s="33">
        <f>E833+F833</f>
        <v/>
      </c>
      <c r="H833" s="33" t="n"/>
      <c r="I833" s="33" t="n"/>
      <c r="J833" s="33" t="n"/>
      <c r="K833" s="33">
        <f>L833+M833+N833</f>
        <v/>
      </c>
      <c r="L833" s="33" t="n"/>
      <c r="M833" s="33" t="n"/>
      <c r="N833" s="33" t="n"/>
      <c r="O833" s="33">
        <f>P833+Q833</f>
        <v/>
      </c>
      <c r="P833" s="33" t="n"/>
      <c r="Q833" s="33" t="n"/>
      <c r="R833" s="33">
        <f>H833+K833-O833</f>
        <v/>
      </c>
      <c r="S833" s="33" t="n"/>
      <c r="T833" s="33" t="n"/>
      <c r="U833" s="33" t="n"/>
      <c r="V833" s="33" t="n"/>
      <c r="W833" s="33" t="n"/>
      <c r="X833" s="33" t="n"/>
      <c r="Y833" s="33" t="n"/>
      <c r="Z833" s="33" t="n"/>
      <c r="AA833" s="4">
        <f>R833-G833</f>
        <v/>
      </c>
      <c r="AB833" s="4">
        <f>G833-R833</f>
        <v/>
      </c>
      <c r="AC833" s="33" t="n"/>
    </row>
    <row r="834" ht="37.5" customHeight="1">
      <c r="A834" s="35">
        <f>SUBTOTAL(103,$B$24:B834)</f>
        <v/>
      </c>
      <c r="B834" s="36" t="inlineStr">
        <is>
          <t>Холодильник побутовий "Altus" ALT240CW</t>
        </is>
      </c>
      <c r="C834" s="37" t="inlineStr">
        <is>
          <t>к-т</t>
        </is>
      </c>
      <c r="D834" s="33" t="n"/>
      <c r="E834" s="33" t="n"/>
      <c r="F834" s="33">
        <f>E834*0.05</f>
        <v/>
      </c>
      <c r="G834" s="33">
        <f>E834+F834</f>
        <v/>
      </c>
      <c r="H834" s="33" t="n"/>
      <c r="I834" s="33" t="n"/>
      <c r="J834" s="33" t="n"/>
      <c r="K834" s="33">
        <f>L834+M834+N834</f>
        <v/>
      </c>
      <c r="L834" s="33" t="n"/>
      <c r="M834" s="33" t="n"/>
      <c r="N834" s="33" t="n"/>
      <c r="O834" s="33">
        <f>P834+Q834</f>
        <v/>
      </c>
      <c r="P834" s="33" t="n"/>
      <c r="Q834" s="33" t="n"/>
      <c r="R834" s="33">
        <f>H834+K834-O834</f>
        <v/>
      </c>
      <c r="S834" s="33" t="n"/>
      <c r="T834" s="33" t="n"/>
      <c r="U834" s="33" t="n"/>
      <c r="V834" s="33" t="n"/>
      <c r="W834" s="33" t="n"/>
      <c r="X834" s="33" t="n"/>
      <c r="Y834" s="33" t="n"/>
      <c r="Z834" s="33" t="n"/>
      <c r="AA834" s="4">
        <f>R834-G834</f>
        <v/>
      </c>
      <c r="AB834" s="4">
        <f>G834-R834</f>
        <v/>
      </c>
      <c r="AC834" s="33" t="n"/>
    </row>
    <row r="835" ht="18.75" customHeight="1">
      <c r="A835" s="35">
        <f>SUBTOTAL(103,$B$24:B835)</f>
        <v/>
      </c>
      <c r="B835" s="36" t="inlineStr">
        <is>
          <t>Ел.холодильник "Індезіт"</t>
        </is>
      </c>
      <c r="C835" s="37" t="inlineStr">
        <is>
          <t>к-т</t>
        </is>
      </c>
      <c r="D835" s="33" t="n"/>
      <c r="E835" s="33" t="n"/>
      <c r="F835" s="33">
        <f>E835*0.05</f>
        <v/>
      </c>
      <c r="G835" s="33">
        <f>E835+F835</f>
        <v/>
      </c>
      <c r="H835" s="33" t="n"/>
      <c r="I835" s="33" t="n"/>
      <c r="J835" s="33" t="n"/>
      <c r="K835" s="33">
        <f>L835+M835+N835</f>
        <v/>
      </c>
      <c r="L835" s="33" t="n"/>
      <c r="M835" s="33" t="n"/>
      <c r="N835" s="33" t="n"/>
      <c r="O835" s="33">
        <f>P835+Q835</f>
        <v/>
      </c>
      <c r="P835" s="33" t="n"/>
      <c r="Q835" s="33" t="n"/>
      <c r="R835" s="33">
        <f>H835+K835-O835</f>
        <v/>
      </c>
      <c r="S835" s="33" t="n"/>
      <c r="T835" s="33" t="n"/>
      <c r="U835" s="33" t="n"/>
      <c r="V835" s="33" t="n"/>
      <c r="W835" s="33" t="n"/>
      <c r="X835" s="33" t="n"/>
      <c r="Y835" s="33" t="n"/>
      <c r="Z835" s="33" t="n"/>
      <c r="AA835" s="4">
        <f>R835-G835</f>
        <v/>
      </c>
      <c r="AB835" s="4">
        <f>G835-R835</f>
        <v/>
      </c>
      <c r="AC835" s="33" t="n"/>
    </row>
    <row r="836" ht="18.75" customHeight="1">
      <c r="A836" s="35">
        <f>SUBTOTAL(103,$B$24:B836)</f>
        <v/>
      </c>
      <c r="B836" s="42" t="inlineStr">
        <is>
          <t>Холодильник побутовий Indesit 15040</t>
        </is>
      </c>
      <c r="C836" s="37" t="inlineStr">
        <is>
          <t>к-т</t>
        </is>
      </c>
      <c r="D836" s="33" t="n"/>
      <c r="E836" s="33" t="n"/>
      <c r="F836" s="33">
        <f>E836*0.05</f>
        <v/>
      </c>
      <c r="G836" s="33">
        <f>E836+F836</f>
        <v/>
      </c>
      <c r="H836" s="33" t="n"/>
      <c r="I836" s="33" t="n"/>
      <c r="J836" s="33" t="n"/>
      <c r="K836" s="33">
        <f>L836+M836+N836</f>
        <v/>
      </c>
      <c r="L836" s="33" t="n"/>
      <c r="M836" s="33" t="n"/>
      <c r="N836" s="33" t="n"/>
      <c r="O836" s="33">
        <f>P836+Q836</f>
        <v/>
      </c>
      <c r="P836" s="33" t="n"/>
      <c r="Q836" s="33" t="n"/>
      <c r="R836" s="33">
        <f>H836+K836-O836</f>
        <v/>
      </c>
      <c r="S836" s="33" t="n"/>
      <c r="T836" s="33" t="n"/>
      <c r="U836" s="33" t="n"/>
      <c r="V836" s="33" t="n"/>
      <c r="W836" s="33" t="n"/>
      <c r="X836" s="33" t="n"/>
      <c r="Y836" s="33" t="n"/>
      <c r="Z836" s="33" t="n"/>
      <c r="AA836" s="4">
        <f>R836-G836</f>
        <v/>
      </c>
      <c r="AB836" s="4">
        <f>G836-R836</f>
        <v/>
      </c>
      <c r="AC836" s="33" t="n"/>
    </row>
    <row r="837" ht="18.75" customHeight="1">
      <c r="A837" s="35">
        <f>SUBTOTAL(103,$B$24:B837)</f>
        <v/>
      </c>
      <c r="B837" s="36" t="inlineStr">
        <is>
          <t>Холодильник побутовий Indesit NTS 14</t>
        </is>
      </c>
      <c r="C837" s="37" t="inlineStr">
        <is>
          <t>к-т</t>
        </is>
      </c>
      <c r="D837" s="33" t="n"/>
      <c r="E837" s="33" t="n"/>
      <c r="F837" s="33">
        <f>E837*0.05</f>
        <v/>
      </c>
      <c r="G837" s="33">
        <f>E837+F837</f>
        <v/>
      </c>
      <c r="H837" s="33" t="n"/>
      <c r="I837" s="33" t="n"/>
      <c r="J837" s="33" t="n"/>
      <c r="K837" s="33">
        <f>L837+M837+N837</f>
        <v/>
      </c>
      <c r="L837" s="33" t="n"/>
      <c r="M837" s="33" t="n"/>
      <c r="N837" s="33" t="n"/>
      <c r="O837" s="33">
        <f>P837+Q837</f>
        <v/>
      </c>
      <c r="P837" s="33" t="n"/>
      <c r="Q837" s="33" t="n"/>
      <c r="R837" s="33">
        <f>H837+K837-O837</f>
        <v/>
      </c>
      <c r="S837" s="33" t="n"/>
      <c r="T837" s="33" t="n"/>
      <c r="U837" s="33" t="n"/>
      <c r="V837" s="33" t="n"/>
      <c r="W837" s="33" t="n"/>
      <c r="X837" s="33" t="n"/>
      <c r="Y837" s="33" t="n"/>
      <c r="Z837" s="33" t="n"/>
      <c r="AA837" s="4">
        <f>R837-G837</f>
        <v/>
      </c>
      <c r="AB837" s="4">
        <f>G837-R837</f>
        <v/>
      </c>
      <c r="AC837" s="33" t="n"/>
    </row>
    <row r="838" ht="18.75" customHeight="1">
      <c r="A838" s="35">
        <f>SUBTOTAL(103,$B$24:B838)</f>
        <v/>
      </c>
      <c r="B838" s="36" t="inlineStr">
        <is>
          <t>Холодильник побутовий Indesit NBS 20</t>
        </is>
      </c>
      <c r="C838" s="37" t="inlineStr">
        <is>
          <t>к-т</t>
        </is>
      </c>
      <c r="D838" s="33" t="n"/>
      <c r="E838" s="33" t="n"/>
      <c r="F838" s="33">
        <f>E838*0.05</f>
        <v/>
      </c>
      <c r="G838" s="33">
        <f>E838+F838</f>
        <v/>
      </c>
      <c r="H838" s="33" t="n"/>
      <c r="I838" s="33" t="n"/>
      <c r="J838" s="33" t="n"/>
      <c r="K838" s="33">
        <f>L838+M838+N838</f>
        <v/>
      </c>
      <c r="L838" s="33" t="n"/>
      <c r="M838" s="33" t="n"/>
      <c r="N838" s="33" t="n"/>
      <c r="O838" s="33">
        <f>P838+Q838</f>
        <v/>
      </c>
      <c r="P838" s="33" t="n"/>
      <c r="Q838" s="33" t="n"/>
      <c r="R838" s="33">
        <f>H838+K838-O838</f>
        <v/>
      </c>
      <c r="S838" s="33" t="n"/>
      <c r="T838" s="33" t="n"/>
      <c r="U838" s="33" t="n"/>
      <c r="V838" s="33" t="n"/>
      <c r="W838" s="33" t="n"/>
      <c r="X838" s="33" t="n"/>
      <c r="Y838" s="33" t="n"/>
      <c r="Z838" s="33" t="n"/>
      <c r="AA838" s="4">
        <f>R838-G838</f>
        <v/>
      </c>
      <c r="AB838" s="4">
        <f>G838-R838</f>
        <v/>
      </c>
      <c r="AC838" s="33" t="n"/>
    </row>
    <row r="839" ht="18.75" customHeight="1">
      <c r="A839" s="35">
        <f>SUBTOTAL(103,$B$24:B839)</f>
        <v/>
      </c>
      <c r="B839" s="36" t="inlineStr">
        <is>
          <t>Ел. холодильник "Київ-20-1"</t>
        </is>
      </c>
      <c r="C839" s="37" t="inlineStr">
        <is>
          <t>к-т</t>
        </is>
      </c>
      <c r="D839" s="33" t="n"/>
      <c r="E839" s="33" t="n"/>
      <c r="F839" s="33">
        <f>E839*0.05</f>
        <v/>
      </c>
      <c r="G839" s="33">
        <f>E839+F839</f>
        <v/>
      </c>
      <c r="H839" s="33" t="n"/>
      <c r="I839" s="33" t="n"/>
      <c r="J839" s="33" t="n"/>
      <c r="K839" s="33">
        <f>L839+M839+N839</f>
        <v/>
      </c>
      <c r="L839" s="33" t="n"/>
      <c r="M839" s="33" t="n"/>
      <c r="N839" s="33" t="n"/>
      <c r="O839" s="33">
        <f>P839+Q839</f>
        <v/>
      </c>
      <c r="P839" s="33" t="n"/>
      <c r="Q839" s="33" t="n"/>
      <c r="R839" s="33">
        <f>H839+K839-O839</f>
        <v/>
      </c>
      <c r="S839" s="33" t="n"/>
      <c r="T839" s="33" t="n"/>
      <c r="U839" s="33" t="n"/>
      <c r="V839" s="33" t="n"/>
      <c r="W839" s="33" t="n"/>
      <c r="X839" s="33" t="n"/>
      <c r="Y839" s="33" t="n"/>
      <c r="Z839" s="33" t="n"/>
      <c r="AA839" s="4">
        <f>R839-G839</f>
        <v/>
      </c>
      <c r="AB839" s="4">
        <f>G839-R839</f>
        <v/>
      </c>
      <c r="AC839" s="33" t="n"/>
    </row>
    <row r="840" ht="18.75" customHeight="1">
      <c r="A840" s="35">
        <f>SUBTOTAL(103,$B$24:B840)</f>
        <v/>
      </c>
      <c r="B840" s="36" t="inlineStr">
        <is>
          <t>Ел. холодильник "Арістон"</t>
        </is>
      </c>
      <c r="C840" s="37" t="inlineStr">
        <is>
          <t>к-т</t>
        </is>
      </c>
      <c r="D840" s="33" t="n"/>
      <c r="E840" s="33" t="n"/>
      <c r="F840" s="33">
        <f>E840*0.05</f>
        <v/>
      </c>
      <c r="G840" s="33">
        <f>E840+F840</f>
        <v/>
      </c>
      <c r="H840" s="33" t="n"/>
      <c r="I840" s="33" t="n"/>
      <c r="J840" s="33" t="n"/>
      <c r="K840" s="33">
        <f>L840+M840+N840</f>
        <v/>
      </c>
      <c r="L840" s="33" t="n"/>
      <c r="M840" s="33" t="n"/>
      <c r="N840" s="33" t="n"/>
      <c r="O840" s="33">
        <f>P840+Q840</f>
        <v/>
      </c>
      <c r="P840" s="33" t="n"/>
      <c r="Q840" s="33" t="n"/>
      <c r="R840" s="33">
        <f>H840+K840-O840</f>
        <v/>
      </c>
      <c r="S840" s="33" t="n"/>
      <c r="T840" s="33" t="n"/>
      <c r="U840" s="33" t="n"/>
      <c r="V840" s="33" t="n"/>
      <c r="W840" s="33" t="n"/>
      <c r="X840" s="33" t="n"/>
      <c r="Y840" s="33" t="n"/>
      <c r="Z840" s="33" t="n"/>
      <c r="AA840" s="4">
        <f>R840-G840</f>
        <v/>
      </c>
      <c r="AB840" s="4">
        <f>G840-R840</f>
        <v/>
      </c>
      <c r="AC840" s="33" t="n"/>
    </row>
    <row r="841" ht="18.75" customHeight="1">
      <c r="A841" s="35">
        <f>SUBTOTAL(103,$B$24:B841)</f>
        <v/>
      </c>
      <c r="B841" s="36" t="inlineStr">
        <is>
          <t>Ел. холодильник "Арістон МТА-1167"</t>
        </is>
      </c>
      <c r="C841" s="37" t="inlineStr">
        <is>
          <t>к-т</t>
        </is>
      </c>
      <c r="D841" s="33" t="n"/>
      <c r="E841" s="33" t="n"/>
      <c r="F841" s="33">
        <f>E841*0.05</f>
        <v/>
      </c>
      <c r="G841" s="33">
        <f>E841+F841</f>
        <v/>
      </c>
      <c r="H841" s="33" t="n"/>
      <c r="I841" s="33" t="n"/>
      <c r="J841" s="33" t="n"/>
      <c r="K841" s="33">
        <f>L841+M841+N841</f>
        <v/>
      </c>
      <c r="L841" s="33" t="n"/>
      <c r="M841" s="33" t="n"/>
      <c r="N841" s="33" t="n"/>
      <c r="O841" s="33">
        <f>P841+Q841</f>
        <v/>
      </c>
      <c r="P841" s="33" t="n"/>
      <c r="Q841" s="33" t="n"/>
      <c r="R841" s="33">
        <f>H841+K841-O841</f>
        <v/>
      </c>
      <c r="S841" s="33" t="n"/>
      <c r="T841" s="33" t="n"/>
      <c r="U841" s="33" t="n"/>
      <c r="V841" s="33" t="n"/>
      <c r="W841" s="33" t="n"/>
      <c r="X841" s="33" t="n"/>
      <c r="Y841" s="33" t="n"/>
      <c r="Z841" s="33" t="n"/>
      <c r="AA841" s="4">
        <f>R841-G841</f>
        <v/>
      </c>
      <c r="AB841" s="4">
        <f>G841-R841</f>
        <v/>
      </c>
      <c r="AC841" s="33" t="n"/>
    </row>
    <row r="842" ht="18.75" customHeight="1">
      <c r="A842" s="35">
        <f>SUBTOTAL(103,$B$24:B842)</f>
        <v/>
      </c>
      <c r="B842" s="36" t="inlineStr">
        <is>
          <t>Ел. холодильник "Ардо"</t>
        </is>
      </c>
      <c r="C842" s="37" t="inlineStr">
        <is>
          <t>к-т</t>
        </is>
      </c>
      <c r="D842" s="33" t="n"/>
      <c r="E842" s="33" t="n"/>
      <c r="F842" s="33">
        <f>E842*0.05</f>
        <v/>
      </c>
      <c r="G842" s="33">
        <f>E842+F842</f>
        <v/>
      </c>
      <c r="H842" s="33" t="n"/>
      <c r="I842" s="33" t="n"/>
      <c r="J842" s="33" t="n"/>
      <c r="K842" s="33">
        <f>L842+M842+N842</f>
        <v/>
      </c>
      <c r="L842" s="33" t="n"/>
      <c r="M842" s="33" t="n"/>
      <c r="N842" s="33" t="n"/>
      <c r="O842" s="33">
        <f>P842+Q842</f>
        <v/>
      </c>
      <c r="P842" s="33" t="n"/>
      <c r="Q842" s="33" t="n"/>
      <c r="R842" s="33">
        <f>H842+K842-O842</f>
        <v/>
      </c>
      <c r="S842" s="33" t="n"/>
      <c r="T842" s="33" t="n"/>
      <c r="U842" s="33" t="n"/>
      <c r="V842" s="33" t="n"/>
      <c r="W842" s="33" t="n"/>
      <c r="X842" s="33" t="n"/>
      <c r="Y842" s="33" t="n"/>
      <c r="Z842" s="33" t="n"/>
      <c r="AA842" s="4">
        <f>R842-G842</f>
        <v/>
      </c>
      <c r="AB842" s="4">
        <f>G842-R842</f>
        <v/>
      </c>
      <c r="AC842" s="33" t="n"/>
    </row>
    <row r="843" ht="18.75" customHeight="1">
      <c r="A843" s="35">
        <f>SUBTOTAL(103,$B$24:B843)</f>
        <v/>
      </c>
      <c r="B843" s="36" t="inlineStr">
        <is>
          <t>Ел. холодильник "Чінар"</t>
        </is>
      </c>
      <c r="C843" s="37" t="inlineStr">
        <is>
          <t>к-т</t>
        </is>
      </c>
      <c r="D843" s="33" t="n"/>
      <c r="E843" s="33" t="n"/>
      <c r="F843" s="33">
        <f>E843*0.05</f>
        <v/>
      </c>
      <c r="G843" s="33">
        <f>E843+F843</f>
        <v/>
      </c>
      <c r="H843" s="33" t="n"/>
      <c r="I843" s="33" t="n"/>
      <c r="J843" s="33" t="n"/>
      <c r="K843" s="33">
        <f>L843+M843+N843</f>
        <v/>
      </c>
      <c r="L843" s="33" t="n"/>
      <c r="M843" s="33" t="n"/>
      <c r="N843" s="33" t="n"/>
      <c r="O843" s="33">
        <f>P843+Q843</f>
        <v/>
      </c>
      <c r="P843" s="33" t="n"/>
      <c r="Q843" s="33" t="n"/>
      <c r="R843" s="33">
        <f>H843+K843-O843</f>
        <v/>
      </c>
      <c r="S843" s="33" t="n"/>
      <c r="T843" s="33" t="n"/>
      <c r="U843" s="33" t="n"/>
      <c r="V843" s="33" t="n"/>
      <c r="W843" s="33" t="n"/>
      <c r="X843" s="33" t="n"/>
      <c r="Y843" s="33" t="n"/>
      <c r="Z843" s="33" t="n"/>
      <c r="AA843" s="4">
        <f>R843-G843</f>
        <v/>
      </c>
      <c r="AB843" s="4">
        <f>G843-R843</f>
        <v/>
      </c>
      <c r="AC843" s="33" t="n"/>
    </row>
    <row r="844" ht="18.75" customHeight="1">
      <c r="A844" s="35">
        <f>SUBTOTAL(103,$B$24:B844)</f>
        <v/>
      </c>
      <c r="B844" s="36" t="inlineStr">
        <is>
          <t>Ел. холодильник "ВІРПУЛ"</t>
        </is>
      </c>
      <c r="C844" s="37" t="inlineStr">
        <is>
          <t>к-т</t>
        </is>
      </c>
      <c r="D844" s="33" t="n"/>
      <c r="E844" s="33" t="n"/>
      <c r="F844" s="33">
        <f>E844*0.05</f>
        <v/>
      </c>
      <c r="G844" s="33">
        <f>E844+F844</f>
        <v/>
      </c>
      <c r="H844" s="33" t="n"/>
      <c r="I844" s="33" t="n"/>
      <c r="J844" s="33" t="n"/>
      <c r="K844" s="33">
        <f>L844+M844+N844</f>
        <v/>
      </c>
      <c r="L844" s="33" t="n"/>
      <c r="M844" s="33" t="n"/>
      <c r="N844" s="33" t="n"/>
      <c r="O844" s="33">
        <f>P844+Q844</f>
        <v/>
      </c>
      <c r="P844" s="33" t="n"/>
      <c r="Q844" s="33" t="n"/>
      <c r="R844" s="33">
        <f>H844+K844-O844</f>
        <v/>
      </c>
      <c r="S844" s="33" t="n"/>
      <c r="T844" s="33" t="n"/>
      <c r="U844" s="33" t="n"/>
      <c r="V844" s="33" t="n"/>
      <c r="W844" s="33" t="n"/>
      <c r="X844" s="33" t="n"/>
      <c r="Y844" s="33" t="n"/>
      <c r="Z844" s="33" t="n"/>
      <c r="AA844" s="4">
        <f>R844-G844</f>
        <v/>
      </c>
      <c r="AB844" s="4">
        <f>G844-R844</f>
        <v/>
      </c>
      <c r="AC844" s="33" t="n"/>
    </row>
    <row r="845" ht="18.75" customHeight="1">
      <c r="A845" s="35">
        <f>SUBTOTAL(103,$B$24:B845)</f>
        <v/>
      </c>
      <c r="B845" s="36" t="inlineStr">
        <is>
          <t>Ел. холодильник "Лібхер"</t>
        </is>
      </c>
      <c r="C845" s="37" t="inlineStr">
        <is>
          <t>к-т</t>
        </is>
      </c>
      <c r="D845" s="33" t="n"/>
      <c r="E845" s="33" t="n"/>
      <c r="F845" s="33">
        <f>E845*0.05</f>
        <v/>
      </c>
      <c r="G845" s="33">
        <f>E845+F845</f>
        <v/>
      </c>
      <c r="H845" s="33" t="n"/>
      <c r="I845" s="33" t="n"/>
      <c r="J845" s="33" t="n"/>
      <c r="K845" s="33">
        <f>L845+M845+N845</f>
        <v/>
      </c>
      <c r="L845" s="33" t="n"/>
      <c r="M845" s="33" t="n"/>
      <c r="N845" s="33" t="n"/>
      <c r="O845" s="33">
        <f>P845+Q845</f>
        <v/>
      </c>
      <c r="P845" s="33" t="n"/>
      <c r="Q845" s="33" t="n"/>
      <c r="R845" s="33">
        <f>H845+K845-O845</f>
        <v/>
      </c>
      <c r="S845" s="33" t="n"/>
      <c r="T845" s="33" t="n"/>
      <c r="U845" s="33" t="n"/>
      <c r="V845" s="33" t="n"/>
      <c r="W845" s="33" t="n"/>
      <c r="X845" s="33" t="n"/>
      <c r="Y845" s="33" t="n"/>
      <c r="Z845" s="33" t="n"/>
      <c r="AA845" s="4">
        <f>R845-G845</f>
        <v/>
      </c>
      <c r="AB845" s="4">
        <f>G845-R845</f>
        <v/>
      </c>
      <c r="AC845" s="33" t="n"/>
    </row>
    <row r="846" ht="18.75" customHeight="1">
      <c r="A846" s="35">
        <f>SUBTOTAL(103,$B$24:B846)</f>
        <v/>
      </c>
      <c r="B846" s="36" t="inlineStr">
        <is>
          <t>Ел. холодильник Liebher T1414</t>
        </is>
      </c>
      <c r="C846" s="37" t="inlineStr">
        <is>
          <t>к-т</t>
        </is>
      </c>
      <c r="D846" s="33" t="n"/>
      <c r="E846" s="33" t="n"/>
      <c r="F846" s="33">
        <f>E846*0.05</f>
        <v/>
      </c>
      <c r="G846" s="33">
        <f>E846+F846</f>
        <v/>
      </c>
      <c r="H846" s="33" t="n"/>
      <c r="I846" s="33" t="n"/>
      <c r="J846" s="33" t="n"/>
      <c r="K846" s="33">
        <f>L846+M846+N846</f>
        <v/>
      </c>
      <c r="L846" s="33" t="n"/>
      <c r="M846" s="33" t="n"/>
      <c r="N846" s="33" t="n"/>
      <c r="O846" s="33">
        <f>P846+Q846</f>
        <v/>
      </c>
      <c r="P846" s="33" t="n"/>
      <c r="Q846" s="33" t="n"/>
      <c r="R846" s="33">
        <f>H846+K846-O846</f>
        <v/>
      </c>
      <c r="S846" s="33" t="n"/>
      <c r="T846" s="33" t="n"/>
      <c r="U846" s="33" t="n"/>
      <c r="V846" s="33" t="n"/>
      <c r="W846" s="33" t="n"/>
      <c r="X846" s="33" t="n"/>
      <c r="Y846" s="33" t="n"/>
      <c r="Z846" s="33" t="n"/>
      <c r="AA846" s="4">
        <f>R846-G846</f>
        <v/>
      </c>
      <c r="AB846" s="4">
        <f>G846-R846</f>
        <v/>
      </c>
      <c r="AC846" s="33" t="n"/>
    </row>
    <row r="847" ht="18.75" customHeight="1">
      <c r="A847" s="35">
        <f>SUBTOTAL(103,$B$24:B847)</f>
        <v/>
      </c>
      <c r="B847" s="36" t="inlineStr">
        <is>
          <t>Ел. холодильник "Юрюзань"</t>
        </is>
      </c>
      <c r="C847" s="37" t="inlineStr">
        <is>
          <t>к-т</t>
        </is>
      </c>
      <c r="D847" s="33" t="n"/>
      <c r="E847" s="33" t="n"/>
      <c r="F847" s="33">
        <f>E847*0.05</f>
        <v/>
      </c>
      <c r="G847" s="33">
        <f>E847+F847</f>
        <v/>
      </c>
      <c r="H847" s="33" t="n"/>
      <c r="I847" s="33" t="n"/>
      <c r="J847" s="33" t="n"/>
      <c r="K847" s="33">
        <f>L847+M847+N847</f>
        <v/>
      </c>
      <c r="L847" s="33" t="n"/>
      <c r="M847" s="33" t="n"/>
      <c r="N847" s="33" t="n"/>
      <c r="O847" s="33">
        <f>P847+Q847</f>
        <v/>
      </c>
      <c r="P847" s="33" t="n"/>
      <c r="Q847" s="33" t="n"/>
      <c r="R847" s="33">
        <f>H847+K847-O847</f>
        <v/>
      </c>
      <c r="S847" s="33" t="n"/>
      <c r="T847" s="33" t="n"/>
      <c r="U847" s="33" t="n"/>
      <c r="V847" s="33" t="n"/>
      <c r="W847" s="33" t="n"/>
      <c r="X847" s="33" t="n"/>
      <c r="Y847" s="33" t="n"/>
      <c r="Z847" s="33" t="n"/>
      <c r="AA847" s="4">
        <f>R847-G847</f>
        <v/>
      </c>
      <c r="AB847" s="4">
        <f>G847-R847</f>
        <v/>
      </c>
      <c r="AC847" s="33" t="n"/>
    </row>
    <row r="848" ht="18.75" customHeight="1">
      <c r="A848" s="35">
        <f>SUBTOTAL(103,$B$24:B848)</f>
        <v/>
      </c>
      <c r="B848" s="36" t="inlineStr">
        <is>
          <t>Ел. холодильник "Памір"</t>
        </is>
      </c>
      <c r="C848" s="37" t="inlineStr">
        <is>
          <t>к-т</t>
        </is>
      </c>
      <c r="D848" s="33" t="n"/>
      <c r="E848" s="33" t="n"/>
      <c r="F848" s="33">
        <f>E848*0.05</f>
        <v/>
      </c>
      <c r="G848" s="33">
        <f>E848+F848</f>
        <v/>
      </c>
      <c r="H848" s="33" t="n"/>
      <c r="I848" s="33" t="n"/>
      <c r="J848" s="33" t="n"/>
      <c r="K848" s="33">
        <f>L848+M848+N848</f>
        <v/>
      </c>
      <c r="L848" s="33" t="n"/>
      <c r="M848" s="33" t="n"/>
      <c r="N848" s="33" t="n"/>
      <c r="O848" s="33">
        <f>P848+Q848</f>
        <v/>
      </c>
      <c r="P848" s="33" t="n"/>
      <c r="Q848" s="33" t="n"/>
      <c r="R848" s="33">
        <f>H848+K848-O848</f>
        <v/>
      </c>
      <c r="S848" s="33" t="n"/>
      <c r="T848" s="33" t="n"/>
      <c r="U848" s="33" t="n"/>
      <c r="V848" s="33" t="n"/>
      <c r="W848" s="33" t="n"/>
      <c r="X848" s="33" t="n"/>
      <c r="Y848" s="33" t="n"/>
      <c r="Z848" s="33" t="n"/>
      <c r="AA848" s="4">
        <f>R848-G848</f>
        <v/>
      </c>
      <c r="AB848" s="4">
        <f>G848-R848</f>
        <v/>
      </c>
      <c r="AC848" s="33" t="n"/>
    </row>
    <row r="849" ht="18.75" customHeight="1">
      <c r="A849" s="35">
        <f>SUBTOTAL(103,$B$24:B849)</f>
        <v/>
      </c>
      <c r="B849" s="36" t="inlineStr">
        <is>
          <t>Ел. холодильник "Смоленськ"</t>
        </is>
      </c>
      <c r="C849" s="37" t="inlineStr">
        <is>
          <t>к-т</t>
        </is>
      </c>
      <c r="D849" s="33" t="n"/>
      <c r="E849" s="33" t="n"/>
      <c r="F849" s="33">
        <f>E849*0.05</f>
        <v/>
      </c>
      <c r="G849" s="33">
        <f>E849+F849</f>
        <v/>
      </c>
      <c r="H849" s="33" t="n"/>
      <c r="I849" s="33" t="n"/>
      <c r="J849" s="33" t="n"/>
      <c r="K849" s="33">
        <f>L849+M849+N849</f>
        <v/>
      </c>
      <c r="L849" s="33" t="n"/>
      <c r="M849" s="33" t="n"/>
      <c r="N849" s="33" t="n"/>
      <c r="O849" s="33">
        <f>P849+Q849</f>
        <v/>
      </c>
      <c r="P849" s="33" t="n"/>
      <c r="Q849" s="33" t="n"/>
      <c r="R849" s="33">
        <f>H849+K849-O849</f>
        <v/>
      </c>
      <c r="S849" s="33" t="n"/>
      <c r="T849" s="33" t="n"/>
      <c r="U849" s="33" t="n"/>
      <c r="V849" s="33" t="n"/>
      <c r="W849" s="33" t="n"/>
      <c r="X849" s="33" t="n"/>
      <c r="Y849" s="33" t="n"/>
      <c r="Z849" s="33" t="n"/>
      <c r="AA849" s="4">
        <f>R849-G849</f>
        <v/>
      </c>
      <c r="AB849" s="4">
        <f>G849-R849</f>
        <v/>
      </c>
      <c r="AC849" s="33" t="n"/>
    </row>
    <row r="850" ht="37.5" customHeight="1">
      <c r="A850" s="35">
        <f>SUBTOTAL(103,$B$24:B850)</f>
        <v/>
      </c>
      <c r="B850" s="36" t="inlineStr">
        <is>
          <t>Ел. холодильник "ZANUSSI" 7 RB 36 ND</t>
        </is>
      </c>
      <c r="C850" s="37" t="inlineStr">
        <is>
          <t>к-т</t>
        </is>
      </c>
      <c r="D850" s="33" t="n"/>
      <c r="E850" s="33" t="n"/>
      <c r="F850" s="33">
        <f>E850*0.05</f>
        <v/>
      </c>
      <c r="G850" s="33">
        <f>E850+F850</f>
        <v/>
      </c>
      <c r="H850" s="33" t="n"/>
      <c r="I850" s="33" t="n"/>
      <c r="J850" s="33" t="n"/>
      <c r="K850" s="33">
        <f>L850+M850+N850</f>
        <v/>
      </c>
      <c r="L850" s="33" t="n"/>
      <c r="M850" s="33" t="n"/>
      <c r="N850" s="33" t="n"/>
      <c r="O850" s="33">
        <f>P850+Q850</f>
        <v/>
      </c>
      <c r="P850" s="33" t="n"/>
      <c r="Q850" s="33" t="n"/>
      <c r="R850" s="33">
        <f>H850+K850-O850</f>
        <v/>
      </c>
      <c r="S850" s="33" t="n"/>
      <c r="T850" s="33" t="n"/>
      <c r="U850" s="33" t="n"/>
      <c r="V850" s="33" t="n"/>
      <c r="W850" s="33" t="n"/>
      <c r="X850" s="33" t="n"/>
      <c r="Y850" s="33" t="n"/>
      <c r="Z850" s="33" t="n"/>
      <c r="AA850" s="4">
        <f>R850-G850</f>
        <v/>
      </c>
      <c r="AB850" s="4">
        <f>G850-R850</f>
        <v/>
      </c>
      <c r="AC850" s="33" t="n"/>
    </row>
    <row r="851" ht="18.75" customHeight="1">
      <c r="A851" s="35">
        <f>SUBTOTAL(103,$B$24:B851)</f>
        <v/>
      </c>
      <c r="B851" s="36" t="inlineStr">
        <is>
          <t>Ел. холодильник "ZANUSSI" ZRG1660</t>
        </is>
      </c>
      <c r="C851" s="37" t="inlineStr">
        <is>
          <t>к-т</t>
        </is>
      </c>
      <c r="D851" s="33" t="n"/>
      <c r="E851" s="33" t="n"/>
      <c r="F851" s="33">
        <f>E851*0.05</f>
        <v/>
      </c>
      <c r="G851" s="33">
        <f>E851+F851</f>
        <v/>
      </c>
      <c r="H851" s="33" t="n"/>
      <c r="I851" s="33" t="n"/>
      <c r="J851" s="33" t="n"/>
      <c r="K851" s="33">
        <f>L851+M851+N851</f>
        <v/>
      </c>
      <c r="L851" s="33" t="n"/>
      <c r="M851" s="33" t="n"/>
      <c r="N851" s="33" t="n"/>
      <c r="O851" s="33">
        <f>P851+Q851</f>
        <v/>
      </c>
      <c r="P851" s="33" t="n"/>
      <c r="Q851" s="33" t="n"/>
      <c r="R851" s="33">
        <f>H851+K851-O851</f>
        <v/>
      </c>
      <c r="S851" s="33" t="n"/>
      <c r="T851" s="33" t="n"/>
      <c r="U851" s="33" t="n"/>
      <c r="V851" s="33" t="n"/>
      <c r="W851" s="33" t="n"/>
      <c r="X851" s="33" t="n"/>
      <c r="Y851" s="33" t="n"/>
      <c r="Z851" s="33" t="n"/>
      <c r="AA851" s="4">
        <f>R851-G851</f>
        <v/>
      </c>
      <c r="AB851" s="4">
        <f>G851-R851</f>
        <v/>
      </c>
      <c r="AC851" s="33" t="n"/>
    </row>
    <row r="852" ht="18.75" customHeight="1">
      <c r="A852" s="35">
        <f>SUBTOTAL(103,$B$24:B852)</f>
        <v/>
      </c>
      <c r="B852" s="36" t="inlineStr">
        <is>
          <t>Ел. холодильник "ZANUSSI" ZRG1600</t>
        </is>
      </c>
      <c r="C852" s="37" t="inlineStr">
        <is>
          <t>к-т</t>
        </is>
      </c>
      <c r="D852" s="33" t="n"/>
      <c r="E852" s="33" t="n"/>
      <c r="F852" s="33">
        <f>E852*0.05</f>
        <v/>
      </c>
      <c r="G852" s="33">
        <f>E852+F852</f>
        <v/>
      </c>
      <c r="H852" s="33" t="n"/>
      <c r="I852" s="33" t="n"/>
      <c r="J852" s="33" t="n"/>
      <c r="K852" s="33">
        <f>L852+M852+N852</f>
        <v/>
      </c>
      <c r="L852" s="33" t="n"/>
      <c r="M852" s="33" t="n"/>
      <c r="N852" s="33" t="n"/>
      <c r="O852" s="33">
        <f>P852+Q852</f>
        <v/>
      </c>
      <c r="P852" s="33" t="n"/>
      <c r="Q852" s="33" t="n"/>
      <c r="R852" s="33">
        <f>H852+K852-O852</f>
        <v/>
      </c>
      <c r="S852" s="33" t="n"/>
      <c r="T852" s="33" t="n"/>
      <c r="U852" s="33" t="n"/>
      <c r="V852" s="33" t="n"/>
      <c r="W852" s="33" t="n"/>
      <c r="X852" s="33" t="n"/>
      <c r="Y852" s="33" t="n"/>
      <c r="Z852" s="33" t="n"/>
      <c r="AA852" s="4">
        <f>R852-G852</f>
        <v/>
      </c>
      <c r="AB852" s="4">
        <f>G852-R852</f>
        <v/>
      </c>
      <c r="AC852" s="33" t="n"/>
    </row>
    <row r="853" ht="18.75" customHeight="1">
      <c r="A853" s="35">
        <f>SUBTOTAL(103,$B$24:B853)</f>
        <v/>
      </c>
      <c r="B853" s="36" t="inlineStr">
        <is>
          <t>Ел. холодильник "ZANUSSI"</t>
        </is>
      </c>
      <c r="C853" s="37" t="inlineStr">
        <is>
          <t>к-т</t>
        </is>
      </c>
      <c r="D853" s="33" t="n"/>
      <c r="E853" s="33" t="n"/>
      <c r="F853" s="33">
        <f>E853*0.05</f>
        <v/>
      </c>
      <c r="G853" s="33">
        <f>E853+F853</f>
        <v/>
      </c>
      <c r="H853" s="33" t="n"/>
      <c r="I853" s="33" t="n"/>
      <c r="J853" s="33" t="n"/>
      <c r="K853" s="33">
        <f>L853+M853+N853</f>
        <v/>
      </c>
      <c r="L853" s="33" t="n"/>
      <c r="M853" s="33" t="n"/>
      <c r="N853" s="33" t="n"/>
      <c r="O853" s="33">
        <f>P853+Q853</f>
        <v/>
      </c>
      <c r="P853" s="33" t="n"/>
      <c r="Q853" s="33" t="n"/>
      <c r="R853" s="33">
        <f>H853+K853-O853</f>
        <v/>
      </c>
      <c r="S853" s="33" t="n"/>
      <c r="T853" s="33" t="n"/>
      <c r="U853" s="33" t="n"/>
      <c r="V853" s="33" t="n"/>
      <c r="W853" s="33" t="n"/>
      <c r="X853" s="33" t="n"/>
      <c r="Y853" s="33" t="n"/>
      <c r="Z853" s="33" t="n"/>
      <c r="AA853" s="4">
        <f>R853-G853</f>
        <v/>
      </c>
      <c r="AB853" s="4">
        <f>G853-R853</f>
        <v/>
      </c>
      <c r="AC853" s="33" t="n"/>
    </row>
    <row r="854" ht="18.75" customHeight="1">
      <c r="A854" s="35">
        <f>SUBTOTAL(103,$B$24:B854)</f>
        <v/>
      </c>
      <c r="B854" s="36" t="inlineStr">
        <is>
          <t>Ел. холодильник "Еквізіт"</t>
        </is>
      </c>
      <c r="C854" s="37" t="inlineStr">
        <is>
          <t>к-т</t>
        </is>
      </c>
      <c r="D854" s="33" t="n"/>
      <c r="E854" s="33" t="n"/>
      <c r="F854" s="33">
        <f>E854*0.05</f>
        <v/>
      </c>
      <c r="G854" s="33">
        <f>E854+F854</f>
        <v/>
      </c>
      <c r="H854" s="33" t="n"/>
      <c r="I854" s="33" t="n"/>
      <c r="J854" s="33" t="n"/>
      <c r="K854" s="33">
        <f>L854+M854+N854</f>
        <v/>
      </c>
      <c r="L854" s="33" t="n"/>
      <c r="M854" s="33" t="n"/>
      <c r="N854" s="33" t="n"/>
      <c r="O854" s="33">
        <f>P854+Q854</f>
        <v/>
      </c>
      <c r="P854" s="33" t="n"/>
      <c r="Q854" s="33" t="n"/>
      <c r="R854" s="33">
        <f>H854+K854-O854</f>
        <v/>
      </c>
      <c r="S854" s="33" t="n"/>
      <c r="T854" s="33" t="n"/>
      <c r="U854" s="33" t="n"/>
      <c r="V854" s="33" t="n"/>
      <c r="W854" s="33" t="n"/>
      <c r="X854" s="33" t="n"/>
      <c r="Y854" s="33" t="n"/>
      <c r="Z854" s="33" t="n"/>
      <c r="AA854" s="4">
        <f>R854-G854</f>
        <v/>
      </c>
      <c r="AB854" s="4">
        <f>G854-R854</f>
        <v/>
      </c>
      <c r="AC854" s="33" t="n"/>
    </row>
    <row r="855" ht="18.75" customHeight="1">
      <c r="A855" s="35">
        <f>SUBTOTAL(103,$B$24:B855)</f>
        <v/>
      </c>
      <c r="B855" s="36" t="inlineStr">
        <is>
          <t>Ел. холодильник "Bauknecht"</t>
        </is>
      </c>
      <c r="C855" s="37" t="inlineStr">
        <is>
          <t>к-т</t>
        </is>
      </c>
      <c r="D855" s="33" t="n"/>
      <c r="E855" s="33" t="n"/>
      <c r="F855" s="33">
        <f>E855*0.05</f>
        <v/>
      </c>
      <c r="G855" s="33">
        <f>E855+F855</f>
        <v/>
      </c>
      <c r="H855" s="33" t="n"/>
      <c r="I855" s="33" t="n"/>
      <c r="J855" s="33" t="n"/>
      <c r="K855" s="33">
        <f>L855+M855+N855</f>
        <v/>
      </c>
      <c r="L855" s="33" t="n"/>
      <c r="M855" s="33" t="n"/>
      <c r="N855" s="33" t="n"/>
      <c r="O855" s="33">
        <f>P855+Q855</f>
        <v/>
      </c>
      <c r="P855" s="33" t="n"/>
      <c r="Q855" s="33" t="n"/>
      <c r="R855" s="33">
        <f>H855+K855-O855</f>
        <v/>
      </c>
      <c r="S855" s="33" t="n"/>
      <c r="T855" s="33" t="n"/>
      <c r="U855" s="33" t="n"/>
      <c r="V855" s="33" t="n"/>
      <c r="W855" s="33" t="n"/>
      <c r="X855" s="33" t="n"/>
      <c r="Y855" s="33" t="n"/>
      <c r="Z855" s="33" t="n"/>
      <c r="AA855" s="4">
        <f>R855-G855</f>
        <v/>
      </c>
      <c r="AB855" s="4">
        <f>G855-R855</f>
        <v/>
      </c>
      <c r="AC855" s="33" t="n"/>
    </row>
    <row r="856" ht="18.75" customHeight="1">
      <c r="A856" s="35">
        <f>SUBTOTAL(103,$B$24:B856)</f>
        <v/>
      </c>
      <c r="B856" s="36" t="inlineStr">
        <is>
          <t>Ел. холодильник "BEKO"</t>
        </is>
      </c>
      <c r="C856" s="37" t="inlineStr">
        <is>
          <t>к-т</t>
        </is>
      </c>
      <c r="D856" s="33" t="n"/>
      <c r="E856" s="33" t="n"/>
      <c r="F856" s="33">
        <f>E856*0.05</f>
        <v/>
      </c>
      <c r="G856" s="33">
        <f>E856+F856</f>
        <v/>
      </c>
      <c r="H856" s="33" t="n"/>
      <c r="I856" s="33" t="n"/>
      <c r="J856" s="33" t="n"/>
      <c r="K856" s="33">
        <f>L856+M856+N856</f>
        <v/>
      </c>
      <c r="L856" s="33" t="n"/>
      <c r="M856" s="33" t="n"/>
      <c r="N856" s="33" t="n"/>
      <c r="O856" s="33">
        <f>P856+Q856</f>
        <v/>
      </c>
      <c r="P856" s="33" t="n"/>
      <c r="Q856" s="33" t="n"/>
      <c r="R856" s="33">
        <f>H856+K856-O856</f>
        <v/>
      </c>
      <c r="S856" s="33" t="n"/>
      <c r="T856" s="33" t="n"/>
      <c r="U856" s="33" t="n"/>
      <c r="V856" s="33" t="n"/>
      <c r="W856" s="33" t="n"/>
      <c r="X856" s="33" t="n"/>
      <c r="Y856" s="33" t="n"/>
      <c r="Z856" s="33" t="n"/>
      <c r="AA856" s="4">
        <f>R856-G856</f>
        <v/>
      </c>
      <c r="AB856" s="4">
        <f>G856-R856</f>
        <v/>
      </c>
      <c r="AC856" s="33" t="n"/>
    </row>
    <row r="857" ht="18.75" customHeight="1">
      <c r="A857" s="35">
        <f>SUBTOTAL(103,$B$24:B857)</f>
        <v/>
      </c>
      <c r="B857" s="36" t="inlineStr">
        <is>
          <t>Ел. холодильник "BOSCH"</t>
        </is>
      </c>
      <c r="C857" s="37" t="inlineStr">
        <is>
          <t>к-т</t>
        </is>
      </c>
      <c r="D857" s="33" t="n"/>
      <c r="E857" s="33" t="n"/>
      <c r="F857" s="33">
        <f>E857*0.05</f>
        <v/>
      </c>
      <c r="G857" s="33">
        <f>E857+F857</f>
        <v/>
      </c>
      <c r="H857" s="33" t="n"/>
      <c r="I857" s="33" t="n"/>
      <c r="J857" s="33" t="n"/>
      <c r="K857" s="33">
        <f>L857+M857+N857</f>
        <v/>
      </c>
      <c r="L857" s="33" t="n"/>
      <c r="M857" s="33" t="n"/>
      <c r="N857" s="33" t="n"/>
      <c r="O857" s="33">
        <f>P857+Q857</f>
        <v/>
      </c>
      <c r="P857" s="33" t="n"/>
      <c r="Q857" s="33" t="n"/>
      <c r="R857" s="33">
        <f>H857+K857-O857</f>
        <v/>
      </c>
      <c r="S857" s="33" t="n"/>
      <c r="T857" s="33" t="n"/>
      <c r="U857" s="33" t="n"/>
      <c r="V857" s="33" t="n"/>
      <c r="W857" s="33" t="n"/>
      <c r="X857" s="33" t="n"/>
      <c r="Y857" s="33" t="n"/>
      <c r="Z857" s="33" t="n"/>
      <c r="AA857" s="4">
        <f>R857-G857</f>
        <v/>
      </c>
      <c r="AB857" s="4">
        <f>G857-R857</f>
        <v/>
      </c>
      <c r="AC857" s="33" t="n"/>
    </row>
    <row r="858" ht="18.75" customHeight="1">
      <c r="A858" s="35">
        <f>SUBTOTAL(103,$B$24:B858)</f>
        <v/>
      </c>
      <c r="B858" s="42" t="inlineStr">
        <is>
          <t>Ел. холодильник "Delfa"</t>
        </is>
      </c>
      <c r="C858" s="37" t="inlineStr">
        <is>
          <t>к-т</t>
        </is>
      </c>
      <c r="D858" s="33" t="n"/>
      <c r="E858" s="33" t="n"/>
      <c r="F858" s="33">
        <f>E858*0.05</f>
        <v/>
      </c>
      <c r="G858" s="33">
        <f>E858+F858</f>
        <v/>
      </c>
      <c r="H858" s="33" t="n"/>
      <c r="I858" s="33" t="n"/>
      <c r="J858" s="33" t="n"/>
      <c r="K858" s="33">
        <f>L858+M858+N858</f>
        <v/>
      </c>
      <c r="L858" s="33" t="n"/>
      <c r="M858" s="33" t="n"/>
      <c r="N858" s="33" t="n"/>
      <c r="O858" s="33">
        <f>P858+Q858</f>
        <v/>
      </c>
      <c r="P858" s="33" t="n"/>
      <c r="Q858" s="33" t="n"/>
      <c r="R858" s="33">
        <f>H858+K858-O858</f>
        <v/>
      </c>
      <c r="S858" s="33" t="n"/>
      <c r="T858" s="33" t="n"/>
      <c r="U858" s="33" t="n"/>
      <c r="V858" s="33" t="n"/>
      <c r="W858" s="33" t="n"/>
      <c r="X858" s="33" t="n"/>
      <c r="Y858" s="33" t="n"/>
      <c r="Z858" s="33" t="n"/>
      <c r="AA858" s="4">
        <f>R858-G858</f>
        <v/>
      </c>
      <c r="AB858" s="4">
        <f>G858-R858</f>
        <v/>
      </c>
      <c r="AC858" s="33" t="n"/>
    </row>
    <row r="859" ht="18.75" customHeight="1">
      <c r="A859" s="35">
        <f>SUBTOTAL(103,$B$24:B859)</f>
        <v/>
      </c>
      <c r="B859" s="42" t="inlineStr">
        <is>
          <t>Ел. Холодильник "Delfa-ДКЕ130"</t>
        </is>
      </c>
      <c r="C859" s="37" t="inlineStr">
        <is>
          <t>к-т</t>
        </is>
      </c>
      <c r="D859" s="33" t="n"/>
      <c r="E859" s="33" t="n"/>
      <c r="F859" s="33">
        <f>E859*0.05</f>
        <v/>
      </c>
      <c r="G859" s="33">
        <f>E859+F859</f>
        <v/>
      </c>
      <c r="H859" s="33" t="n"/>
      <c r="I859" s="33" t="n"/>
      <c r="J859" s="33" t="n"/>
      <c r="K859" s="33">
        <f>L859+M859+N859</f>
        <v/>
      </c>
      <c r="L859" s="33" t="n"/>
      <c r="M859" s="33" t="n"/>
      <c r="N859" s="33" t="n"/>
      <c r="O859" s="33">
        <f>P859+Q859</f>
        <v/>
      </c>
      <c r="P859" s="33" t="n"/>
      <c r="Q859" s="33" t="n"/>
      <c r="R859" s="33">
        <f>H859+K859-O859</f>
        <v/>
      </c>
      <c r="S859" s="33" t="n"/>
      <c r="T859" s="33" t="n"/>
      <c r="U859" s="33" t="n"/>
      <c r="V859" s="33" t="n"/>
      <c r="W859" s="33" t="n"/>
      <c r="X859" s="33" t="n"/>
      <c r="Y859" s="33" t="n"/>
      <c r="Z859" s="33" t="n"/>
      <c r="AA859" s="4">
        <f>R859-G859</f>
        <v/>
      </c>
      <c r="AB859" s="4">
        <f>G859-R859</f>
        <v/>
      </c>
      <c r="AC859" s="33" t="n"/>
    </row>
    <row r="860" ht="18.75" customHeight="1">
      <c r="A860" s="35">
        <f>SUBTOTAL(103,$B$24:B860)</f>
        <v/>
      </c>
      <c r="B860" s="36" t="inlineStr">
        <is>
          <t>Ел. холодильник "Daewoo-FR-320"</t>
        </is>
      </c>
      <c r="C860" s="37" t="inlineStr">
        <is>
          <t>к-т</t>
        </is>
      </c>
      <c r="D860" s="33" t="n"/>
      <c r="E860" s="33" t="n"/>
      <c r="F860" s="33">
        <f>E860*0.05</f>
        <v/>
      </c>
      <c r="G860" s="33">
        <f>E860+F860</f>
        <v/>
      </c>
      <c r="H860" s="33" t="n"/>
      <c r="I860" s="33" t="n"/>
      <c r="J860" s="33" t="n"/>
      <c r="K860" s="33">
        <f>L860+M860+N860</f>
        <v/>
      </c>
      <c r="L860" s="33" t="n"/>
      <c r="M860" s="33" t="n"/>
      <c r="N860" s="33" t="n"/>
      <c r="O860" s="33">
        <f>P860+Q860</f>
        <v/>
      </c>
      <c r="P860" s="33" t="n"/>
      <c r="Q860" s="33" t="n"/>
      <c r="R860" s="33">
        <f>H860+K860-O860</f>
        <v/>
      </c>
      <c r="S860" s="33" t="n"/>
      <c r="T860" s="33" t="n"/>
      <c r="U860" s="33" t="n"/>
      <c r="V860" s="33" t="n"/>
      <c r="W860" s="33" t="n"/>
      <c r="X860" s="33" t="n"/>
      <c r="Y860" s="33" t="n"/>
      <c r="Z860" s="33" t="n"/>
      <c r="AA860" s="4">
        <f>R860-G860</f>
        <v/>
      </c>
      <c r="AB860" s="4">
        <f>G860-R860</f>
        <v/>
      </c>
      <c r="AC860" s="33" t="n"/>
    </row>
    <row r="861" ht="18.75" customHeight="1">
      <c r="A861" s="35">
        <f>SUBTOTAL(103,$B$24:B861)</f>
        <v/>
      </c>
      <c r="B861" s="36" t="inlineStr">
        <is>
          <t>Ел.холодильник Blaufish</t>
        </is>
      </c>
      <c r="C861" s="37" t="inlineStr">
        <is>
          <t>к-т</t>
        </is>
      </c>
      <c r="D861" s="33" t="n"/>
      <c r="E861" s="33" t="n"/>
      <c r="F861" s="33">
        <f>E861*0.05</f>
        <v/>
      </c>
      <c r="G861" s="33">
        <f>E861+F861</f>
        <v/>
      </c>
      <c r="H861" s="33" t="n"/>
      <c r="I861" s="33" t="n"/>
      <c r="J861" s="33" t="n"/>
      <c r="K861" s="33">
        <f>L861+M861+N861</f>
        <v/>
      </c>
      <c r="L861" s="33" t="n"/>
      <c r="M861" s="33" t="n"/>
      <c r="N861" s="33" t="n"/>
      <c r="O861" s="33">
        <f>P861+Q861</f>
        <v/>
      </c>
      <c r="P861" s="33" t="n"/>
      <c r="Q861" s="33" t="n"/>
      <c r="R861" s="33">
        <f>H861+K861-O861</f>
        <v/>
      </c>
      <c r="S861" s="33" t="n"/>
      <c r="T861" s="33" t="n"/>
      <c r="U861" s="33" t="n"/>
      <c r="V861" s="33" t="n"/>
      <c r="W861" s="33" t="n"/>
      <c r="X861" s="33" t="n"/>
      <c r="Y861" s="33" t="n"/>
      <c r="Z861" s="33" t="n"/>
      <c r="AA861" s="4">
        <f>R861-G861</f>
        <v/>
      </c>
      <c r="AB861" s="4">
        <f>G861-R861</f>
        <v/>
      </c>
      <c r="AC861" s="33" t="n"/>
    </row>
    <row r="862" ht="18.75" customHeight="1">
      <c r="A862" s="35">
        <f>SUBTOTAL(103,$B$24:B862)</f>
        <v/>
      </c>
      <c r="B862" s="36" t="inlineStr">
        <is>
          <t>Холодильник побутовий HOLMER</t>
        </is>
      </c>
      <c r="C862" s="37" t="inlineStr">
        <is>
          <t>к-т</t>
        </is>
      </c>
      <c r="D862" s="33" t="n"/>
      <c r="E862" s="33" t="n"/>
      <c r="F862" s="33">
        <f>E862*0.05</f>
        <v/>
      </c>
      <c r="G862" s="33">
        <f>E862+F862</f>
        <v/>
      </c>
      <c r="H862" s="33" t="n"/>
      <c r="I862" s="33" t="n"/>
      <c r="J862" s="33" t="n"/>
      <c r="K862" s="33">
        <f>L862+M862+N862</f>
        <v/>
      </c>
      <c r="L862" s="33" t="n"/>
      <c r="M862" s="33" t="n"/>
      <c r="N862" s="33" t="n"/>
      <c r="O862" s="33">
        <f>P862+Q862</f>
        <v/>
      </c>
      <c r="P862" s="33" t="n"/>
      <c r="Q862" s="33" t="n"/>
      <c r="R862" s="33">
        <f>H862+K862-O862</f>
        <v/>
      </c>
      <c r="S862" s="33" t="n"/>
      <c r="T862" s="33" t="n"/>
      <c r="U862" s="33" t="n"/>
      <c r="V862" s="33" t="n"/>
      <c r="W862" s="33" t="n"/>
      <c r="X862" s="33" t="n"/>
      <c r="Y862" s="33" t="n"/>
      <c r="Z862" s="33" t="n"/>
      <c r="AA862" s="4">
        <f>R862-G862</f>
        <v/>
      </c>
      <c r="AB862" s="4">
        <f>G862-R862</f>
        <v/>
      </c>
      <c r="AC862" s="33" t="n"/>
    </row>
    <row r="863" ht="18.75" customHeight="1">
      <c r="A863" s="35">
        <f>SUBTOTAL(103,$B$24:B863)</f>
        <v/>
      </c>
      <c r="B863" s="36" t="inlineStr">
        <is>
          <t>Холодильник побутовий HEINER</t>
        </is>
      </c>
      <c r="C863" s="37" t="inlineStr">
        <is>
          <t>к-т</t>
        </is>
      </c>
      <c r="D863" s="33" t="n"/>
      <c r="E863" s="33" t="n"/>
      <c r="F863" s="33">
        <f>E863*0.05</f>
        <v/>
      </c>
      <c r="G863" s="33">
        <f>E863+F863</f>
        <v/>
      </c>
      <c r="H863" s="33" t="n"/>
      <c r="I863" s="33" t="n"/>
      <c r="J863" s="33" t="n"/>
      <c r="K863" s="33">
        <f>L863+M863+N863</f>
        <v/>
      </c>
      <c r="L863" s="33" t="n"/>
      <c r="M863" s="33" t="n"/>
      <c r="N863" s="33" t="n"/>
      <c r="O863" s="33">
        <f>P863+Q863</f>
        <v/>
      </c>
      <c r="P863" s="33" t="n"/>
      <c r="Q863" s="33" t="n"/>
      <c r="R863" s="33">
        <f>H863+K863-O863</f>
        <v/>
      </c>
      <c r="S863" s="33" t="n"/>
      <c r="T863" s="33" t="n"/>
      <c r="U863" s="33" t="n"/>
      <c r="V863" s="33" t="n"/>
      <c r="W863" s="33" t="n"/>
      <c r="X863" s="33" t="n"/>
      <c r="Y863" s="33" t="n"/>
      <c r="Z863" s="33" t="n"/>
      <c r="AA863" s="4">
        <f>R863-G863</f>
        <v/>
      </c>
      <c r="AB863" s="4">
        <f>G863-R863</f>
        <v/>
      </c>
      <c r="AC863" s="33" t="n"/>
    </row>
    <row r="864" ht="18.75" customHeight="1">
      <c r="A864" s="35">
        <f>SUBTOTAL(103,$B$24:B864)</f>
        <v/>
      </c>
      <c r="B864" s="36" t="inlineStr">
        <is>
          <t>Холодильник побутовий LG</t>
        </is>
      </c>
      <c r="C864" s="37" t="inlineStr">
        <is>
          <t>к-т</t>
        </is>
      </c>
      <c r="D864" s="33" t="n"/>
      <c r="E864" s="33" t="n"/>
      <c r="F864" s="33">
        <f>E864*0.05</f>
        <v/>
      </c>
      <c r="G864" s="33">
        <f>E864+F864</f>
        <v/>
      </c>
      <c r="H864" s="33" t="n"/>
      <c r="I864" s="33" t="n"/>
      <c r="J864" s="33" t="n"/>
      <c r="K864" s="33">
        <f>L864+M864+N864</f>
        <v/>
      </c>
      <c r="L864" s="33" t="n"/>
      <c r="M864" s="33" t="n"/>
      <c r="N864" s="33" t="n"/>
      <c r="O864" s="33">
        <f>P864+Q864</f>
        <v/>
      </c>
      <c r="P864" s="33" t="n"/>
      <c r="Q864" s="33" t="n"/>
      <c r="R864" s="33">
        <f>H864+K864-O864</f>
        <v/>
      </c>
      <c r="S864" s="33" t="n"/>
      <c r="T864" s="33" t="n"/>
      <c r="U864" s="33" t="n"/>
      <c r="V864" s="33" t="n"/>
      <c r="W864" s="33" t="n"/>
      <c r="X864" s="33" t="n"/>
      <c r="Y864" s="33" t="n"/>
      <c r="Z864" s="33" t="n"/>
      <c r="AA864" s="4">
        <f>R864-G864</f>
        <v/>
      </c>
      <c r="AB864" s="4">
        <f>G864-R864</f>
        <v/>
      </c>
      <c r="AC864" s="33" t="n"/>
    </row>
    <row r="865" ht="18.75" customHeight="1">
      <c r="A865" s="35">
        <f>SUBTOTAL(103,$B$24:B865)</f>
        <v/>
      </c>
      <c r="B865" s="36" t="inlineStr">
        <is>
          <t>Холодильник побутовий Eniem</t>
        </is>
      </c>
      <c r="C865" s="37" t="inlineStr">
        <is>
          <t>к-т</t>
        </is>
      </c>
      <c r="D865" s="33" t="n"/>
      <c r="E865" s="33" t="n"/>
      <c r="F865" s="33">
        <f>E865*0.05</f>
        <v/>
      </c>
      <c r="G865" s="33">
        <f>E865+F865</f>
        <v/>
      </c>
      <c r="H865" s="33" t="n"/>
      <c r="I865" s="33" t="n"/>
      <c r="J865" s="33" t="n"/>
      <c r="K865" s="33">
        <f>L865+M865+N865</f>
        <v/>
      </c>
      <c r="L865" s="33" t="n"/>
      <c r="M865" s="33" t="n"/>
      <c r="N865" s="33" t="n"/>
      <c r="O865" s="33">
        <f>P865+Q865</f>
        <v/>
      </c>
      <c r="P865" s="33" t="n"/>
      <c r="Q865" s="33" t="n"/>
      <c r="R865" s="33">
        <f>H865+K865-O865</f>
        <v/>
      </c>
      <c r="S865" s="33" t="n"/>
      <c r="T865" s="33" t="n"/>
      <c r="U865" s="33" t="n"/>
      <c r="V865" s="33" t="n"/>
      <c r="W865" s="33" t="n"/>
      <c r="X865" s="33" t="n"/>
      <c r="Y865" s="33" t="n"/>
      <c r="Z865" s="33" t="n"/>
      <c r="AA865" s="4">
        <f>R865-G865</f>
        <v/>
      </c>
      <c r="AB865" s="4">
        <f>G865-R865</f>
        <v/>
      </c>
      <c r="AC865" s="33" t="n"/>
    </row>
    <row r="866" ht="18.75" customHeight="1">
      <c r="A866" s="35">
        <f>SUBTOTAL(103,$B$24:B866)</f>
        <v/>
      </c>
      <c r="B866" s="36" t="inlineStr">
        <is>
          <t>Холодильник побутовий Еlin Profi</t>
        </is>
      </c>
      <c r="C866" s="37" t="inlineStr">
        <is>
          <t>к-т</t>
        </is>
      </c>
      <c r="D866" s="33" t="n"/>
      <c r="E866" s="33" t="n"/>
      <c r="F866" s="33">
        <f>E866*0.05</f>
        <v/>
      </c>
      <c r="G866" s="33">
        <f>E866+F866</f>
        <v/>
      </c>
      <c r="H866" s="33" t="n"/>
      <c r="I866" s="33" t="n"/>
      <c r="J866" s="33" t="n"/>
      <c r="K866" s="33">
        <f>L866+M866+N866</f>
        <v/>
      </c>
      <c r="L866" s="33" t="n"/>
      <c r="M866" s="33" t="n"/>
      <c r="N866" s="33" t="n"/>
      <c r="O866" s="33">
        <f>P866+Q866</f>
        <v/>
      </c>
      <c r="P866" s="33" t="n"/>
      <c r="Q866" s="33" t="n"/>
      <c r="R866" s="33">
        <f>H866+K866-O866</f>
        <v/>
      </c>
      <c r="S866" s="33" t="n"/>
      <c r="T866" s="33" t="n"/>
      <c r="U866" s="33" t="n"/>
      <c r="V866" s="33" t="n"/>
      <c r="W866" s="33" t="n"/>
      <c r="X866" s="33" t="n"/>
      <c r="Y866" s="33" t="n"/>
      <c r="Z866" s="33" t="n"/>
      <c r="AA866" s="4">
        <f>R866-G866</f>
        <v/>
      </c>
      <c r="AB866" s="4">
        <f>G866-R866</f>
        <v/>
      </c>
      <c r="AC866" s="33" t="n"/>
    </row>
    <row r="867" ht="18.75" customHeight="1">
      <c r="A867" s="35">
        <f>SUBTOTAL(103,$B$24:B867)</f>
        <v/>
      </c>
      <c r="B867" s="36" t="inlineStr">
        <is>
          <t>Холодильник побутовий ICE STREAM</t>
        </is>
      </c>
      <c r="C867" s="37" t="inlineStr">
        <is>
          <t>к-т</t>
        </is>
      </c>
      <c r="D867" s="33" t="n"/>
      <c r="E867" s="33" t="n"/>
      <c r="F867" s="33">
        <f>E867*0.05</f>
        <v/>
      </c>
      <c r="G867" s="33">
        <f>E867+F867</f>
        <v/>
      </c>
      <c r="H867" s="33" t="n"/>
      <c r="I867" s="33" t="n"/>
      <c r="J867" s="33" t="n"/>
      <c r="K867" s="33">
        <f>L867+M867+N867</f>
        <v/>
      </c>
      <c r="L867" s="33" t="n"/>
      <c r="M867" s="33" t="n"/>
      <c r="N867" s="33" t="n"/>
      <c r="O867" s="33">
        <f>P867+Q867</f>
        <v/>
      </c>
      <c r="P867" s="33" t="n"/>
      <c r="Q867" s="33" t="n"/>
      <c r="R867" s="33">
        <f>H867+K867-O867</f>
        <v/>
      </c>
      <c r="S867" s="33" t="n"/>
      <c r="T867" s="33" t="n"/>
      <c r="U867" s="33" t="n"/>
      <c r="V867" s="33" t="n"/>
      <c r="W867" s="33" t="n"/>
      <c r="X867" s="33" t="n"/>
      <c r="Y867" s="33" t="n"/>
      <c r="Z867" s="33" t="n"/>
      <c r="AA867" s="4">
        <f>R867-G867</f>
        <v/>
      </c>
      <c r="AB867" s="4">
        <f>G867-R867</f>
        <v/>
      </c>
      <c r="AC867" s="33" t="n"/>
    </row>
    <row r="868" ht="18.75" customHeight="1">
      <c r="A868" s="35">
        <f>SUBTOTAL(103,$B$24:B868)</f>
        <v/>
      </c>
      <c r="B868" s="36" t="inlineStr">
        <is>
          <t>Холодильник побутовий PREMIER</t>
        </is>
      </c>
      <c r="C868" s="37" t="inlineStr">
        <is>
          <t>к-т</t>
        </is>
      </c>
      <c r="D868" s="33" t="n"/>
      <c r="E868" s="33" t="n"/>
      <c r="F868" s="33">
        <f>E868*0.05</f>
        <v/>
      </c>
      <c r="G868" s="33">
        <f>E868+F868</f>
        <v/>
      </c>
      <c r="H868" s="33" t="n"/>
      <c r="I868" s="33" t="n"/>
      <c r="J868" s="33" t="n"/>
      <c r="K868" s="33">
        <f>L868+M868+N868</f>
        <v/>
      </c>
      <c r="L868" s="33" t="n"/>
      <c r="M868" s="33" t="n"/>
      <c r="N868" s="33" t="n"/>
      <c r="O868" s="33">
        <f>P868+Q868</f>
        <v/>
      </c>
      <c r="P868" s="33" t="n"/>
      <c r="Q868" s="33" t="n"/>
      <c r="R868" s="33">
        <f>H868+K868-O868</f>
        <v/>
      </c>
      <c r="S868" s="33" t="n"/>
      <c r="T868" s="33" t="n"/>
      <c r="U868" s="33" t="n"/>
      <c r="V868" s="33" t="n"/>
      <c r="W868" s="33" t="n"/>
      <c r="X868" s="33" t="n"/>
      <c r="Y868" s="33" t="n"/>
      <c r="Z868" s="33" t="n"/>
      <c r="AA868" s="4">
        <f>R868-G868</f>
        <v/>
      </c>
      <c r="AB868" s="4">
        <f>G868-R868</f>
        <v/>
      </c>
      <c r="AC868" s="33" t="n"/>
    </row>
    <row r="869" ht="37.5" customHeight="1">
      <c r="A869" s="35">
        <f>SUBTOTAL(103,$B$24:B869)</f>
        <v/>
      </c>
      <c r="B869" s="36" t="inlineStr">
        <is>
          <t>Холодильник побутовий "Haier HTTF-406W"</t>
        </is>
      </c>
      <c r="C869" s="37" t="inlineStr">
        <is>
          <t>к-т</t>
        </is>
      </c>
      <c r="D869" s="33" t="n"/>
      <c r="E869" s="33" t="n"/>
      <c r="F869" s="33">
        <f>E869*0.05</f>
        <v/>
      </c>
      <c r="G869" s="33">
        <f>E869+F869</f>
        <v/>
      </c>
      <c r="H869" s="33" t="n"/>
      <c r="I869" s="33" t="n"/>
      <c r="J869" s="33" t="n"/>
      <c r="K869" s="33">
        <f>L869+M869+N869</f>
        <v/>
      </c>
      <c r="L869" s="33" t="n"/>
      <c r="M869" s="33" t="n"/>
      <c r="N869" s="33" t="n"/>
      <c r="O869" s="33">
        <f>P869+Q869</f>
        <v/>
      </c>
      <c r="P869" s="33" t="n"/>
      <c r="Q869" s="33" t="n"/>
      <c r="R869" s="33">
        <f>H869+K869-O869</f>
        <v/>
      </c>
      <c r="S869" s="33" t="n"/>
      <c r="T869" s="33" t="n"/>
      <c r="U869" s="33" t="n"/>
      <c r="V869" s="33" t="n"/>
      <c r="W869" s="33" t="n"/>
      <c r="X869" s="33" t="n"/>
      <c r="Y869" s="33" t="n"/>
      <c r="Z869" s="33" t="n"/>
      <c r="AA869" s="4">
        <f>R869-G869</f>
        <v/>
      </c>
      <c r="AB869" s="4">
        <f>G869-R869</f>
        <v/>
      </c>
      <c r="AC869" s="33" t="n"/>
    </row>
    <row r="870" ht="37.5" customHeight="1">
      <c r="A870" s="35">
        <f>SUBTOTAL(103,$B$24:B870)</f>
        <v/>
      </c>
      <c r="B870" s="36" t="inlineStr">
        <is>
          <t>Холодильник побутовий "Haier HRD-75"</t>
        </is>
      </c>
      <c r="C870" s="37" t="inlineStr">
        <is>
          <t>к-т</t>
        </is>
      </c>
      <c r="D870" s="33" t="n"/>
      <c r="E870" s="33" t="n"/>
      <c r="F870" s="33">
        <f>E870*0.05</f>
        <v/>
      </c>
      <c r="G870" s="33">
        <f>E870+F870</f>
        <v/>
      </c>
      <c r="H870" s="33" t="n"/>
      <c r="I870" s="33" t="n"/>
      <c r="J870" s="33" t="n"/>
      <c r="K870" s="33">
        <f>L870+M870+N870</f>
        <v/>
      </c>
      <c r="L870" s="33" t="n"/>
      <c r="M870" s="33" t="n"/>
      <c r="N870" s="33" t="n"/>
      <c r="O870" s="33">
        <f>P870+Q870</f>
        <v/>
      </c>
      <c r="P870" s="33" t="n"/>
      <c r="Q870" s="33" t="n"/>
      <c r="R870" s="33">
        <f>H870+K870-O870</f>
        <v/>
      </c>
      <c r="S870" s="33" t="n"/>
      <c r="T870" s="33" t="n"/>
      <c r="U870" s="33" t="n"/>
      <c r="V870" s="33" t="n"/>
      <c r="W870" s="33" t="n"/>
      <c r="X870" s="33" t="n"/>
      <c r="Y870" s="33" t="n"/>
      <c r="Z870" s="33" t="n"/>
      <c r="AA870" s="4">
        <f>R870-G870</f>
        <v/>
      </c>
      <c r="AB870" s="4">
        <f>G870-R870</f>
        <v/>
      </c>
      <c r="AC870" s="33" t="n"/>
    </row>
    <row r="871" ht="37.5" customHeight="1">
      <c r="A871" s="35">
        <f>SUBTOTAL(103,$B$24:B871)</f>
        <v/>
      </c>
      <c r="B871" s="36" t="inlineStr">
        <is>
          <t>Холодильник побутовий "Elektrolux ERF411"</t>
        </is>
      </c>
      <c r="C871" s="37" t="inlineStr">
        <is>
          <t>к-т</t>
        </is>
      </c>
      <c r="D871" s="33" t="n"/>
      <c r="E871" s="33" t="n"/>
      <c r="F871" s="33">
        <f>E871*0.05</f>
        <v/>
      </c>
      <c r="G871" s="33">
        <f>E871+F871</f>
        <v/>
      </c>
      <c r="H871" s="33" t="n"/>
      <c r="I871" s="33" t="n"/>
      <c r="J871" s="33" t="n"/>
      <c r="K871" s="33">
        <f>L871+M871+N871</f>
        <v/>
      </c>
      <c r="L871" s="33" t="n"/>
      <c r="M871" s="33" t="n"/>
      <c r="N871" s="33" t="n"/>
      <c r="O871" s="33">
        <f>P871+Q871</f>
        <v/>
      </c>
      <c r="P871" s="33" t="n"/>
      <c r="Q871" s="33" t="n"/>
      <c r="R871" s="33">
        <f>H871+K871-O871</f>
        <v/>
      </c>
      <c r="S871" s="33" t="n"/>
      <c r="T871" s="33" t="n"/>
      <c r="U871" s="33" t="n"/>
      <c r="V871" s="33" t="n"/>
      <c r="W871" s="33" t="n"/>
      <c r="X871" s="33" t="n"/>
      <c r="Y871" s="33" t="n"/>
      <c r="Z871" s="33" t="n"/>
      <c r="AA871" s="4">
        <f>R871-G871</f>
        <v/>
      </c>
      <c r="AB871" s="4">
        <f>G871-R871</f>
        <v/>
      </c>
      <c r="AC871" s="33" t="n"/>
    </row>
    <row r="872" ht="18.75" customHeight="1">
      <c r="A872" s="35">
        <f>SUBTOTAL(103,$B$24:B872)</f>
        <v/>
      </c>
      <c r="B872" s="36" t="inlineStr">
        <is>
          <t xml:space="preserve">Ел. холодильник "Сатурн" 260-320 л. </t>
        </is>
      </c>
      <c r="C872" s="37" t="inlineStr">
        <is>
          <t>к-т</t>
        </is>
      </c>
      <c r="D872" s="33" t="n"/>
      <c r="E872" s="33" t="n"/>
      <c r="F872" s="33">
        <f>E872*0.05</f>
        <v/>
      </c>
      <c r="G872" s="33">
        <f>E872+F872</f>
        <v/>
      </c>
      <c r="H872" s="33" t="n"/>
      <c r="I872" s="33" t="n"/>
      <c r="J872" s="33" t="n"/>
      <c r="K872" s="33">
        <f>L872+M872+N872</f>
        <v/>
      </c>
      <c r="L872" s="33" t="n"/>
      <c r="M872" s="33" t="n"/>
      <c r="N872" s="33" t="n"/>
      <c r="O872" s="33">
        <f>P872+Q872</f>
        <v/>
      </c>
      <c r="P872" s="33" t="n"/>
      <c r="Q872" s="33" t="n"/>
      <c r="R872" s="33">
        <f>H872+K872-O872</f>
        <v/>
      </c>
      <c r="S872" s="33" t="n"/>
      <c r="T872" s="33" t="n"/>
      <c r="U872" s="33" t="n"/>
      <c r="V872" s="33" t="n"/>
      <c r="W872" s="33" t="n"/>
      <c r="X872" s="33" t="n"/>
      <c r="Y872" s="33" t="n"/>
      <c r="Z872" s="33" t="n"/>
      <c r="AA872" s="4">
        <f>R872-G872</f>
        <v/>
      </c>
      <c r="AB872" s="4">
        <f>G872-R872</f>
        <v/>
      </c>
      <c r="AC872" s="33" t="n"/>
    </row>
    <row r="873" ht="37.5" customHeight="1">
      <c r="A873" s="35">
        <f>SUBTOTAL(103,$B$24:B873)</f>
        <v/>
      </c>
      <c r="B873" s="36" t="inlineStr">
        <is>
          <t>Холодильник побутовий SATURN-ST-CF2702 (143 л.)</t>
        </is>
      </c>
      <c r="C873" s="37" t="inlineStr">
        <is>
          <t>к-т</t>
        </is>
      </c>
      <c r="D873" s="33" t="n"/>
      <c r="E873" s="33" t="n"/>
      <c r="F873" s="33">
        <f>E873*0.05</f>
        <v/>
      </c>
      <c r="G873" s="33">
        <f>E873+F873</f>
        <v/>
      </c>
      <c r="H873" s="33" t="n"/>
      <c r="I873" s="33" t="n"/>
      <c r="J873" s="33" t="n"/>
      <c r="K873" s="33">
        <f>L873+M873+N873</f>
        <v/>
      </c>
      <c r="L873" s="33" t="n"/>
      <c r="M873" s="33" t="n"/>
      <c r="N873" s="33" t="n"/>
      <c r="O873" s="33">
        <f>P873+Q873</f>
        <v/>
      </c>
      <c r="P873" s="33" t="n"/>
      <c r="Q873" s="33" t="n"/>
      <c r="R873" s="33">
        <f>H873+K873-O873</f>
        <v/>
      </c>
      <c r="S873" s="33" t="n"/>
      <c r="T873" s="33" t="n"/>
      <c r="U873" s="33" t="n"/>
      <c r="V873" s="33" t="n"/>
      <c r="W873" s="33" t="n"/>
      <c r="X873" s="33" t="n"/>
      <c r="Y873" s="33" t="n"/>
      <c r="Z873" s="33" t="n"/>
      <c r="AA873" s="4">
        <f>R873-G873</f>
        <v/>
      </c>
      <c r="AB873" s="4">
        <f>G873-R873</f>
        <v/>
      </c>
      <c r="AC873" s="33" t="n"/>
    </row>
    <row r="874" ht="18.75" customHeight="1">
      <c r="A874" s="35">
        <f>SUBTOTAL(103,$B$24:B874)</f>
        <v/>
      </c>
      <c r="B874" s="36" t="inlineStr">
        <is>
          <t xml:space="preserve">Холодильник побутовий PRIME </t>
        </is>
      </c>
      <c r="C874" s="37" t="inlineStr">
        <is>
          <t>к-т</t>
        </is>
      </c>
      <c r="D874" s="33" t="n"/>
      <c r="E874" s="33" t="n"/>
      <c r="F874" s="33">
        <f>E874*0.05</f>
        <v/>
      </c>
      <c r="G874" s="33">
        <f>E874+F874</f>
        <v/>
      </c>
      <c r="H874" s="33" t="n"/>
      <c r="I874" s="33" t="n"/>
      <c r="J874" s="33" t="n"/>
      <c r="K874" s="33">
        <f>L874+M874+N874</f>
        <v/>
      </c>
      <c r="L874" s="33" t="n"/>
      <c r="M874" s="33" t="n"/>
      <c r="N874" s="33" t="n"/>
      <c r="O874" s="33">
        <f>P874+Q874</f>
        <v/>
      </c>
      <c r="P874" s="33" t="n"/>
      <c r="Q874" s="33" t="n"/>
      <c r="R874" s="33">
        <f>H874+K874-O874</f>
        <v/>
      </c>
      <c r="S874" s="33" t="n"/>
      <c r="T874" s="33" t="n"/>
      <c r="U874" s="33" t="n"/>
      <c r="V874" s="33" t="n"/>
      <c r="W874" s="33" t="n"/>
      <c r="X874" s="33" t="n"/>
      <c r="Y874" s="33" t="n"/>
      <c r="Z874" s="33" t="n"/>
      <c r="AA874" s="4">
        <f>R874-G874</f>
        <v/>
      </c>
      <c r="AB874" s="4">
        <f>G874-R874</f>
        <v/>
      </c>
      <c r="AC874" s="33" t="n"/>
    </row>
    <row r="875" ht="37.5" customHeight="1">
      <c r="A875" s="35">
        <f>SUBTOTAL(103,$B$24:B875)</f>
        <v/>
      </c>
      <c r="B875" s="36" t="inlineStr">
        <is>
          <t>Холодильник побутовий Whirpool W7X820OX</t>
        </is>
      </c>
      <c r="C875" s="37" t="inlineStr">
        <is>
          <t>к-т</t>
        </is>
      </c>
      <c r="D875" s="33" t="n"/>
      <c r="E875" s="33" t="n"/>
      <c r="F875" s="33">
        <f>E875*0.05</f>
        <v/>
      </c>
      <c r="G875" s="33">
        <f>E875+F875</f>
        <v/>
      </c>
      <c r="H875" s="33" t="n"/>
      <c r="I875" s="33" t="n"/>
      <c r="J875" s="33" t="n"/>
      <c r="K875" s="33">
        <f>L875+M875+N875</f>
        <v/>
      </c>
      <c r="L875" s="33" t="n"/>
      <c r="M875" s="33" t="n"/>
      <c r="N875" s="33" t="n"/>
      <c r="O875" s="33">
        <f>P875+Q875</f>
        <v/>
      </c>
      <c r="P875" s="33" t="n"/>
      <c r="Q875" s="33" t="n"/>
      <c r="R875" s="33">
        <f>H875+K875-O875</f>
        <v/>
      </c>
      <c r="S875" s="33" t="n"/>
      <c r="T875" s="33" t="n"/>
      <c r="U875" s="33" t="n"/>
      <c r="V875" s="33" t="n"/>
      <c r="W875" s="33" t="n"/>
      <c r="X875" s="33" t="n"/>
      <c r="Y875" s="33" t="n"/>
      <c r="Z875" s="33" t="n"/>
      <c r="AA875" s="4">
        <f>R875-G875</f>
        <v/>
      </c>
      <c r="AB875" s="4">
        <f>G875-R875</f>
        <v/>
      </c>
      <c r="AC875" s="33" t="n"/>
    </row>
    <row r="876" ht="18.75" customHeight="1">
      <c r="A876" s="35">
        <f>SUBTOTAL(103,$B$24:B876)</f>
        <v/>
      </c>
      <c r="B876" s="36" t="inlineStr">
        <is>
          <t>Холодильник побутовий Arctic ARX143</t>
        </is>
      </c>
      <c r="C876" s="37" t="inlineStr">
        <is>
          <t>к-т</t>
        </is>
      </c>
      <c r="D876" s="33" t="n"/>
      <c r="E876" s="33" t="n"/>
      <c r="F876" s="33">
        <f>E876*0.05</f>
        <v/>
      </c>
      <c r="G876" s="33">
        <f>E876+F876</f>
        <v/>
      </c>
      <c r="H876" s="33" t="n"/>
      <c r="I876" s="33" t="n"/>
      <c r="J876" s="33" t="n"/>
      <c r="K876" s="33">
        <f>L876+M876+N876</f>
        <v/>
      </c>
      <c r="L876" s="33" t="n"/>
      <c r="M876" s="33" t="n"/>
      <c r="N876" s="33" t="n"/>
      <c r="O876" s="33">
        <f>P876+Q876</f>
        <v/>
      </c>
      <c r="P876" s="33" t="n"/>
      <c r="Q876" s="33" t="n"/>
      <c r="R876" s="33">
        <f>H876+K876-O876</f>
        <v/>
      </c>
      <c r="S876" s="33" t="n"/>
      <c r="T876" s="33" t="n"/>
      <c r="U876" s="33" t="n"/>
      <c r="V876" s="33" t="n"/>
      <c r="W876" s="33" t="n"/>
      <c r="X876" s="33" t="n"/>
      <c r="Y876" s="33" t="n"/>
      <c r="Z876" s="33" t="n"/>
      <c r="AA876" s="4">
        <f>R876-G876</f>
        <v/>
      </c>
      <c r="AB876" s="4">
        <f>G876-R876</f>
        <v/>
      </c>
      <c r="AC876" s="33" t="n"/>
    </row>
    <row r="877" ht="18.75" customHeight="1">
      <c r="A877" s="35">
        <f>SUBTOTAL(103,$B$24:B877)</f>
        <v/>
      </c>
      <c r="B877" s="36" t="inlineStr">
        <is>
          <t>Холодильник побутовий Vestar</t>
        </is>
      </c>
      <c r="C877" s="37" t="inlineStr">
        <is>
          <t>к-т</t>
        </is>
      </c>
      <c r="D877" s="33" t="n"/>
      <c r="E877" s="33" t="n"/>
      <c r="F877" s="33">
        <f>E877*0.05</f>
        <v/>
      </c>
      <c r="G877" s="33">
        <f>E877+F877</f>
        <v/>
      </c>
      <c r="H877" s="33" t="n"/>
      <c r="I877" s="33" t="n"/>
      <c r="J877" s="33" t="n"/>
      <c r="K877" s="33">
        <f>L877+M877+N877</f>
        <v/>
      </c>
      <c r="L877" s="33" t="n"/>
      <c r="M877" s="33" t="n"/>
      <c r="N877" s="33" t="n"/>
      <c r="O877" s="33">
        <f>P877+Q877</f>
        <v/>
      </c>
      <c r="P877" s="33" t="n"/>
      <c r="Q877" s="33" t="n"/>
      <c r="R877" s="33">
        <f>H877+K877-O877</f>
        <v/>
      </c>
      <c r="S877" s="33" t="n"/>
      <c r="T877" s="33" t="n"/>
      <c r="U877" s="33" t="n"/>
      <c r="V877" s="33" t="n"/>
      <c r="W877" s="33" t="n"/>
      <c r="X877" s="33" t="n"/>
      <c r="Y877" s="33" t="n"/>
      <c r="Z877" s="33" t="n"/>
      <c r="AA877" s="4">
        <f>R877-G877</f>
        <v/>
      </c>
      <c r="AB877" s="4">
        <f>G877-R877</f>
        <v/>
      </c>
      <c r="AC877" s="33" t="n"/>
    </row>
    <row r="878" ht="37.5" customHeight="1">
      <c r="A878" s="35">
        <f>SUBTOTAL(103,$B$24:B878)</f>
        <v/>
      </c>
      <c r="B878" s="36" t="inlineStr">
        <is>
          <t>Холодильник побутовий обємом 200-299 л. (Ardesto DFT-212)</t>
        </is>
      </c>
      <c r="C878" s="37" t="inlineStr">
        <is>
          <t>к-т</t>
        </is>
      </c>
      <c r="D878" s="33" t="n"/>
      <c r="E878" s="33" t="n"/>
      <c r="F878" s="33">
        <f>E878*0.05</f>
        <v/>
      </c>
      <c r="G878" s="33">
        <f>E878+F878</f>
        <v/>
      </c>
      <c r="H878" s="33" t="n"/>
      <c r="I878" s="33" t="n"/>
      <c r="J878" s="33" t="n"/>
      <c r="K878" s="33">
        <f>L878+M878+N878</f>
        <v/>
      </c>
      <c r="L878" s="33" t="n"/>
      <c r="M878" s="33" t="n"/>
      <c r="N878" s="33" t="n"/>
      <c r="O878" s="33">
        <f>P878+Q878</f>
        <v/>
      </c>
      <c r="P878" s="33" t="n"/>
      <c r="Q878" s="33" t="n"/>
      <c r="R878" s="33">
        <f>H878+K878-O878</f>
        <v/>
      </c>
      <c r="S878" s="33" t="n"/>
      <c r="T878" s="33" t="n"/>
      <c r="U878" s="33" t="n"/>
      <c r="V878" s="33" t="n"/>
      <c r="W878" s="33" t="n"/>
      <c r="X878" s="33" t="n"/>
      <c r="Y878" s="33" t="n"/>
      <c r="Z878" s="33" t="n"/>
      <c r="AA878" s="4">
        <f>R878-G878</f>
        <v/>
      </c>
      <c r="AB878" s="4">
        <f>G878-R878</f>
        <v/>
      </c>
      <c r="AC878" s="33" t="n"/>
    </row>
    <row r="879" ht="37.5" customHeight="1">
      <c r="A879" s="35">
        <f>SUBTOTAL(103,$B$24:B879)</f>
        <v/>
      </c>
      <c r="B879" s="36" t="inlineStr">
        <is>
          <t>Холодильник побутовий Ardesto DFM-90X</t>
        </is>
      </c>
      <c r="C879" s="37" t="inlineStr">
        <is>
          <t>к-т</t>
        </is>
      </c>
      <c r="D879" s="33" t="n"/>
      <c r="E879" s="33" t="n"/>
      <c r="F879" s="33">
        <f>E879*0.05</f>
        <v/>
      </c>
      <c r="G879" s="33">
        <f>E879+F879</f>
        <v/>
      </c>
      <c r="H879" s="33" t="n"/>
      <c r="I879" s="33" t="n"/>
      <c r="J879" s="33" t="n"/>
      <c r="K879" s="33">
        <f>L879+M879+N879</f>
        <v/>
      </c>
      <c r="L879" s="33" t="n"/>
      <c r="M879" s="33" t="n"/>
      <c r="N879" s="33" t="n"/>
      <c r="O879" s="33">
        <f>P879+Q879</f>
        <v/>
      </c>
      <c r="P879" s="33" t="n"/>
      <c r="Q879" s="33" t="n"/>
      <c r="R879" s="33">
        <f>H879+K879-O879</f>
        <v/>
      </c>
      <c r="S879" s="33" t="n"/>
      <c r="T879" s="33" t="n"/>
      <c r="U879" s="33" t="n"/>
      <c r="V879" s="33" t="n"/>
      <c r="W879" s="33" t="n"/>
      <c r="X879" s="33" t="n"/>
      <c r="Y879" s="33" t="n"/>
      <c r="Z879" s="33" t="n"/>
      <c r="AA879" s="4">
        <f>R879-G879</f>
        <v/>
      </c>
      <c r="AB879" s="4">
        <f>G879-R879</f>
        <v/>
      </c>
      <c r="AC879" s="33" t="n"/>
    </row>
    <row r="880" ht="37.5" customHeight="1">
      <c r="A880" s="35">
        <f>SUBTOTAL(103,$B$24:B880)</f>
        <v/>
      </c>
      <c r="B880" s="36" t="inlineStr">
        <is>
          <t>Холодильник побутовий Midea MDRT294FGF01</t>
        </is>
      </c>
      <c r="C880" s="37" t="inlineStr">
        <is>
          <t>к-т</t>
        </is>
      </c>
      <c r="D880" s="33" t="n"/>
      <c r="E880" s="33" t="n"/>
      <c r="F880" s="33">
        <f>E880*0.05</f>
        <v/>
      </c>
      <c r="G880" s="33">
        <f>E880+F880</f>
        <v/>
      </c>
      <c r="H880" s="33" t="n"/>
      <c r="I880" s="33" t="n"/>
      <c r="J880" s="33" t="n"/>
      <c r="K880" s="33">
        <f>L880+M880+N880</f>
        <v/>
      </c>
      <c r="L880" s="33" t="n"/>
      <c r="M880" s="33" t="n"/>
      <c r="N880" s="33" t="n"/>
      <c r="O880" s="33">
        <f>P880+Q880</f>
        <v/>
      </c>
      <c r="P880" s="33" t="n"/>
      <c r="Q880" s="33" t="n"/>
      <c r="R880" s="33">
        <f>H880+K880-O880</f>
        <v/>
      </c>
      <c r="S880" s="33" t="n"/>
      <c r="T880" s="33" t="n"/>
      <c r="U880" s="33" t="n"/>
      <c r="V880" s="33" t="n"/>
      <c r="W880" s="33" t="n"/>
      <c r="X880" s="33" t="n"/>
      <c r="Y880" s="33" t="n"/>
      <c r="Z880" s="33" t="n"/>
      <c r="AA880" s="4">
        <f>R880-G880</f>
        <v/>
      </c>
      <c r="AB880" s="4">
        <f>G880-R880</f>
        <v/>
      </c>
      <c r="AC880" s="33" t="n"/>
    </row>
    <row r="881" ht="37.5" customHeight="1">
      <c r="A881" s="35">
        <f>SUBTOTAL(103,$B$24:B881)</f>
        <v/>
      </c>
      <c r="B881" s="36" t="inlineStr">
        <is>
          <t>Холодильник побутовий обємом 200-299 л. (Elenberg TMF-221-G)</t>
        </is>
      </c>
      <c r="C881" s="37" t="inlineStr">
        <is>
          <t>к-т</t>
        </is>
      </c>
      <c r="D881" s="33" t="n"/>
      <c r="E881" s="33" t="n"/>
      <c r="F881" s="33">
        <f>E881*0.05</f>
        <v/>
      </c>
      <c r="G881" s="33">
        <f>E881+F881</f>
        <v/>
      </c>
      <c r="H881" s="33" t="n"/>
      <c r="I881" s="33" t="n"/>
      <c r="J881" s="33" t="n"/>
      <c r="K881" s="33">
        <f>L881+M881+N881</f>
        <v/>
      </c>
      <c r="L881" s="33" t="n"/>
      <c r="M881" s="33" t="n"/>
      <c r="N881" s="33" t="n"/>
      <c r="O881" s="33">
        <f>P881+Q881</f>
        <v/>
      </c>
      <c r="P881" s="33" t="n"/>
      <c r="Q881" s="33" t="n"/>
      <c r="R881" s="33">
        <f>H881+K881-O881</f>
        <v/>
      </c>
      <c r="S881" s="33" t="n"/>
      <c r="T881" s="33" t="n"/>
      <c r="U881" s="33" t="n"/>
      <c r="V881" s="33" t="n"/>
      <c r="W881" s="33" t="n"/>
      <c r="X881" s="33" t="n"/>
      <c r="Y881" s="33" t="n"/>
      <c r="Z881" s="33" t="n"/>
      <c r="AA881" s="4">
        <f>R881-G881</f>
        <v/>
      </c>
      <c r="AB881" s="4">
        <f>G881-R881</f>
        <v/>
      </c>
      <c r="AC881" s="33" t="n"/>
    </row>
    <row r="882" ht="37.5" customHeight="1">
      <c r="A882" s="35">
        <f>SUBTOTAL(103,$B$24:B882)</f>
        <v/>
      </c>
      <c r="B882" s="36" t="inlineStr">
        <is>
          <t>Холодильник побутовий ELENBERG MRF-145</t>
        </is>
      </c>
      <c r="C882" s="37" t="inlineStr">
        <is>
          <t>к-т</t>
        </is>
      </c>
      <c r="D882" s="33" t="n"/>
      <c r="E882" s="33" t="n"/>
      <c r="F882" s="33">
        <f>E882*0.05</f>
        <v/>
      </c>
      <c r="G882" s="33">
        <f>E882+F882</f>
        <v/>
      </c>
      <c r="H882" s="33" t="n"/>
      <c r="I882" s="33" t="n"/>
      <c r="J882" s="33" t="n"/>
      <c r="K882" s="33">
        <f>L882+M882+N882</f>
        <v/>
      </c>
      <c r="L882" s="33" t="n"/>
      <c r="M882" s="33" t="n"/>
      <c r="N882" s="33" t="n"/>
      <c r="O882" s="33">
        <f>P882+Q882</f>
        <v/>
      </c>
      <c r="P882" s="33" t="n"/>
      <c r="Q882" s="33" t="n"/>
      <c r="R882" s="33">
        <f>H882+K882-O882</f>
        <v/>
      </c>
      <c r="S882" s="33" t="n"/>
      <c r="T882" s="33" t="n"/>
      <c r="U882" s="33" t="n"/>
      <c r="V882" s="33" t="n"/>
      <c r="W882" s="33" t="n"/>
      <c r="X882" s="33" t="n"/>
      <c r="Y882" s="33" t="n"/>
      <c r="Z882" s="33" t="n"/>
      <c r="AA882" s="4">
        <f>R882-G882</f>
        <v/>
      </c>
      <c r="AB882" s="4">
        <f>G882-R882</f>
        <v/>
      </c>
      <c r="AC882" s="33" t="n"/>
    </row>
    <row r="883" ht="18.75" customHeight="1">
      <c r="A883" s="35">
        <f>SUBTOTAL(103,$B$24:B883)</f>
        <v/>
      </c>
      <c r="B883" s="40" t="inlineStr">
        <is>
          <t>Холодильник побутовий обємом 200-299 л. (Nord B 180 NF)</t>
        </is>
      </c>
      <c r="C883" s="37" t="inlineStr">
        <is>
          <t>к-т</t>
        </is>
      </c>
      <c r="D883" s="33" t="n"/>
      <c r="E883" s="33" t="n"/>
      <c r="F883" s="33">
        <f>E883*0.05</f>
        <v/>
      </c>
      <c r="G883" s="33">
        <f>E883+F883</f>
        <v/>
      </c>
      <c r="H883" s="33" t="n"/>
      <c r="I883" s="33" t="n"/>
      <c r="J883" s="33" t="n"/>
      <c r="K883" s="33">
        <f>L883+M883+N883</f>
        <v/>
      </c>
      <c r="L883" s="33" t="n"/>
      <c r="M883" s="33" t="n"/>
      <c r="N883" s="33" t="n"/>
      <c r="O883" s="33">
        <f>P883+Q883</f>
        <v/>
      </c>
      <c r="P883" s="33" t="n"/>
      <c r="Q883" s="33" t="n"/>
      <c r="R883" s="33">
        <f>H883+K883-O883</f>
        <v/>
      </c>
      <c r="S883" s="33" t="n"/>
      <c r="T883" s="33" t="n"/>
      <c r="U883" s="33" t="n"/>
      <c r="V883" s="33" t="n"/>
      <c r="W883" s="33" t="n"/>
      <c r="X883" s="33" t="n"/>
      <c r="Y883" s="33" t="n"/>
      <c r="Z883" s="33" t="n"/>
      <c r="AA883" s="4">
        <f>R883-G883</f>
        <v/>
      </c>
      <c r="AB883" s="4">
        <f>G883-R883</f>
        <v/>
      </c>
      <c r="AC883" s="33" t="n"/>
    </row>
    <row r="884" ht="37.5" customHeight="1">
      <c r="A884" s="35">
        <f>SUBTOTAL(103,$B$24:B884)</f>
        <v/>
      </c>
      <c r="B884" s="42" t="inlineStr">
        <is>
          <t>Холодильник побутовий обємом 200-299 л. (Nord B 180 NF S)</t>
        </is>
      </c>
      <c r="C884" s="37" t="inlineStr">
        <is>
          <t>к-т</t>
        </is>
      </c>
      <c r="D884" s="33" t="n"/>
      <c r="E884" s="33" t="n"/>
      <c r="F884" s="33">
        <f>E884*0.05</f>
        <v/>
      </c>
      <c r="G884" s="33">
        <f>E884+F884</f>
        <v/>
      </c>
      <c r="H884" s="33" t="n"/>
      <c r="I884" s="33" t="n"/>
      <c r="J884" s="33" t="n"/>
      <c r="K884" s="33">
        <f>L884+M884+N884</f>
        <v/>
      </c>
      <c r="L884" s="33" t="n"/>
      <c r="M884" s="33" t="n"/>
      <c r="N884" s="33" t="n"/>
      <c r="O884" s="33">
        <f>P884+Q884</f>
        <v/>
      </c>
      <c r="P884" s="33" t="n"/>
      <c r="Q884" s="33" t="n"/>
      <c r="R884" s="33">
        <f>H884+K884-O884</f>
        <v/>
      </c>
      <c r="S884" s="33" t="n"/>
      <c r="T884" s="33" t="n"/>
      <c r="U884" s="33" t="n"/>
      <c r="V884" s="33" t="n"/>
      <c r="W884" s="33" t="n"/>
      <c r="X884" s="33" t="n"/>
      <c r="Y884" s="33" t="n"/>
      <c r="Z884" s="33" t="n"/>
      <c r="AA884" s="4">
        <f>R884-G884</f>
        <v/>
      </c>
      <c r="AB884" s="4">
        <f>G884-R884</f>
        <v/>
      </c>
      <c r="AC884" s="33" t="n"/>
    </row>
    <row r="885" ht="18.75" customHeight="1">
      <c r="A885" s="35">
        <f>SUBTOTAL(103,$B$24:B885)</f>
        <v/>
      </c>
      <c r="B885" s="42" t="inlineStr">
        <is>
          <t>Холодильник побутовий Siemens</t>
        </is>
      </c>
      <c r="C885" s="37" t="inlineStr">
        <is>
          <t>к-т</t>
        </is>
      </c>
      <c r="D885" s="33" t="n"/>
      <c r="E885" s="33" t="n"/>
      <c r="F885" s="33">
        <f>E885*0.05</f>
        <v/>
      </c>
      <c r="G885" s="33">
        <f>E885+F885</f>
        <v/>
      </c>
      <c r="H885" s="33" t="n"/>
      <c r="I885" s="33" t="n"/>
      <c r="J885" s="33" t="n"/>
      <c r="K885" s="33">
        <f>L885+M885+N885</f>
        <v/>
      </c>
      <c r="L885" s="33" t="n"/>
      <c r="M885" s="33" t="n"/>
      <c r="N885" s="33" t="n"/>
      <c r="O885" s="33">
        <f>P885+Q885</f>
        <v/>
      </c>
      <c r="P885" s="33" t="n"/>
      <c r="Q885" s="33" t="n"/>
      <c r="R885" s="33">
        <f>H885+K885-O885</f>
        <v/>
      </c>
      <c r="S885" s="33" t="n"/>
      <c r="T885" s="33" t="n"/>
      <c r="U885" s="33" t="n"/>
      <c r="V885" s="33" t="n"/>
      <c r="W885" s="33" t="n"/>
      <c r="X885" s="33" t="n"/>
      <c r="Y885" s="33" t="n"/>
      <c r="Z885" s="33" t="n"/>
      <c r="AA885" s="4">
        <f>R885-G885</f>
        <v/>
      </c>
      <c r="AB885" s="4">
        <f>G885-R885</f>
        <v/>
      </c>
      <c r="AC885" s="33" t="n"/>
    </row>
    <row r="886" ht="37.5" customHeight="1">
      <c r="A886" s="35">
        <f>SUBTOTAL(103,$B$24:B886)</f>
        <v/>
      </c>
      <c r="B886" s="42" t="inlineStr">
        <is>
          <t>Холодильник побутовий обємом 250-299 л. (Samsung)</t>
        </is>
      </c>
      <c r="C886" s="37" t="inlineStr">
        <is>
          <t>к-т</t>
        </is>
      </c>
      <c r="D886" s="33" t="n"/>
      <c r="E886" s="33" t="n"/>
      <c r="F886" s="33">
        <f>E886*0.05</f>
        <v/>
      </c>
      <c r="G886" s="33">
        <f>E886+F886</f>
        <v/>
      </c>
      <c r="H886" s="33" t="n"/>
      <c r="I886" s="33" t="n"/>
      <c r="J886" s="33" t="n"/>
      <c r="K886" s="33">
        <f>L886+M886+N886</f>
        <v/>
      </c>
      <c r="L886" s="33" t="n"/>
      <c r="M886" s="33" t="n"/>
      <c r="N886" s="33" t="n"/>
      <c r="O886" s="33">
        <f>P886+Q886</f>
        <v/>
      </c>
      <c r="P886" s="33" t="n"/>
      <c r="Q886" s="33" t="n"/>
      <c r="R886" s="33">
        <f>H886+K886-O886</f>
        <v/>
      </c>
      <c r="S886" s="33" t="n"/>
      <c r="T886" s="33" t="n"/>
      <c r="U886" s="33" t="n"/>
      <c r="V886" s="33" t="n"/>
      <c r="W886" s="33" t="n"/>
      <c r="X886" s="33" t="n"/>
      <c r="Y886" s="33" t="n"/>
      <c r="Z886" s="33" t="n"/>
      <c r="AA886" s="4">
        <f>R886-G886</f>
        <v/>
      </c>
      <c r="AB886" s="4">
        <f>G886-R886</f>
        <v/>
      </c>
      <c r="AC886" s="33" t="n"/>
    </row>
    <row r="887" ht="37.5" customHeight="1">
      <c r="A887" s="35">
        <f>SUBTOTAL(103,$B$24:B887)</f>
        <v/>
      </c>
      <c r="B887" s="42" t="inlineStr">
        <is>
          <t>Холодильник побутовий обємом 350-390 л. (Samsung)</t>
        </is>
      </c>
      <c r="C887" s="37" t="inlineStr">
        <is>
          <t>к-т</t>
        </is>
      </c>
      <c r="D887" s="33" t="n"/>
      <c r="E887" s="33" t="n"/>
      <c r="F887" s="33">
        <f>E887*0.05</f>
        <v/>
      </c>
      <c r="G887" s="33">
        <f>E887+F887</f>
        <v/>
      </c>
      <c r="H887" s="33" t="n"/>
      <c r="I887" s="33" t="n"/>
      <c r="J887" s="33" t="n"/>
      <c r="K887" s="33">
        <f>L887+M887+N887</f>
        <v/>
      </c>
      <c r="L887" s="33" t="n"/>
      <c r="M887" s="33" t="n"/>
      <c r="N887" s="33" t="n"/>
      <c r="O887" s="33">
        <f>P887+Q887</f>
        <v/>
      </c>
      <c r="P887" s="33" t="n"/>
      <c r="Q887" s="33" t="n"/>
      <c r="R887" s="33">
        <f>H887+K887-O887</f>
        <v/>
      </c>
      <c r="S887" s="33" t="n"/>
      <c r="T887" s="33" t="n"/>
      <c r="U887" s="33" t="n"/>
      <c r="V887" s="33" t="n"/>
      <c r="W887" s="33" t="n"/>
      <c r="X887" s="33" t="n"/>
      <c r="Y887" s="33" t="n"/>
      <c r="Z887" s="33" t="n"/>
      <c r="AA887" s="4">
        <f>R887-G887</f>
        <v/>
      </c>
      <c r="AB887" s="4">
        <f>G887-R887</f>
        <v/>
      </c>
      <c r="AC887" s="33" t="n"/>
    </row>
    <row r="888" ht="37.5" customHeight="1">
      <c r="A888" s="35">
        <f>SUBTOTAL(103,$B$24:B888)</f>
        <v/>
      </c>
      <c r="B888" s="36" t="inlineStr">
        <is>
          <t>Холодильник побутовий обємом 300-390 л. (Prime Technics RFN 1901 E D)</t>
        </is>
      </c>
      <c r="C888" s="37" t="inlineStr">
        <is>
          <t>к-т</t>
        </is>
      </c>
      <c r="D888" s="33" t="n"/>
      <c r="E888" s="33" t="n"/>
      <c r="F888" s="33">
        <f>E888*0.05</f>
        <v/>
      </c>
      <c r="G888" s="33">
        <f>E888+F888</f>
        <v/>
      </c>
      <c r="H888" s="33" t="n"/>
      <c r="I888" s="33" t="n"/>
      <c r="J888" s="33" t="n"/>
      <c r="K888" s="33">
        <f>L888+M888+N888</f>
        <v/>
      </c>
      <c r="L888" s="33" t="n"/>
      <c r="M888" s="33" t="n"/>
      <c r="N888" s="33" t="n"/>
      <c r="O888" s="33">
        <f>P888+Q888</f>
        <v/>
      </c>
      <c r="P888" s="33" t="n"/>
      <c r="Q888" s="33" t="n"/>
      <c r="R888" s="33">
        <f>H888+K888-O888</f>
        <v/>
      </c>
      <c r="S888" s="33" t="n"/>
      <c r="T888" s="33" t="n"/>
      <c r="U888" s="33" t="n"/>
      <c r="V888" s="33" t="n"/>
      <c r="W888" s="33" t="n"/>
      <c r="X888" s="33" t="n"/>
      <c r="Y888" s="33" t="n"/>
      <c r="Z888" s="33" t="n"/>
      <c r="AA888" s="4">
        <f>R888-G888</f>
        <v/>
      </c>
      <c r="AB888" s="4">
        <f>G888-R888</f>
        <v/>
      </c>
      <c r="AC888" s="33" t="n"/>
    </row>
    <row r="889" ht="18.75" customHeight="1">
      <c r="A889" s="35">
        <f>SUBTOTAL(103,$B$24:B889)</f>
        <v/>
      </c>
      <c r="B889" s="36" t="inlineStr">
        <is>
          <t>Холодильник Gorenje NRK6202AXL4</t>
        </is>
      </c>
      <c r="C889" s="37" t="inlineStr">
        <is>
          <t>к-т</t>
        </is>
      </c>
      <c r="D889" s="33" t="n"/>
      <c r="E889" s="33" t="n"/>
      <c r="F889" s="33">
        <f>E889*0.05</f>
        <v/>
      </c>
      <c r="G889" s="33">
        <f>E889+F889</f>
        <v/>
      </c>
      <c r="H889" s="33" t="n"/>
      <c r="I889" s="33" t="n"/>
      <c r="J889" s="33" t="n"/>
      <c r="K889" s="33">
        <f>L889+M889+N889</f>
        <v/>
      </c>
      <c r="L889" s="33" t="n"/>
      <c r="M889" s="33" t="n"/>
      <c r="N889" s="33" t="n"/>
      <c r="O889" s="33">
        <f>P889+Q889</f>
        <v/>
      </c>
      <c r="P889" s="33" t="n"/>
      <c r="Q889" s="33" t="n"/>
      <c r="R889" s="33">
        <f>H889+K889-O889</f>
        <v/>
      </c>
      <c r="S889" s="33" t="n"/>
      <c r="T889" s="33" t="n"/>
      <c r="U889" s="33" t="n"/>
      <c r="V889" s="33" t="n"/>
      <c r="W889" s="33" t="n"/>
      <c r="X889" s="33" t="n"/>
      <c r="Y889" s="33" t="n"/>
      <c r="Z889" s="33" t="n"/>
      <c r="AA889" s="4">
        <f>R889-G889</f>
        <v/>
      </c>
      <c r="AB889" s="4">
        <f>G889-R889</f>
        <v/>
      </c>
      <c r="AC889" s="33" t="n"/>
    </row>
    <row r="890" ht="37.5" customHeight="1">
      <c r="A890" s="35">
        <f>SUBTOTAL(103,$B$24:B890)</f>
        <v/>
      </c>
      <c r="B890" s="36" t="inlineStr">
        <is>
          <t>Холодильник GER мод.GDE3GGKBBB (дводверний компактний)</t>
        </is>
      </c>
      <c r="C890" s="37" t="inlineStr">
        <is>
          <t>к-т</t>
        </is>
      </c>
      <c r="D890" s="33" t="n"/>
      <c r="E890" s="33" t="n"/>
      <c r="F890" s="33">
        <f>E890*0.05</f>
        <v/>
      </c>
      <c r="G890" s="33">
        <f>E890+F890</f>
        <v/>
      </c>
      <c r="H890" s="33" t="n"/>
      <c r="I890" s="33" t="n"/>
      <c r="J890" s="33" t="n"/>
      <c r="K890" s="33">
        <f>L890+M890+N890</f>
        <v/>
      </c>
      <c r="L890" s="33" t="n"/>
      <c r="M890" s="33" t="n"/>
      <c r="N890" s="33" t="n"/>
      <c r="O890" s="33">
        <f>P890+Q890</f>
        <v/>
      </c>
      <c r="P890" s="33" t="n"/>
      <c r="Q890" s="33" t="n"/>
      <c r="R890" s="33">
        <f>H890+K890-O890</f>
        <v/>
      </c>
      <c r="S890" s="33" t="n"/>
      <c r="T890" s="33" t="n"/>
      <c r="U890" s="33" t="n"/>
      <c r="V890" s="33" t="n"/>
      <c r="W890" s="33" t="n"/>
      <c r="X890" s="33" t="n"/>
      <c r="Y890" s="33" t="n"/>
      <c r="Z890" s="33" t="n"/>
      <c r="AA890" s="4">
        <f>R890-G890</f>
        <v/>
      </c>
      <c r="AB890" s="4">
        <f>G890-R890</f>
        <v/>
      </c>
      <c r="AC890" s="33" t="n"/>
    </row>
    <row r="891" ht="37.5" customHeight="1">
      <c r="A891" s="35">
        <f>SUBTOTAL(103,$B$24:B891)</f>
        <v/>
      </c>
      <c r="B891" s="36" t="inlineStr">
        <is>
          <t>Холодильник побутовий Grunhelm VRH-S85M48-W (93 л.)</t>
        </is>
      </c>
      <c r="C891" s="37" t="inlineStr">
        <is>
          <t>к-т</t>
        </is>
      </c>
      <c r="D891" s="33" t="n"/>
      <c r="E891" s="33" t="n"/>
      <c r="F891" s="33">
        <f>E891*0.05</f>
        <v/>
      </c>
      <c r="G891" s="33">
        <f>E891+F891</f>
        <v/>
      </c>
      <c r="H891" s="33" t="n"/>
      <c r="I891" s="33" t="n"/>
      <c r="J891" s="33" t="n"/>
      <c r="K891" s="33">
        <f>L891+M891+N891</f>
        <v/>
      </c>
      <c r="L891" s="33" t="n"/>
      <c r="M891" s="33" t="n"/>
      <c r="N891" s="33" t="n"/>
      <c r="O891" s="33">
        <f>P891+Q891</f>
        <v/>
      </c>
      <c r="P891" s="33" t="n"/>
      <c r="Q891" s="33" t="n"/>
      <c r="R891" s="33">
        <f>H891+K891-O891</f>
        <v/>
      </c>
      <c r="S891" s="33" t="n"/>
      <c r="T891" s="33" t="n"/>
      <c r="U891" s="33" t="n"/>
      <c r="V891" s="33" t="n"/>
      <c r="W891" s="33" t="n"/>
      <c r="X891" s="33" t="n"/>
      <c r="Y891" s="33" t="n"/>
      <c r="Z891" s="33" t="n"/>
      <c r="AA891" s="4">
        <f>R891-G891</f>
        <v/>
      </c>
      <c r="AB891" s="4">
        <f>G891-R891</f>
        <v/>
      </c>
      <c r="AC891" s="33" t="n"/>
    </row>
    <row r="892" ht="37.5" customHeight="1">
      <c r="A892" s="35">
        <f>SUBTOTAL(103,$B$24:B892)</f>
        <v/>
      </c>
      <c r="B892" s="36" t="inlineStr">
        <is>
          <t>Холодильник побутови Grunhelm GRW185DD</t>
        </is>
      </c>
      <c r="C892" s="37" t="inlineStr">
        <is>
          <t>к-т</t>
        </is>
      </c>
      <c r="D892" s="33" t="n"/>
      <c r="E892" s="33" t="n"/>
      <c r="F892" s="33">
        <f>E892*0.05</f>
        <v/>
      </c>
      <c r="G892" s="33">
        <f>E892+F892</f>
        <v/>
      </c>
      <c r="H892" s="33" t="n"/>
      <c r="I892" s="33" t="n"/>
      <c r="J892" s="33" t="n"/>
      <c r="K892" s="33">
        <f>L892+M892+N892</f>
        <v/>
      </c>
      <c r="L892" s="33" t="n"/>
      <c r="M892" s="33" t="n"/>
      <c r="N892" s="33" t="n"/>
      <c r="O892" s="33">
        <f>P892+Q892</f>
        <v/>
      </c>
      <c r="P892" s="33" t="n"/>
      <c r="Q892" s="33" t="n"/>
      <c r="R892" s="33">
        <f>H892+K892-O892</f>
        <v/>
      </c>
      <c r="S892" s="33" t="n"/>
      <c r="T892" s="33" t="n"/>
      <c r="U892" s="33" t="n"/>
      <c r="V892" s="33" t="n"/>
      <c r="W892" s="33" t="n"/>
      <c r="X892" s="33" t="n"/>
      <c r="Y892" s="33" t="n"/>
      <c r="Z892" s="33" t="n"/>
      <c r="AA892" s="4">
        <f>R892-G892</f>
        <v/>
      </c>
      <c r="AB892" s="4">
        <f>G892-R892</f>
        <v/>
      </c>
      <c r="AC892" s="33" t="n"/>
    </row>
    <row r="893" ht="18.75" customHeight="1">
      <c r="A893" s="35">
        <f>SUBTOTAL(103,$B$24:B893)</f>
        <v/>
      </c>
      <c r="B893" s="36" t="inlineStr">
        <is>
          <t>Холодильник Grunhelm 250-299л.</t>
        </is>
      </c>
      <c r="C893" s="37" t="inlineStr">
        <is>
          <t>к-т</t>
        </is>
      </c>
      <c r="D893" s="33" t="n"/>
      <c r="E893" s="33" t="n"/>
      <c r="F893" s="33">
        <f>E893*0.05</f>
        <v/>
      </c>
      <c r="G893" s="33">
        <f>E893+F893</f>
        <v/>
      </c>
      <c r="H893" s="33" t="n"/>
      <c r="I893" s="33" t="n"/>
      <c r="J893" s="33" t="n"/>
      <c r="K893" s="33">
        <f>L893+M893+N893</f>
        <v/>
      </c>
      <c r="L893" s="33" t="n"/>
      <c r="M893" s="33" t="n"/>
      <c r="N893" s="33" t="n"/>
      <c r="O893" s="33">
        <f>P893+Q893</f>
        <v/>
      </c>
      <c r="P893" s="33" t="n"/>
      <c r="Q893" s="33" t="n"/>
      <c r="R893" s="33">
        <f>H893+K893-O893</f>
        <v/>
      </c>
      <c r="S893" s="33" t="n"/>
      <c r="T893" s="33" t="n"/>
      <c r="U893" s="33" t="n"/>
      <c r="V893" s="33" t="n"/>
      <c r="W893" s="33" t="n"/>
      <c r="X893" s="33" t="n"/>
      <c r="Y893" s="33" t="n"/>
      <c r="Z893" s="33" t="n"/>
      <c r="AA893" s="4">
        <f>R893-G893</f>
        <v/>
      </c>
      <c r="AB893" s="4">
        <f>G893-R893</f>
        <v/>
      </c>
      <c r="AC893" s="33" t="n"/>
    </row>
    <row r="894" ht="37.5" customHeight="1">
      <c r="A894" s="35">
        <f>SUBTOTAL(103,$B$24:B894)</f>
        <v/>
      </c>
      <c r="B894" s="36" t="inlineStr">
        <is>
          <t>Холодильник побутовий Elenberg MR84 (93 л.)</t>
        </is>
      </c>
      <c r="C894" s="37" t="inlineStr">
        <is>
          <t>к-т</t>
        </is>
      </c>
      <c r="D894" s="33" t="n"/>
      <c r="E894" s="33" t="n"/>
      <c r="F894" s="33">
        <f>E894*0.05</f>
        <v/>
      </c>
      <c r="G894" s="33">
        <f>E894+F894</f>
        <v/>
      </c>
      <c r="H894" s="33" t="n"/>
      <c r="I894" s="33" t="n"/>
      <c r="J894" s="33" t="n"/>
      <c r="K894" s="33">
        <f>L894+M894+N894</f>
        <v/>
      </c>
      <c r="L894" s="33" t="n"/>
      <c r="M894" s="33" t="n"/>
      <c r="N894" s="33" t="n"/>
      <c r="O894" s="33">
        <f>P894+Q894</f>
        <v/>
      </c>
      <c r="P894" s="33" t="n"/>
      <c r="Q894" s="33" t="n"/>
      <c r="R894" s="33">
        <f>H894+K894-O894</f>
        <v/>
      </c>
      <c r="S894" s="33" t="n"/>
      <c r="T894" s="33" t="n"/>
      <c r="U894" s="33" t="n"/>
      <c r="V894" s="33" t="n"/>
      <c r="W894" s="33" t="n"/>
      <c r="X894" s="33" t="n"/>
      <c r="Y894" s="33" t="n"/>
      <c r="Z894" s="33" t="n"/>
      <c r="AA894" s="4">
        <f>R894-G894</f>
        <v/>
      </c>
      <c r="AB894" s="4">
        <f>G894-R894</f>
        <v/>
      </c>
      <c r="AC894" s="33" t="n"/>
    </row>
    <row r="895" ht="37.5" customHeight="1">
      <c r="A895" s="35">
        <f>SUBTOTAL(103,$B$24:B895)</f>
        <v/>
      </c>
      <c r="B895" s="36" t="inlineStr">
        <is>
          <t>Холодильник побутовий Candy CMDDS 5142W</t>
        </is>
      </c>
      <c r="C895" s="37" t="inlineStr">
        <is>
          <t>к-т</t>
        </is>
      </c>
      <c r="D895" s="33" t="n"/>
      <c r="E895" s="33" t="n"/>
      <c r="F895" s="33">
        <f>E895*0.05</f>
        <v/>
      </c>
      <c r="G895" s="33">
        <f>E895+F895</f>
        <v/>
      </c>
      <c r="H895" s="33" t="n"/>
      <c r="I895" s="33" t="n"/>
      <c r="J895" s="33" t="n"/>
      <c r="K895" s="33">
        <f>L895+M895+N895</f>
        <v/>
      </c>
      <c r="L895" s="33" t="n"/>
      <c r="M895" s="33" t="n"/>
      <c r="N895" s="33" t="n"/>
      <c r="O895" s="33">
        <f>P895+Q895</f>
        <v/>
      </c>
      <c r="P895" s="33" t="n"/>
      <c r="Q895" s="33" t="n"/>
      <c r="R895" s="33">
        <f>H895+K895-O895</f>
        <v/>
      </c>
      <c r="S895" s="33" t="n"/>
      <c r="T895" s="33" t="n"/>
      <c r="U895" s="33" t="n"/>
      <c r="V895" s="33" t="n"/>
      <c r="W895" s="33" t="n"/>
      <c r="X895" s="33" t="n"/>
      <c r="Y895" s="33" t="n"/>
      <c r="Z895" s="33" t="n"/>
      <c r="AA895" s="4">
        <f>R895-G895</f>
        <v/>
      </c>
      <c r="AB895" s="4">
        <f>G895-R895</f>
        <v/>
      </c>
      <c r="AC895" s="33" t="n"/>
    </row>
    <row r="896" ht="37.5" customHeight="1">
      <c r="A896" s="35">
        <f>SUBTOTAL(103,$B$24:B896)</f>
        <v/>
      </c>
      <c r="B896" s="36" t="inlineStr">
        <is>
          <t>Холодильник побутовий Candy CVBNM6182WP/S</t>
        </is>
      </c>
      <c r="C896" s="37" t="inlineStr">
        <is>
          <t>к-т</t>
        </is>
      </c>
      <c r="D896" s="33" t="n"/>
      <c r="E896" s="33" t="n"/>
      <c r="F896" s="33">
        <f>E896*0.05</f>
        <v/>
      </c>
      <c r="G896" s="33">
        <f>E896+F896</f>
        <v/>
      </c>
      <c r="H896" s="33" t="n"/>
      <c r="I896" s="33" t="n"/>
      <c r="J896" s="33" t="n"/>
      <c r="K896" s="33">
        <f>L896+M896+N896</f>
        <v/>
      </c>
      <c r="L896" s="33" t="n"/>
      <c r="M896" s="33" t="n"/>
      <c r="N896" s="33" t="n"/>
      <c r="O896" s="33">
        <f>P896+Q896</f>
        <v/>
      </c>
      <c r="P896" s="33" t="n"/>
      <c r="Q896" s="33" t="n"/>
      <c r="R896" s="33">
        <f>H896+K896-O896</f>
        <v/>
      </c>
      <c r="S896" s="33" t="n"/>
      <c r="T896" s="33" t="n"/>
      <c r="U896" s="33" t="n"/>
      <c r="V896" s="33" t="n"/>
      <c r="W896" s="33" t="n"/>
      <c r="X896" s="33" t="n"/>
      <c r="Y896" s="33" t="n"/>
      <c r="Z896" s="33" t="n"/>
      <c r="AA896" s="4">
        <f>R896-G896</f>
        <v/>
      </c>
      <c r="AB896" s="4">
        <f>G896-R896</f>
        <v/>
      </c>
      <c r="AC896" s="33" t="n"/>
    </row>
    <row r="897" ht="37.5" customHeight="1">
      <c r="A897" s="35">
        <f>SUBTOTAL(103,$B$24:B897)</f>
        <v/>
      </c>
      <c r="B897" s="36" t="inlineStr">
        <is>
          <t>Холодильник побутовий Candy CCE3T618FWU (341 л.)</t>
        </is>
      </c>
      <c r="C897" s="37" t="inlineStr">
        <is>
          <t>к-т</t>
        </is>
      </c>
      <c r="D897" s="33" t="n"/>
      <c r="E897" s="33" t="n"/>
      <c r="F897" s="33">
        <f>E897*0.05</f>
        <v/>
      </c>
      <c r="G897" s="33">
        <f>E897+F897</f>
        <v/>
      </c>
      <c r="H897" s="33" t="n"/>
      <c r="I897" s="33" t="n"/>
      <c r="J897" s="33" t="n"/>
      <c r="K897" s="33">
        <f>L897+M897+N897</f>
        <v/>
      </c>
      <c r="L897" s="33" t="n"/>
      <c r="M897" s="33" t="n"/>
      <c r="N897" s="33" t="n"/>
      <c r="O897" s="33">
        <f>P897+Q897</f>
        <v/>
      </c>
      <c r="P897" s="33" t="n"/>
      <c r="Q897" s="33" t="n"/>
      <c r="R897" s="33">
        <f>H897+K897-O897</f>
        <v/>
      </c>
      <c r="S897" s="33" t="n"/>
      <c r="T897" s="33" t="n"/>
      <c r="U897" s="33" t="n"/>
      <c r="V897" s="33" t="n"/>
      <c r="W897" s="33" t="n"/>
      <c r="X897" s="33" t="n"/>
      <c r="Y897" s="33" t="n"/>
      <c r="Z897" s="33" t="n"/>
      <c r="AA897" s="4">
        <f>R897-G897</f>
        <v/>
      </c>
      <c r="AB897" s="4">
        <f>G897-R897</f>
        <v/>
      </c>
      <c r="AC897" s="33" t="n"/>
    </row>
    <row r="898" ht="37.5" customHeight="1">
      <c r="A898" s="35">
        <f>SUBTOTAL(103,$B$24:B898)</f>
        <v/>
      </c>
      <c r="B898" s="36" t="inlineStr">
        <is>
          <t>Холодильник побутовий Candy CCE3T618FSU (341 л..)</t>
        </is>
      </c>
      <c r="C898" s="37" t="inlineStr">
        <is>
          <t>к-т</t>
        </is>
      </c>
      <c r="D898" s="33" t="n"/>
      <c r="E898" s="33" t="n"/>
      <c r="F898" s="33">
        <f>E898*0.05</f>
        <v/>
      </c>
      <c r="G898" s="33">
        <f>E898+F898</f>
        <v/>
      </c>
      <c r="H898" s="33" t="n"/>
      <c r="I898" s="33" t="n"/>
      <c r="J898" s="33" t="n"/>
      <c r="K898" s="33">
        <f>L898+M898+N898</f>
        <v/>
      </c>
      <c r="L898" s="33" t="n"/>
      <c r="M898" s="33" t="n"/>
      <c r="N898" s="33" t="n"/>
      <c r="O898" s="33">
        <f>P898+Q898</f>
        <v/>
      </c>
      <c r="P898" s="33" t="n"/>
      <c r="Q898" s="33" t="n"/>
      <c r="R898" s="33">
        <f>H898+K898-O898</f>
        <v/>
      </c>
      <c r="S898" s="33" t="n"/>
      <c r="T898" s="33" t="n"/>
      <c r="U898" s="33" t="n"/>
      <c r="V898" s="33" t="n"/>
      <c r="W898" s="33" t="n"/>
      <c r="X898" s="33" t="n"/>
      <c r="Y898" s="33" t="n"/>
      <c r="Z898" s="33" t="n"/>
      <c r="AA898" s="4">
        <f>R898-G898</f>
        <v/>
      </c>
      <c r="AB898" s="4">
        <f>G898-R898</f>
        <v/>
      </c>
      <c r="AC898" s="33" t="n"/>
    </row>
    <row r="899" ht="37.5" customHeight="1">
      <c r="A899" s="35">
        <f>SUBTOTAL(103,$B$24:B899)</f>
        <v/>
      </c>
      <c r="B899" s="36" t="inlineStr">
        <is>
          <t>Холодильник побутовий Candy CHTOP482WN</t>
        </is>
      </c>
      <c r="C899" s="37" t="inlineStr">
        <is>
          <t>к-т</t>
        </is>
      </c>
      <c r="D899" s="33" t="n"/>
      <c r="E899" s="33" t="n"/>
      <c r="F899" s="33">
        <f>E899*0.05</f>
        <v/>
      </c>
      <c r="G899" s="33">
        <f>E899+F899</f>
        <v/>
      </c>
      <c r="H899" s="33" t="n"/>
      <c r="I899" s="33" t="n"/>
      <c r="J899" s="33" t="n"/>
      <c r="K899" s="33">
        <f>L899+M899+N899</f>
        <v/>
      </c>
      <c r="L899" s="33" t="n"/>
      <c r="M899" s="33" t="n"/>
      <c r="N899" s="33" t="n"/>
      <c r="O899" s="33">
        <f>P899+Q899</f>
        <v/>
      </c>
      <c r="P899" s="33" t="n"/>
      <c r="Q899" s="33" t="n"/>
      <c r="R899" s="33">
        <f>H899+K899-O899</f>
        <v/>
      </c>
      <c r="S899" s="33" t="n"/>
      <c r="T899" s="33" t="n"/>
      <c r="U899" s="33" t="n"/>
      <c r="V899" s="33" t="n"/>
      <c r="W899" s="33" t="n"/>
      <c r="X899" s="33" t="n"/>
      <c r="Y899" s="33" t="n"/>
      <c r="Z899" s="33" t="n"/>
      <c r="AA899" s="4">
        <f>R899-G899</f>
        <v/>
      </c>
      <c r="AB899" s="4">
        <f>G899-R899</f>
        <v/>
      </c>
      <c r="AC899" s="33" t="n"/>
    </row>
    <row r="900" ht="18.75" customHeight="1">
      <c r="A900" s="35">
        <f>SUBTOTAL(103,$B$24:B900)</f>
        <v/>
      </c>
      <c r="B900" s="36" t="inlineStr">
        <is>
          <t xml:space="preserve">Холодильник побутовий Candy </t>
        </is>
      </c>
      <c r="C900" s="37" t="inlineStr">
        <is>
          <t>к-т</t>
        </is>
      </c>
      <c r="D900" s="33" t="n"/>
      <c r="E900" s="33" t="n"/>
      <c r="F900" s="33">
        <f>E900*0.05</f>
        <v/>
      </c>
      <c r="G900" s="33">
        <f>E900+F900</f>
        <v/>
      </c>
      <c r="H900" s="33" t="n"/>
      <c r="I900" s="33" t="n"/>
      <c r="J900" s="33" t="n"/>
      <c r="K900" s="33">
        <f>L900+M900+N900</f>
        <v/>
      </c>
      <c r="L900" s="33" t="n"/>
      <c r="M900" s="33" t="n"/>
      <c r="N900" s="33" t="n"/>
      <c r="O900" s="33">
        <f>P900+Q900</f>
        <v/>
      </c>
      <c r="P900" s="33" t="n"/>
      <c r="Q900" s="33" t="n"/>
      <c r="R900" s="33">
        <f>H900+K900-O900</f>
        <v/>
      </c>
      <c r="S900" s="33" t="n"/>
      <c r="T900" s="33" t="n"/>
      <c r="U900" s="33" t="n"/>
      <c r="V900" s="33" t="n"/>
      <c r="W900" s="33" t="n"/>
      <c r="X900" s="33" t="n"/>
      <c r="Y900" s="33" t="n"/>
      <c r="Z900" s="33" t="n"/>
      <c r="AA900" s="4">
        <f>R900-G900</f>
        <v/>
      </c>
      <c r="AB900" s="4">
        <f>G900-R900</f>
        <v/>
      </c>
      <c r="AC900" s="33" t="n"/>
    </row>
    <row r="901" ht="18.75" customHeight="1">
      <c r="A901" s="35">
        <f>SUBTOTAL(103,$B$24:B901)</f>
        <v/>
      </c>
      <c r="B901" s="36" t="inlineStr">
        <is>
          <t>Холодильник WhiteWestinghouse</t>
        </is>
      </c>
      <c r="C901" s="37" t="inlineStr">
        <is>
          <t>к-т</t>
        </is>
      </c>
      <c r="D901" s="33" t="n"/>
      <c r="E901" s="33" t="n"/>
      <c r="F901" s="33">
        <f>E901*0.05</f>
        <v/>
      </c>
      <c r="G901" s="33">
        <f>E901+F901</f>
        <v/>
      </c>
      <c r="H901" s="33" t="n"/>
      <c r="I901" s="33" t="n"/>
      <c r="J901" s="33" t="n"/>
      <c r="K901" s="33">
        <f>L901+M901+N901</f>
        <v/>
      </c>
      <c r="L901" s="33" t="n"/>
      <c r="M901" s="33" t="n"/>
      <c r="N901" s="33" t="n"/>
      <c r="O901" s="33">
        <f>P901+Q901</f>
        <v/>
      </c>
      <c r="P901" s="33" t="n"/>
      <c r="Q901" s="33" t="n"/>
      <c r="R901" s="33">
        <f>H901+K901-O901</f>
        <v/>
      </c>
      <c r="S901" s="33" t="n"/>
      <c r="T901" s="33" t="n"/>
      <c r="U901" s="33" t="n"/>
      <c r="V901" s="33" t="n"/>
      <c r="W901" s="33" t="n"/>
      <c r="X901" s="33" t="n"/>
      <c r="Y901" s="33" t="n"/>
      <c r="Z901" s="33" t="n"/>
      <c r="AA901" s="4">
        <f>R901-G901</f>
        <v/>
      </c>
      <c r="AB901" s="4">
        <f>G901-R901</f>
        <v/>
      </c>
      <c r="AC901" s="33" t="n"/>
    </row>
    <row r="902" ht="37.5" customHeight="1">
      <c r="A902" s="35">
        <f>SUBTOTAL(103,$B$24:B902)</f>
        <v/>
      </c>
      <c r="B902" s="36" t="inlineStr">
        <is>
          <t>Холодильник побутовий ERGO MR-130</t>
        </is>
      </c>
      <c r="C902" s="37" t="inlineStr">
        <is>
          <t>к-т</t>
        </is>
      </c>
      <c r="D902" s="33" t="n"/>
      <c r="E902" s="33" t="n"/>
      <c r="F902" s="33">
        <f>E902*0.05</f>
        <v/>
      </c>
      <c r="G902" s="33">
        <f>E902+F902</f>
        <v/>
      </c>
      <c r="H902" s="33" t="n"/>
      <c r="I902" s="33" t="n"/>
      <c r="J902" s="33" t="n"/>
      <c r="K902" s="33">
        <f>L902+M902+N902</f>
        <v/>
      </c>
      <c r="L902" s="33" t="n"/>
      <c r="M902" s="33" t="n"/>
      <c r="N902" s="33" t="n"/>
      <c r="O902" s="33">
        <f>P902+Q902</f>
        <v/>
      </c>
      <c r="P902" s="33" t="n"/>
      <c r="Q902" s="33" t="n"/>
      <c r="R902" s="33">
        <f>H902+K902-O902</f>
        <v/>
      </c>
      <c r="S902" s="33" t="n"/>
      <c r="T902" s="33" t="n"/>
      <c r="U902" s="33" t="n"/>
      <c r="V902" s="33" t="n"/>
      <c r="W902" s="33" t="n"/>
      <c r="X902" s="33" t="n"/>
      <c r="Y902" s="33" t="n"/>
      <c r="Z902" s="33" t="n"/>
      <c r="AA902" s="4">
        <f>R902-G902</f>
        <v/>
      </c>
      <c r="AB902" s="4">
        <f>G902-R902</f>
        <v/>
      </c>
      <c r="AC902" s="33" t="n"/>
    </row>
    <row r="903" ht="18.75" customHeight="1">
      <c r="A903" s="35">
        <f>SUBTOTAL(103,$B$24:B903)</f>
        <v/>
      </c>
      <c r="B903" s="40" t="inlineStr">
        <is>
          <t>Холодильник побутовий обємом 200-299 л. інші</t>
        </is>
      </c>
      <c r="C903" s="37" t="inlineStr">
        <is>
          <t>к-т</t>
        </is>
      </c>
      <c r="D903" s="33" t="n"/>
      <c r="E903" s="33" t="n"/>
      <c r="F903" s="33">
        <f>E903*0.05</f>
        <v/>
      </c>
      <c r="G903" s="33">
        <f>E903+F903</f>
        <v/>
      </c>
      <c r="H903" s="33" t="n"/>
      <c r="I903" s="33" t="n"/>
      <c r="J903" s="33" t="n"/>
      <c r="K903" s="33">
        <f>L903+M903+N903</f>
        <v/>
      </c>
      <c r="L903" s="33" t="n"/>
      <c r="M903" s="33" t="n"/>
      <c r="N903" s="33" t="n"/>
      <c r="O903" s="33">
        <f>P903+Q903</f>
        <v/>
      </c>
      <c r="P903" s="33" t="n"/>
      <c r="Q903" s="33" t="n"/>
      <c r="R903" s="33">
        <f>H903+K903-O903</f>
        <v/>
      </c>
      <c r="S903" s="33" t="n"/>
      <c r="T903" s="33" t="n"/>
      <c r="U903" s="33" t="n"/>
      <c r="V903" s="33" t="n"/>
      <c r="W903" s="33" t="n"/>
      <c r="X903" s="33" t="n"/>
      <c r="Y903" s="33" t="n"/>
      <c r="Z903" s="33" t="n"/>
      <c r="AA903" s="4">
        <f>R903-G903</f>
        <v/>
      </c>
      <c r="AB903" s="4">
        <f>G903-R903</f>
        <v/>
      </c>
      <c r="AC903" s="33" t="n"/>
    </row>
    <row r="904" ht="18.75" customHeight="1">
      <c r="A904" s="35">
        <f>SUBTOTAL(103,$B$24:B904)</f>
        <v/>
      </c>
      <c r="B904" s="36" t="inlineStr">
        <is>
          <t>Холодильна шафа вітрина UGUR-440</t>
        </is>
      </c>
      <c r="C904" s="37" t="inlineStr">
        <is>
          <t>к-т</t>
        </is>
      </c>
      <c r="D904" s="33" t="n"/>
      <c r="E904" s="33" t="n"/>
      <c r="F904" s="33">
        <f>E904*0.05</f>
        <v/>
      </c>
      <c r="G904" s="33">
        <f>E904+F904</f>
        <v/>
      </c>
      <c r="H904" s="33" t="n"/>
      <c r="I904" s="33" t="n"/>
      <c r="J904" s="33" t="n"/>
      <c r="K904" s="33">
        <f>L904+M904+N904</f>
        <v/>
      </c>
      <c r="L904" s="33" t="n"/>
      <c r="M904" s="33" t="n"/>
      <c r="N904" s="33" t="n"/>
      <c r="O904" s="33">
        <f>P904+Q904</f>
        <v/>
      </c>
      <c r="P904" s="33" t="n"/>
      <c r="Q904" s="33" t="n"/>
      <c r="R904" s="33">
        <f>H904+K904-O904</f>
        <v/>
      </c>
      <c r="S904" s="33" t="n"/>
      <c r="T904" s="33" t="n"/>
      <c r="U904" s="33" t="n"/>
      <c r="V904" s="33" t="n"/>
      <c r="W904" s="33" t="n"/>
      <c r="X904" s="33" t="n"/>
      <c r="Y904" s="33" t="n"/>
      <c r="Z904" s="33" t="n"/>
      <c r="AA904" s="4">
        <f>R904-G904</f>
        <v/>
      </c>
      <c r="AB904" s="4">
        <f>G904-R904</f>
        <v/>
      </c>
      <c r="AC904" s="33" t="n"/>
    </row>
    <row r="905" ht="18.75" customHeight="1">
      <c r="A905" s="35">
        <f>SUBTOTAL(103,$B$24:B905)</f>
        <v/>
      </c>
      <c r="B905" s="36" t="inlineStr">
        <is>
          <t>Холодильна шафа-вітрина Интер-400</t>
        </is>
      </c>
      <c r="C905" s="37" t="inlineStr">
        <is>
          <t>к-т</t>
        </is>
      </c>
      <c r="D905" s="33" t="n"/>
      <c r="E905" s="33" t="n"/>
      <c r="F905" s="33">
        <f>E905*0.05</f>
        <v/>
      </c>
      <c r="G905" s="33">
        <f>E905+F905</f>
        <v/>
      </c>
      <c r="H905" s="33" t="n"/>
      <c r="I905" s="33" t="n"/>
      <c r="J905" s="33" t="n"/>
      <c r="K905" s="33">
        <f>L905+M905+N905</f>
        <v/>
      </c>
      <c r="L905" s="33" t="n"/>
      <c r="M905" s="33" t="n"/>
      <c r="N905" s="33" t="n"/>
      <c r="O905" s="33">
        <f>P905+Q905</f>
        <v/>
      </c>
      <c r="P905" s="33" t="n"/>
      <c r="Q905" s="33" t="n"/>
      <c r="R905" s="33">
        <f>H905+K905-O905</f>
        <v/>
      </c>
      <c r="S905" s="33" t="n"/>
      <c r="T905" s="33" t="n"/>
      <c r="U905" s="33" t="n"/>
      <c r="V905" s="33" t="n"/>
      <c r="W905" s="33" t="n"/>
      <c r="X905" s="33" t="n"/>
      <c r="Y905" s="33" t="n"/>
      <c r="Z905" s="33" t="n"/>
      <c r="AA905" s="4">
        <f>R905-G905</f>
        <v/>
      </c>
      <c r="AB905" s="4">
        <f>G905-R905</f>
        <v/>
      </c>
      <c r="AC905" s="33" t="n"/>
    </row>
    <row r="906" ht="18.75" customHeight="1">
      <c r="A906" s="35">
        <f>SUBTOTAL(103,$B$24:B906)</f>
        <v/>
      </c>
      <c r="B906" s="36" t="inlineStr">
        <is>
          <t>Холодильник Alpicool</t>
        </is>
      </c>
      <c r="C906" s="37" t="inlineStr">
        <is>
          <t>к-т</t>
        </is>
      </c>
      <c r="D906" s="33" t="n"/>
      <c r="E906" s="33" t="n"/>
      <c r="F906" s="33">
        <f>E906*0.05</f>
        <v/>
      </c>
      <c r="G906" s="33">
        <f>E906+F906</f>
        <v/>
      </c>
      <c r="H906" s="33" t="n"/>
      <c r="I906" s="33" t="n"/>
      <c r="J906" s="33" t="n"/>
      <c r="K906" s="33">
        <f>L906+M906+N906</f>
        <v/>
      </c>
      <c r="L906" s="33" t="n"/>
      <c r="M906" s="33" t="n"/>
      <c r="N906" s="33" t="n"/>
      <c r="O906" s="33">
        <f>P906+Q906</f>
        <v/>
      </c>
      <c r="P906" s="33" t="n"/>
      <c r="Q906" s="33" t="n"/>
      <c r="R906" s="33">
        <f>H906+K906-O906</f>
        <v/>
      </c>
      <c r="S906" s="33" t="n"/>
      <c r="T906" s="33" t="n"/>
      <c r="U906" s="33" t="n"/>
      <c r="V906" s="33" t="n"/>
      <c r="W906" s="33" t="n"/>
      <c r="X906" s="33" t="n"/>
      <c r="Y906" s="33" t="n"/>
      <c r="Z906" s="33" t="n"/>
      <c r="AA906" s="4">
        <f>R906-G906</f>
        <v/>
      </c>
      <c r="AB906" s="4">
        <f>G906-R906</f>
        <v/>
      </c>
      <c r="AC906" s="33" t="n"/>
    </row>
    <row r="907" ht="18.75" customHeight="1">
      <c r="A907" s="35">
        <f>SUBTOTAL(103,$B$24:B907)</f>
        <v/>
      </c>
      <c r="B907" s="36" t="inlineStr">
        <is>
          <t>Холодильник PKM KG218,4</t>
        </is>
      </c>
      <c r="C907" s="37" t="inlineStr">
        <is>
          <t>к-т</t>
        </is>
      </c>
      <c r="D907" s="33" t="n"/>
      <c r="E907" s="33" t="n"/>
      <c r="F907" s="33">
        <f>E907*0.05</f>
        <v/>
      </c>
      <c r="G907" s="33">
        <f>E907+F907</f>
        <v/>
      </c>
      <c r="H907" s="33" t="n"/>
      <c r="I907" s="33" t="n"/>
      <c r="J907" s="33" t="n"/>
      <c r="K907" s="33">
        <f>L907+M907+N907</f>
        <v/>
      </c>
      <c r="L907" s="33" t="n"/>
      <c r="M907" s="33" t="n"/>
      <c r="N907" s="33" t="n"/>
      <c r="O907" s="33">
        <f>P907+Q907</f>
        <v/>
      </c>
      <c r="P907" s="33" t="n"/>
      <c r="Q907" s="33" t="n"/>
      <c r="R907" s="33">
        <f>H907+K907-O907</f>
        <v/>
      </c>
      <c r="S907" s="33" t="n"/>
      <c r="T907" s="33" t="n"/>
      <c r="U907" s="33" t="n"/>
      <c r="V907" s="33" t="n"/>
      <c r="W907" s="33" t="n"/>
      <c r="X907" s="33" t="n"/>
      <c r="Y907" s="33" t="n"/>
      <c r="Z907" s="33" t="n"/>
      <c r="AA907" s="4">
        <f>R907-G907</f>
        <v/>
      </c>
      <c r="AB907" s="4">
        <f>G907-R907</f>
        <v/>
      </c>
      <c r="AC907" s="33" t="n"/>
    </row>
    <row r="908" ht="18.75" customHeight="1">
      <c r="A908" s="35">
        <f>SUBTOTAL(103,$B$24:B908)</f>
        <v/>
      </c>
      <c r="B908" s="36" t="inlineStr">
        <is>
          <t xml:space="preserve">Холодильник HANSEATIC </t>
        </is>
      </c>
      <c r="C908" s="37" t="inlineStr">
        <is>
          <t>к-т</t>
        </is>
      </c>
      <c r="D908" s="33" t="n"/>
      <c r="E908" s="33" t="n"/>
      <c r="F908" s="33">
        <f>E908*0.05</f>
        <v/>
      </c>
      <c r="G908" s="33">
        <f>E908+F908</f>
        <v/>
      </c>
      <c r="H908" s="33" t="n"/>
      <c r="I908" s="33" t="n"/>
      <c r="J908" s="33" t="n"/>
      <c r="K908" s="33">
        <f>L908+M908+N908</f>
        <v/>
      </c>
      <c r="L908" s="33" t="n"/>
      <c r="M908" s="33" t="n"/>
      <c r="N908" s="33" t="n"/>
      <c r="O908" s="33">
        <f>P908+Q908</f>
        <v/>
      </c>
      <c r="P908" s="33" t="n"/>
      <c r="Q908" s="33" t="n"/>
      <c r="R908" s="33">
        <f>H908+K908-O908</f>
        <v/>
      </c>
      <c r="S908" s="33" t="n"/>
      <c r="T908" s="33" t="n"/>
      <c r="U908" s="33" t="n"/>
      <c r="V908" s="33" t="n"/>
      <c r="W908" s="33" t="n"/>
      <c r="X908" s="33" t="n"/>
      <c r="Y908" s="33" t="n"/>
      <c r="Z908" s="33" t="n"/>
      <c r="AA908" s="4">
        <f>R908-G908</f>
        <v/>
      </c>
      <c r="AB908" s="4">
        <f>G908-R908</f>
        <v/>
      </c>
      <c r="AC908" s="33" t="n"/>
    </row>
    <row r="909" ht="18.75" customHeight="1">
      <c r="A909" s="35">
        <f>SUBTOTAL(103,$B$24:B909)</f>
        <v/>
      </c>
      <c r="B909" s="36" t="inlineStr">
        <is>
          <t>Холодильник SILTAL</t>
        </is>
      </c>
      <c r="C909" s="37" t="inlineStr">
        <is>
          <t>к-т</t>
        </is>
      </c>
      <c r="D909" s="33" t="n"/>
      <c r="E909" s="33" t="n"/>
      <c r="F909" s="33">
        <f>E909*0.05</f>
        <v/>
      </c>
      <c r="G909" s="33">
        <f>E909+F909</f>
        <v/>
      </c>
      <c r="H909" s="33" t="n"/>
      <c r="I909" s="33" t="n"/>
      <c r="J909" s="33" t="n"/>
      <c r="K909" s="33">
        <f>L909+M909+N909</f>
        <v/>
      </c>
      <c r="L909" s="33" t="n"/>
      <c r="M909" s="33" t="n"/>
      <c r="N909" s="33" t="n"/>
      <c r="O909" s="33">
        <f>P909+Q909</f>
        <v/>
      </c>
      <c r="P909" s="33" t="n"/>
      <c r="Q909" s="33" t="n"/>
      <c r="R909" s="33">
        <f>H909+K909-O909</f>
        <v/>
      </c>
      <c r="S909" s="33" t="n"/>
      <c r="T909" s="33" t="n"/>
      <c r="U909" s="33" t="n"/>
      <c r="V909" s="33" t="n"/>
      <c r="W909" s="33" t="n"/>
      <c r="X909" s="33" t="n"/>
      <c r="Y909" s="33" t="n"/>
      <c r="Z909" s="33" t="n"/>
      <c r="AA909" s="4">
        <f>R909-G909</f>
        <v/>
      </c>
      <c r="AB909" s="4">
        <f>G909-R909</f>
        <v/>
      </c>
      <c r="AC909" s="33" t="n"/>
    </row>
    <row r="910" ht="18.75" customHeight="1">
      <c r="A910" s="35">
        <f>SUBTOTAL(103,$B$24:B910)</f>
        <v/>
      </c>
      <c r="B910" s="36" t="inlineStr">
        <is>
          <t>Холодильник Miele</t>
        </is>
      </c>
      <c r="C910" s="37" t="inlineStr">
        <is>
          <t>к-т</t>
        </is>
      </c>
      <c r="D910" s="33" t="n"/>
      <c r="E910" s="33" t="n"/>
      <c r="F910" s="33">
        <f>E910*0.05</f>
        <v/>
      </c>
      <c r="G910" s="33">
        <f>E910+F910</f>
        <v/>
      </c>
      <c r="H910" s="33" t="n"/>
      <c r="I910" s="33" t="n"/>
      <c r="J910" s="33" t="n"/>
      <c r="K910" s="33">
        <f>L910+M910+N910</f>
        <v/>
      </c>
      <c r="L910" s="33" t="n"/>
      <c r="M910" s="33" t="n"/>
      <c r="N910" s="33" t="n"/>
      <c r="O910" s="33">
        <f>P910+Q910</f>
        <v/>
      </c>
      <c r="P910" s="33" t="n"/>
      <c r="Q910" s="33" t="n"/>
      <c r="R910" s="33">
        <f>H910+K910-O910</f>
        <v/>
      </c>
      <c r="S910" s="33" t="n"/>
      <c r="T910" s="33" t="n"/>
      <c r="U910" s="33" t="n"/>
      <c r="V910" s="33" t="n"/>
      <c r="W910" s="33" t="n"/>
      <c r="X910" s="33" t="n"/>
      <c r="Y910" s="33" t="n"/>
      <c r="Z910" s="33" t="n"/>
      <c r="AA910" s="4">
        <f>R910-G910</f>
        <v/>
      </c>
      <c r="AB910" s="4">
        <f>G910-R910</f>
        <v/>
      </c>
      <c r="AC910" s="33" t="n"/>
    </row>
    <row r="911" ht="18.75" customHeight="1">
      <c r="A911" s="35">
        <f>SUBTOTAL(103,$B$24:B911)</f>
        <v/>
      </c>
      <c r="B911" s="36" t="inlineStr">
        <is>
          <t>Холодильник MILANO</t>
        </is>
      </c>
      <c r="C911" s="37" t="inlineStr">
        <is>
          <t>к-т</t>
        </is>
      </c>
      <c r="D911" s="33" t="n"/>
      <c r="E911" s="33" t="n"/>
      <c r="F911" s="33">
        <f>E911*0.05</f>
        <v/>
      </c>
      <c r="G911" s="33">
        <f>E911+F911</f>
        <v/>
      </c>
      <c r="H911" s="33" t="n"/>
      <c r="I911" s="33" t="n"/>
      <c r="J911" s="33" t="n"/>
      <c r="K911" s="33">
        <f>L911+M911+N911</f>
        <v/>
      </c>
      <c r="L911" s="33" t="n"/>
      <c r="M911" s="33" t="n"/>
      <c r="N911" s="33" t="n"/>
      <c r="O911" s="33">
        <f>P911+Q911</f>
        <v/>
      </c>
      <c r="P911" s="33" t="n"/>
      <c r="Q911" s="33" t="n"/>
      <c r="R911" s="33">
        <f>H911+K911-O911</f>
        <v/>
      </c>
      <c r="S911" s="33" t="n"/>
      <c r="T911" s="33" t="n"/>
      <c r="U911" s="33" t="n"/>
      <c r="V911" s="33" t="n"/>
      <c r="W911" s="33" t="n"/>
      <c r="X911" s="33" t="n"/>
      <c r="Y911" s="33" t="n"/>
      <c r="Z911" s="33" t="n"/>
      <c r="AA911" s="4">
        <f>R911-G911</f>
        <v/>
      </c>
      <c r="AB911" s="4">
        <f>G911-R911</f>
        <v/>
      </c>
      <c r="AC911" s="33" t="n"/>
    </row>
    <row r="912" ht="18.75" customHeight="1">
      <c r="A912" s="35">
        <f>SUBTOTAL(103,$B$24:B912)</f>
        <v/>
      </c>
      <c r="B912" s="36" t="inlineStr">
        <is>
          <t>Xолодильний стіл PREMIUM</t>
        </is>
      </c>
      <c r="C912" s="37" t="inlineStr">
        <is>
          <t>к-т</t>
        </is>
      </c>
      <c r="D912" s="33" t="n"/>
      <c r="E912" s="33" t="n"/>
      <c r="F912" s="33">
        <f>E912*0.05</f>
        <v/>
      </c>
      <c r="G912" s="33">
        <f>E912+F912</f>
        <v/>
      </c>
      <c r="H912" s="33" t="n"/>
      <c r="I912" s="33" t="n"/>
      <c r="J912" s="33" t="n"/>
      <c r="K912" s="33">
        <f>L912+M912+N912</f>
        <v/>
      </c>
      <c r="L912" s="33" t="n"/>
      <c r="M912" s="33" t="n"/>
      <c r="N912" s="33" t="n"/>
      <c r="O912" s="33">
        <f>P912+Q912</f>
        <v/>
      </c>
      <c r="P912" s="33" t="n"/>
      <c r="Q912" s="33" t="n"/>
      <c r="R912" s="33">
        <f>H912+K912-O912</f>
        <v/>
      </c>
      <c r="S912" s="33" t="n"/>
      <c r="T912" s="33" t="n"/>
      <c r="U912" s="33" t="n"/>
      <c r="V912" s="33" t="n"/>
      <c r="W912" s="33" t="n"/>
      <c r="X912" s="33" t="n"/>
      <c r="Y912" s="33" t="n"/>
      <c r="Z912" s="33" t="n"/>
      <c r="AA912" s="4">
        <f>R912-G912</f>
        <v/>
      </c>
      <c r="AB912" s="4">
        <f>G912-R912</f>
        <v/>
      </c>
      <c r="AC912" s="33" t="n"/>
    </row>
    <row r="913" ht="18.75" customHeight="1">
      <c r="A913" s="35">
        <f>SUBTOTAL(103,$B$24:B913)</f>
        <v/>
      </c>
      <c r="B913" s="46" t="inlineStr">
        <is>
          <t>Вітрина прилавок</t>
        </is>
      </c>
      <c r="C913" s="37" t="inlineStr">
        <is>
          <t>к-т</t>
        </is>
      </c>
      <c r="D913" s="33" t="n"/>
      <c r="E913" s="33" t="n"/>
      <c r="F913" s="33">
        <f>E913*0.05</f>
        <v/>
      </c>
      <c r="G913" s="33">
        <f>E913+F913</f>
        <v/>
      </c>
      <c r="H913" s="33" t="n"/>
      <c r="I913" s="33" t="n"/>
      <c r="J913" s="33" t="n"/>
      <c r="K913" s="33">
        <f>L913+M913+N913</f>
        <v/>
      </c>
      <c r="L913" s="33" t="n"/>
      <c r="M913" s="33" t="n"/>
      <c r="N913" s="33" t="n"/>
      <c r="O913" s="33">
        <f>P913+Q913</f>
        <v/>
      </c>
      <c r="P913" s="33" t="n"/>
      <c r="Q913" s="33" t="n"/>
      <c r="R913" s="33">
        <f>H913+K913-O913</f>
        <v/>
      </c>
      <c r="S913" s="33" t="n"/>
      <c r="T913" s="33" t="n"/>
      <c r="U913" s="33" t="n"/>
      <c r="V913" s="33" t="n"/>
      <c r="W913" s="33" t="n"/>
      <c r="X913" s="33" t="n"/>
      <c r="Y913" s="33" t="n"/>
      <c r="Z913" s="33" t="n"/>
      <c r="AA913" s="4">
        <f>R913-G913</f>
        <v/>
      </c>
      <c r="AB913" s="4">
        <f>G913-R913</f>
        <v/>
      </c>
      <c r="AC913" s="33" t="n"/>
    </row>
    <row r="914" ht="18.75" customHeight="1">
      <c r="A914" s="35">
        <f>SUBTOTAL(103,$B$24:B914)</f>
        <v/>
      </c>
      <c r="B914" s="46" t="inlineStr">
        <is>
          <t xml:space="preserve">Холодильна шафа-вітрина </t>
        </is>
      </c>
      <c r="C914" s="37" t="inlineStr">
        <is>
          <t>к-т</t>
        </is>
      </c>
      <c r="D914" s="33" t="n"/>
      <c r="E914" s="33" t="n"/>
      <c r="F914" s="33">
        <f>E914*0.05</f>
        <v/>
      </c>
      <c r="G914" s="33">
        <f>E914+F914</f>
        <v/>
      </c>
      <c r="H914" s="33" t="n"/>
      <c r="I914" s="33" t="n"/>
      <c r="J914" s="33" t="n"/>
      <c r="K914" s="33">
        <f>L914+M914+N914</f>
        <v/>
      </c>
      <c r="L914" s="33" t="n"/>
      <c r="M914" s="33" t="n"/>
      <c r="N914" s="33" t="n"/>
      <c r="O914" s="33">
        <f>P914+Q914</f>
        <v/>
      </c>
      <c r="P914" s="33" t="n"/>
      <c r="Q914" s="33" t="n"/>
      <c r="R914" s="33">
        <f>H914+K914-O914</f>
        <v/>
      </c>
      <c r="S914" s="33" t="n"/>
      <c r="T914" s="33" t="n"/>
      <c r="U914" s="33" t="n"/>
      <c r="V914" s="33" t="n"/>
      <c r="W914" s="33" t="n"/>
      <c r="X914" s="33" t="n"/>
      <c r="Y914" s="33" t="n"/>
      <c r="Z914" s="33" t="n"/>
      <c r="AA914" s="4">
        <f>R914-G914</f>
        <v/>
      </c>
      <c r="AB914" s="4">
        <f>G914-R914</f>
        <v/>
      </c>
      <c r="AC914" s="33" t="n"/>
    </row>
    <row r="915" ht="18.75" customHeight="1">
      <c r="A915" s="35">
        <f>SUBTOTAL(103,$B$24:B915)</f>
        <v/>
      </c>
      <c r="B915" s="46" t="inlineStr">
        <is>
          <t xml:space="preserve">Вітрина холодильна FROST STREAM </t>
        </is>
      </c>
      <c r="C915" s="37" t="inlineStr">
        <is>
          <t>к-т</t>
        </is>
      </c>
      <c r="D915" s="33" t="n"/>
      <c r="E915" s="33" t="n"/>
      <c r="F915" s="33">
        <f>E915*0.05</f>
        <v/>
      </c>
      <c r="G915" s="33">
        <f>E915+F915</f>
        <v/>
      </c>
      <c r="H915" s="33" t="n"/>
      <c r="I915" s="33" t="n"/>
      <c r="J915" s="33" t="n"/>
      <c r="K915" s="33">
        <f>L915+M915+N915</f>
        <v/>
      </c>
      <c r="L915" s="33" t="n"/>
      <c r="M915" s="33" t="n"/>
      <c r="N915" s="33" t="n"/>
      <c r="O915" s="33">
        <f>P915+Q915</f>
        <v/>
      </c>
      <c r="P915" s="33" t="n"/>
      <c r="Q915" s="33" t="n"/>
      <c r="R915" s="33">
        <f>H915+K915-O915</f>
        <v/>
      </c>
      <c r="S915" s="33" t="n"/>
      <c r="T915" s="33" t="n"/>
      <c r="U915" s="33" t="n"/>
      <c r="V915" s="33" t="n"/>
      <c r="W915" s="33" t="n"/>
      <c r="X915" s="33" t="n"/>
      <c r="Y915" s="33" t="n"/>
      <c r="Z915" s="33" t="n"/>
      <c r="AA915" s="4">
        <f>R915-G915</f>
        <v/>
      </c>
      <c r="AB915" s="4">
        <f>G915-R915</f>
        <v/>
      </c>
      <c r="AC915" s="33" t="n"/>
    </row>
    <row r="916" ht="18.75" customHeight="1">
      <c r="A916" s="35">
        <f>SUBTOTAL(103,$B$24:B916)</f>
        <v/>
      </c>
      <c r="B916" s="46" t="inlineStr">
        <is>
          <t>Холодильна вітрина Snaige (290 л</t>
        </is>
      </c>
      <c r="C916" s="37" t="inlineStr">
        <is>
          <t>к-т</t>
        </is>
      </c>
      <c r="D916" s="33" t="n"/>
      <c r="E916" s="33" t="n"/>
      <c r="F916" s="33">
        <f>E916*0.05</f>
        <v/>
      </c>
      <c r="G916" s="33">
        <f>E916+F916</f>
        <v/>
      </c>
      <c r="H916" s="33" t="n"/>
      <c r="I916" s="33" t="n"/>
      <c r="J916" s="33" t="n"/>
      <c r="K916" s="33">
        <f>L916+M916+N916</f>
        <v/>
      </c>
      <c r="L916" s="33" t="n"/>
      <c r="M916" s="33" t="n"/>
      <c r="N916" s="33" t="n"/>
      <c r="O916" s="33">
        <f>P916+Q916</f>
        <v/>
      </c>
      <c r="P916" s="33" t="n"/>
      <c r="Q916" s="33" t="n"/>
      <c r="R916" s="33">
        <f>H916+K916-O916</f>
        <v/>
      </c>
      <c r="S916" s="33" t="n"/>
      <c r="T916" s="33" t="n"/>
      <c r="U916" s="33" t="n"/>
      <c r="V916" s="33" t="n"/>
      <c r="W916" s="33" t="n"/>
      <c r="X916" s="33" t="n"/>
      <c r="Y916" s="33" t="n"/>
      <c r="Z916" s="33" t="n"/>
      <c r="AA916" s="4">
        <f>R916-G916</f>
        <v/>
      </c>
      <c r="AB916" s="4">
        <f>G916-R916</f>
        <v/>
      </c>
      <c r="AC916" s="33" t="n"/>
    </row>
    <row r="917" ht="18.75" customHeight="1">
      <c r="A917" s="35">
        <f>SUBTOTAL(103,$B$24:B917)</f>
        <v/>
      </c>
      <c r="B917" s="46" t="inlineStr">
        <is>
          <t>Вітрина охолоджувальна</t>
        </is>
      </c>
      <c r="C917" s="37" t="inlineStr">
        <is>
          <t>к-т</t>
        </is>
      </c>
      <c r="D917" s="33" t="n"/>
      <c r="E917" s="33" t="n"/>
      <c r="F917" s="33">
        <f>E917*0.05</f>
        <v/>
      </c>
      <c r="G917" s="33">
        <f>E917+F917</f>
        <v/>
      </c>
      <c r="H917" s="33" t="n"/>
      <c r="I917" s="33" t="n"/>
      <c r="J917" s="33" t="n"/>
      <c r="K917" s="33">
        <f>L917+M917+N917</f>
        <v/>
      </c>
      <c r="L917" s="33" t="n"/>
      <c r="M917" s="33" t="n"/>
      <c r="N917" s="33" t="n"/>
      <c r="O917" s="33">
        <f>P917+Q917</f>
        <v/>
      </c>
      <c r="P917" s="33" t="n"/>
      <c r="Q917" s="33" t="n"/>
      <c r="R917" s="33">
        <f>H917+K917-O917</f>
        <v/>
      </c>
      <c r="S917" s="33" t="n"/>
      <c r="T917" s="33" t="n"/>
      <c r="U917" s="33" t="n"/>
      <c r="V917" s="33" t="n"/>
      <c r="W917" s="33" t="n"/>
      <c r="X917" s="33" t="n"/>
      <c r="Y917" s="33" t="n"/>
      <c r="Z917" s="33" t="n"/>
      <c r="AA917" s="4">
        <f>R917-G917</f>
        <v/>
      </c>
      <c r="AB917" s="4">
        <f>G917-R917</f>
        <v/>
      </c>
      <c r="AC917" s="33" t="n"/>
    </row>
    <row r="918" ht="18.75" customHeight="1">
      <c r="A918" s="35">
        <f>SUBTOTAL(103,$B$24:B918)</f>
        <v/>
      </c>
      <c r="B918" s="46" t="inlineStr">
        <is>
          <t>Прилавок охолоджувальний</t>
        </is>
      </c>
      <c r="C918" s="37" t="inlineStr">
        <is>
          <t>к-т</t>
        </is>
      </c>
      <c r="D918" s="33" t="n"/>
      <c r="E918" s="33" t="n"/>
      <c r="F918" s="33">
        <f>E918*0.05</f>
        <v/>
      </c>
      <c r="G918" s="33">
        <f>E918+F918</f>
        <v/>
      </c>
      <c r="H918" s="33" t="n"/>
      <c r="I918" s="33" t="n"/>
      <c r="J918" s="33" t="n"/>
      <c r="K918" s="33">
        <f>L918+M918+N918</f>
        <v/>
      </c>
      <c r="L918" s="33" t="n"/>
      <c r="M918" s="33" t="n"/>
      <c r="N918" s="33" t="n"/>
      <c r="O918" s="33">
        <f>P918+Q918</f>
        <v/>
      </c>
      <c r="P918" s="33" t="n"/>
      <c r="Q918" s="33" t="n"/>
      <c r="R918" s="33">
        <f>H918+K918-O918</f>
        <v/>
      </c>
      <c r="S918" s="33" t="n"/>
      <c r="T918" s="33" t="n"/>
      <c r="U918" s="33" t="n"/>
      <c r="V918" s="33" t="n"/>
      <c r="W918" s="33" t="n"/>
      <c r="X918" s="33" t="n"/>
      <c r="Y918" s="33" t="n"/>
      <c r="Z918" s="33" t="n"/>
      <c r="AA918" s="4">
        <f>R918-G918</f>
        <v/>
      </c>
      <c r="AB918" s="4">
        <f>G918-R918</f>
        <v/>
      </c>
      <c r="AC918" s="33" t="n"/>
    </row>
    <row r="919" ht="37.5" customHeight="1">
      <c r="A919" s="35">
        <f>SUBTOTAL(103,$B$24:B919)</f>
        <v/>
      </c>
      <c r="B919" s="36" t="inlineStr">
        <is>
          <t>Вітрина кондитерська MALAGA13 (C-13PN-W)</t>
        </is>
      </c>
      <c r="C919" s="37" t="inlineStr">
        <is>
          <t>к-т</t>
        </is>
      </c>
      <c r="D919" s="33" t="n"/>
      <c r="E919" s="33" t="n"/>
      <c r="F919" s="33">
        <f>E919*0.05</f>
        <v/>
      </c>
      <c r="G919" s="33">
        <f>E919+F919</f>
        <v/>
      </c>
      <c r="H919" s="33" t="n"/>
      <c r="I919" s="33" t="n"/>
      <c r="J919" s="33" t="n"/>
      <c r="K919" s="33">
        <f>L919+M919+N919</f>
        <v/>
      </c>
      <c r="L919" s="33" t="n"/>
      <c r="M919" s="33" t="n"/>
      <c r="N919" s="33" t="n"/>
      <c r="O919" s="33">
        <f>P919+Q919</f>
        <v/>
      </c>
      <c r="P919" s="33" t="n"/>
      <c r="Q919" s="33" t="n"/>
      <c r="R919" s="33">
        <f>H919+K919-O919</f>
        <v/>
      </c>
      <c r="S919" s="33" t="n"/>
      <c r="T919" s="33" t="n"/>
      <c r="U919" s="33" t="n"/>
      <c r="V919" s="33" t="n"/>
      <c r="W919" s="33" t="n"/>
      <c r="X919" s="33" t="n"/>
      <c r="Y919" s="33" t="n"/>
      <c r="Z919" s="33" t="n"/>
      <c r="AA919" s="4">
        <f>R919-G919</f>
        <v/>
      </c>
      <c r="AB919" s="4">
        <f>G919-R919</f>
        <v/>
      </c>
      <c r="AC919" s="33" t="n"/>
      <c r="MX919" s="74" t="n">
        <v>3</v>
      </c>
    </row>
    <row r="920" ht="18.75" customHeight="1">
      <c r="A920" s="35">
        <f>SUBTOTAL(103,$B$24:B920)</f>
        <v/>
      </c>
      <c r="B920" s="36" t="inlineStr">
        <is>
          <t>Прилавок ПВВ-70К</t>
        </is>
      </c>
      <c r="C920" s="37" t="inlineStr">
        <is>
          <t>к-т</t>
        </is>
      </c>
      <c r="D920" s="33" t="n"/>
      <c r="E920" s="33" t="n"/>
      <c r="F920" s="33">
        <f>E920*0.05</f>
        <v/>
      </c>
      <c r="G920" s="33">
        <f>E920+F920</f>
        <v/>
      </c>
      <c r="H920" s="33" t="n"/>
      <c r="I920" s="33" t="n"/>
      <c r="J920" s="33" t="n"/>
      <c r="K920" s="33">
        <f>L920+M920+N920</f>
        <v/>
      </c>
      <c r="L920" s="33" t="n"/>
      <c r="M920" s="33" t="n"/>
      <c r="N920" s="33" t="n"/>
      <c r="O920" s="33">
        <f>P920+Q920</f>
        <v/>
      </c>
      <c r="P920" s="33" t="n"/>
      <c r="Q920" s="33" t="n"/>
      <c r="R920" s="33">
        <f>H920+K920-O920</f>
        <v/>
      </c>
      <c r="S920" s="33" t="n"/>
      <c r="T920" s="33" t="n"/>
      <c r="U920" s="33" t="n"/>
      <c r="V920" s="33" t="n"/>
      <c r="W920" s="33" t="n"/>
      <c r="X920" s="33" t="n"/>
      <c r="Y920" s="33" t="n"/>
      <c r="Z920" s="33" t="n"/>
      <c r="AA920" s="4">
        <f>R920-G920</f>
        <v/>
      </c>
      <c r="AB920" s="4">
        <f>G920-R920</f>
        <v/>
      </c>
      <c r="AC920" s="33" t="n"/>
      <c r="MX920" s="74" t="n">
        <v>4</v>
      </c>
    </row>
    <row r="921" ht="18.75" customHeight="1">
      <c r="A921" s="35">
        <f>SUBTOTAL(103,$B$24:B921)</f>
        <v/>
      </c>
      <c r="B921" s="36" t="inlineStr">
        <is>
          <t>Прилавок холодильний ПХ</t>
        </is>
      </c>
      <c r="C921" s="37" t="inlineStr">
        <is>
          <t>к-т</t>
        </is>
      </c>
      <c r="D921" s="33" t="n"/>
      <c r="E921" s="33" t="n"/>
      <c r="F921" s="33">
        <f>E921*0.05</f>
        <v/>
      </c>
      <c r="G921" s="33">
        <f>E921+F921</f>
        <v/>
      </c>
      <c r="H921" s="33" t="n"/>
      <c r="I921" s="33" t="n"/>
      <c r="J921" s="33" t="n"/>
      <c r="K921" s="33">
        <f>L921+M921+N921</f>
        <v/>
      </c>
      <c r="L921" s="33" t="n"/>
      <c r="M921" s="33" t="n"/>
      <c r="N921" s="33" t="n"/>
      <c r="O921" s="33">
        <f>P921+Q921</f>
        <v/>
      </c>
      <c r="P921" s="33" t="n"/>
      <c r="Q921" s="33" t="n"/>
      <c r="R921" s="33">
        <f>H921+K921-O921</f>
        <v/>
      </c>
      <c r="S921" s="33" t="n"/>
      <c r="T921" s="33" t="n"/>
      <c r="U921" s="33" t="n"/>
      <c r="V921" s="33" t="n"/>
      <c r="W921" s="33" t="n"/>
      <c r="X921" s="33" t="n"/>
      <c r="Y921" s="33" t="n"/>
      <c r="Z921" s="33" t="n"/>
      <c r="AA921" s="4">
        <f>R921-G921</f>
        <v/>
      </c>
      <c r="AB921" s="4">
        <f>G921-R921</f>
        <v/>
      </c>
      <c r="AC921" s="33" t="n"/>
    </row>
    <row r="922" ht="18.75" customHeight="1">
      <c r="A922" s="35">
        <f>SUBTOTAL(103,$B$24:B922)</f>
        <v/>
      </c>
      <c r="B922" s="36" t="inlineStr">
        <is>
          <t>Прилавок гарячих напоїв ПГН-70К</t>
        </is>
      </c>
      <c r="C922" s="37" t="inlineStr">
        <is>
          <t>к-т</t>
        </is>
      </c>
      <c r="D922" s="33" t="n"/>
      <c r="E922" s="33" t="n"/>
      <c r="F922" s="33">
        <f>E922*0.05</f>
        <v/>
      </c>
      <c r="G922" s="33">
        <f>E922+F922</f>
        <v/>
      </c>
      <c r="H922" s="33" t="n"/>
      <c r="I922" s="33" t="n"/>
      <c r="J922" s="33" t="n"/>
      <c r="K922" s="33">
        <f>L922+M922+N922</f>
        <v/>
      </c>
      <c r="L922" s="33" t="n"/>
      <c r="M922" s="33" t="n"/>
      <c r="N922" s="33" t="n"/>
      <c r="O922" s="33">
        <f>P922+Q922</f>
        <v/>
      </c>
      <c r="P922" s="33" t="n"/>
      <c r="Q922" s="33" t="n"/>
      <c r="R922" s="33">
        <f>H922+K922-O922</f>
        <v/>
      </c>
      <c r="S922" s="33" t="n"/>
      <c r="T922" s="33" t="n"/>
      <c r="U922" s="33" t="n"/>
      <c r="V922" s="33" t="n"/>
      <c r="W922" s="33" t="n"/>
      <c r="X922" s="33" t="n"/>
      <c r="Y922" s="33" t="n"/>
      <c r="Z922" s="33" t="n"/>
      <c r="AA922" s="4">
        <f>R922-G922</f>
        <v/>
      </c>
      <c r="AB922" s="4">
        <f>G922-R922</f>
        <v/>
      </c>
      <c r="AC922" s="33" t="n"/>
    </row>
    <row r="923" ht="37.5" customHeight="1">
      <c r="A923" s="35">
        <f>SUBTOTAL(103,$B$24:B923)</f>
        <v/>
      </c>
      <c r="B923" s="36" t="inlineStr">
        <is>
          <t>Прилавок ПСП-70К для приборів та підносів</t>
        </is>
      </c>
      <c r="C923" s="37" t="inlineStr">
        <is>
          <t>к-т</t>
        </is>
      </c>
      <c r="D923" s="33" t="n"/>
      <c r="E923" s="33" t="n"/>
      <c r="F923" s="33">
        <f>E923*0.05</f>
        <v/>
      </c>
      <c r="G923" s="33">
        <f>E923+F923</f>
        <v/>
      </c>
      <c r="H923" s="33" t="n"/>
      <c r="I923" s="33" t="n"/>
      <c r="J923" s="33" t="n"/>
      <c r="K923" s="33">
        <f>L923+M923+N923</f>
        <v/>
      </c>
      <c r="L923" s="33" t="n"/>
      <c r="M923" s="33" t="n"/>
      <c r="N923" s="33" t="n"/>
      <c r="O923" s="33">
        <f>P923+Q923</f>
        <v/>
      </c>
      <c r="P923" s="33" t="n"/>
      <c r="Q923" s="33" t="n"/>
      <c r="R923" s="33">
        <f>H923+K923-O923</f>
        <v/>
      </c>
      <c r="S923" s="33" t="n"/>
      <c r="T923" s="33" t="n"/>
      <c r="U923" s="33" t="n"/>
      <c r="V923" s="33" t="n"/>
      <c r="W923" s="33" t="n"/>
      <c r="X923" s="33" t="n"/>
      <c r="Y923" s="33" t="n"/>
      <c r="Z923" s="33" t="n"/>
      <c r="AA923" s="4">
        <f>R923-G923</f>
        <v/>
      </c>
      <c r="AB923" s="4">
        <f>G923-R923</f>
        <v/>
      </c>
      <c r="AC923" s="33" t="n"/>
    </row>
    <row r="924" ht="37.5" customHeight="1">
      <c r="A924" s="35">
        <f>SUBTOTAL(103,$B$24:B924)</f>
        <v/>
      </c>
      <c r="B924" s="36" t="inlineStr">
        <is>
          <t>Полка-надставка 2-х рівнева до нейтральної поверхні</t>
        </is>
      </c>
      <c r="C924" s="37" t="inlineStr">
        <is>
          <t>к-т</t>
        </is>
      </c>
      <c r="D924" s="33" t="n"/>
      <c r="E924" s="33" t="n"/>
      <c r="F924" s="33">
        <f>E924*0.05</f>
        <v/>
      </c>
      <c r="G924" s="33">
        <f>E924+F924</f>
        <v/>
      </c>
      <c r="H924" s="33" t="n"/>
      <c r="I924" s="33" t="n"/>
      <c r="J924" s="33" t="n"/>
      <c r="K924" s="33">
        <f>L924+M924+N924</f>
        <v/>
      </c>
      <c r="L924" s="33" t="n"/>
      <c r="M924" s="33" t="n"/>
      <c r="N924" s="33" t="n"/>
      <c r="O924" s="33">
        <f>P924+Q924</f>
        <v/>
      </c>
      <c r="P924" s="33" t="n"/>
      <c r="Q924" s="33" t="n"/>
      <c r="R924" s="33">
        <f>H924+K924-O924</f>
        <v/>
      </c>
      <c r="S924" s="33" t="n"/>
      <c r="T924" s="33" t="n"/>
      <c r="U924" s="33" t="n"/>
      <c r="V924" s="33" t="n"/>
      <c r="W924" s="33" t="n"/>
      <c r="X924" s="33" t="n"/>
      <c r="Y924" s="33" t="n"/>
      <c r="Z924" s="33" t="n"/>
      <c r="AA924" s="4">
        <f>R924-G924</f>
        <v/>
      </c>
      <c r="AB924" s="4">
        <f>G924-R924</f>
        <v/>
      </c>
      <c r="AC924" s="33" t="n"/>
    </row>
    <row r="925" ht="18.75" customHeight="1">
      <c r="A925" s="35">
        <f>SUBTOTAL(103,$B$24:B925)</f>
        <v/>
      </c>
      <c r="B925" s="36" t="inlineStr">
        <is>
          <t>Холодильний комбайн "Samsung"</t>
        </is>
      </c>
      <c r="C925" s="37" t="inlineStr">
        <is>
          <t>к-т</t>
        </is>
      </c>
      <c r="D925" s="33" t="n"/>
      <c r="E925" s="33" t="n"/>
      <c r="F925" s="33">
        <f>E925*0.05</f>
        <v/>
      </c>
      <c r="G925" s="33">
        <f>E925+F925</f>
        <v/>
      </c>
      <c r="H925" s="33" t="n"/>
      <c r="I925" s="33" t="n"/>
      <c r="J925" s="33" t="n"/>
      <c r="K925" s="33">
        <f>L925+M925+N925</f>
        <v/>
      </c>
      <c r="L925" s="33" t="n"/>
      <c r="M925" s="33" t="n"/>
      <c r="N925" s="33" t="n"/>
      <c r="O925" s="33">
        <f>P925+Q925</f>
        <v/>
      </c>
      <c r="P925" s="33" t="n"/>
      <c r="Q925" s="33" t="n"/>
      <c r="R925" s="33">
        <f>H925+K925-O925</f>
        <v/>
      </c>
      <c r="S925" s="33" t="n"/>
      <c r="T925" s="33" t="n"/>
      <c r="U925" s="33" t="n"/>
      <c r="V925" s="33" t="n"/>
      <c r="W925" s="33" t="n"/>
      <c r="X925" s="33" t="n"/>
      <c r="Y925" s="33" t="n"/>
      <c r="Z925" s="33" t="n"/>
      <c r="AA925" s="4">
        <f>R925-G925</f>
        <v/>
      </c>
      <c r="AB925" s="4">
        <f>G925-R925</f>
        <v/>
      </c>
      <c r="AC925" s="33" t="n"/>
    </row>
    <row r="926" ht="18.75" customHeight="1">
      <c r="A926" s="35">
        <f>SUBTOTAL(103,$B$24:B926)</f>
        <v/>
      </c>
      <c r="B926" s="36" t="inlineStr">
        <is>
          <t>Холодильник-сейф National</t>
        </is>
      </c>
      <c r="C926" s="37" t="inlineStr">
        <is>
          <t>к-т</t>
        </is>
      </c>
      <c r="D926" s="33" t="n"/>
      <c r="E926" s="33" t="n"/>
      <c r="F926" s="33">
        <f>E926*0.05</f>
        <v/>
      </c>
      <c r="G926" s="33">
        <f>E926+F926</f>
        <v/>
      </c>
      <c r="H926" s="33" t="n"/>
      <c r="I926" s="33" t="n"/>
      <c r="J926" s="33" t="n"/>
      <c r="K926" s="33">
        <f>L926+M926+N926</f>
        <v/>
      </c>
      <c r="L926" s="33" t="n"/>
      <c r="M926" s="33" t="n"/>
      <c r="N926" s="33" t="n"/>
      <c r="O926" s="33">
        <f>P926+Q926</f>
        <v/>
      </c>
      <c r="P926" s="33" t="n"/>
      <c r="Q926" s="33" t="n"/>
      <c r="R926" s="33">
        <f>H926+K926-O926</f>
        <v/>
      </c>
      <c r="S926" s="33" t="n"/>
      <c r="T926" s="33" t="n"/>
      <c r="U926" s="33" t="n"/>
      <c r="V926" s="33" t="n"/>
      <c r="W926" s="33" t="n"/>
      <c r="X926" s="33" t="n"/>
      <c r="Y926" s="33" t="n"/>
      <c r="Z926" s="33" t="n"/>
      <c r="AA926" s="4">
        <f>R926-G926</f>
        <v/>
      </c>
      <c r="AB926" s="4">
        <f>G926-R926</f>
        <v/>
      </c>
      <c r="AC926" s="33" t="n"/>
    </row>
    <row r="927" ht="18.75" customHeight="1">
      <c r="A927" s="35">
        <f>SUBTOTAL(103,$B$24:B927)</f>
        <v/>
      </c>
      <c r="B927" s="36" t="inlineStr">
        <is>
          <t>Холодильник компресорний Alpicool</t>
        </is>
      </c>
      <c r="C927" s="37" t="inlineStr">
        <is>
          <t>к-т</t>
        </is>
      </c>
      <c r="D927" s="33" t="n"/>
      <c r="E927" s="33" t="n"/>
      <c r="F927" s="33">
        <f>E927*0.05</f>
        <v/>
      </c>
      <c r="G927" s="33">
        <f>E927+F927</f>
        <v/>
      </c>
      <c r="H927" s="33" t="n"/>
      <c r="I927" s="33" t="n"/>
      <c r="J927" s="33" t="n"/>
      <c r="K927" s="33">
        <f>L927+M927+N927</f>
        <v/>
      </c>
      <c r="L927" s="33" t="n"/>
      <c r="M927" s="33" t="n"/>
      <c r="N927" s="33" t="n"/>
      <c r="O927" s="33">
        <f>P927+Q927</f>
        <v/>
      </c>
      <c r="P927" s="33" t="n"/>
      <c r="Q927" s="33" t="n"/>
      <c r="R927" s="33">
        <f>H927+K927-O927</f>
        <v/>
      </c>
      <c r="S927" s="33" t="n"/>
      <c r="T927" s="33" t="n"/>
      <c r="U927" s="33" t="n"/>
      <c r="V927" s="33" t="n"/>
      <c r="W927" s="33" t="n"/>
      <c r="X927" s="33" t="n"/>
      <c r="Y927" s="33" t="n"/>
      <c r="Z927" s="33" t="n"/>
      <c r="AA927" s="4">
        <f>R927-G927</f>
        <v/>
      </c>
      <c r="AB927" s="4">
        <f>G927-R927</f>
        <v/>
      </c>
      <c r="AC927" s="33" t="n"/>
    </row>
    <row r="928" ht="18.75" customHeight="1">
      <c r="A928" s="35">
        <f>SUBTOTAL(103,$B$24:B928)</f>
        <v/>
      </c>
      <c r="B928" s="36" t="inlineStr">
        <is>
          <t>Холодильник туристичний Malatec</t>
        </is>
      </c>
      <c r="C928" s="37" t="inlineStr">
        <is>
          <t>к-т</t>
        </is>
      </c>
      <c r="D928" s="33" t="n"/>
      <c r="E928" s="33" t="n"/>
      <c r="F928" s="33">
        <f>E928*0.05</f>
        <v/>
      </c>
      <c r="G928" s="33">
        <f>E928+F928</f>
        <v/>
      </c>
      <c r="H928" s="33" t="n"/>
      <c r="I928" s="33" t="n"/>
      <c r="J928" s="33" t="n"/>
      <c r="K928" s="33">
        <f>L928+M928+N928</f>
        <v/>
      </c>
      <c r="L928" s="33" t="n"/>
      <c r="M928" s="33" t="n"/>
      <c r="N928" s="33" t="n"/>
      <c r="O928" s="33">
        <f>P928+Q928</f>
        <v/>
      </c>
      <c r="P928" s="33" t="n"/>
      <c r="Q928" s="33" t="n"/>
      <c r="R928" s="33">
        <f>H928+K928-O928</f>
        <v/>
      </c>
      <c r="S928" s="33" t="n"/>
      <c r="T928" s="33" t="n"/>
      <c r="U928" s="33" t="n"/>
      <c r="V928" s="33" t="n"/>
      <c r="W928" s="33" t="n"/>
      <c r="X928" s="33" t="n"/>
      <c r="Y928" s="33" t="n"/>
      <c r="Z928" s="33" t="n"/>
      <c r="AA928" s="4">
        <f>R928-G928</f>
        <v/>
      </c>
      <c r="AB928" s="4">
        <f>G928-R928</f>
        <v/>
      </c>
      <c r="AC928" s="33" t="n"/>
    </row>
    <row r="929" ht="18.75" customHeight="1">
      <c r="A929" s="35">
        <f>SUBTOTAL(103,$B$24:B929)</f>
        <v/>
      </c>
      <c r="B929" s="36" t="inlineStr">
        <is>
          <t>Ручка для холодильника</t>
        </is>
      </c>
      <c r="C929" s="37" t="inlineStr">
        <is>
          <t>к-т</t>
        </is>
      </c>
      <c r="D929" s="33" t="n"/>
      <c r="E929" s="33" t="n"/>
      <c r="F929" s="33">
        <f>E929*0.05</f>
        <v/>
      </c>
      <c r="G929" s="33">
        <f>E929+F929</f>
        <v/>
      </c>
      <c r="H929" s="33" t="n"/>
      <c r="I929" s="33" t="n"/>
      <c r="J929" s="33" t="n"/>
      <c r="K929" s="33">
        <f>L929+M929+N929</f>
        <v/>
      </c>
      <c r="L929" s="33" t="n"/>
      <c r="M929" s="33" t="n"/>
      <c r="N929" s="33" t="n"/>
      <c r="O929" s="33">
        <f>P929+Q929</f>
        <v/>
      </c>
      <c r="P929" s="33" t="n"/>
      <c r="Q929" s="33" t="n"/>
      <c r="R929" s="33">
        <f>H929+K929-O929</f>
        <v/>
      </c>
      <c r="S929" s="33" t="n"/>
      <c r="T929" s="33" t="n"/>
      <c r="U929" s="33" t="n"/>
      <c r="V929" s="33" t="n"/>
      <c r="W929" s="33" t="n"/>
      <c r="X929" s="33" t="n"/>
      <c r="Y929" s="33" t="n"/>
      <c r="Z929" s="33" t="n"/>
      <c r="AA929" s="4">
        <f>R929-G929</f>
        <v/>
      </c>
      <c r="AB929" s="4">
        <f>G929-R929</f>
        <v/>
      </c>
      <c r="AC929" s="33" t="n"/>
    </row>
    <row r="930" ht="18.75" customHeight="1">
      <c r="A930" s="35">
        <f>SUBTOTAL(103,$B$24:B930)</f>
        <v/>
      </c>
      <c r="B930" s="36" t="inlineStr">
        <is>
          <t xml:space="preserve">Холодильники інші </t>
        </is>
      </c>
      <c r="C930" s="37" t="inlineStr">
        <is>
          <t>к-т</t>
        </is>
      </c>
      <c r="D930" s="33" t="n"/>
      <c r="E930" s="33" t="n"/>
      <c r="F930" s="33">
        <f>E930*0.05</f>
        <v/>
      </c>
      <c r="G930" s="33">
        <f>E930+F930</f>
        <v/>
      </c>
      <c r="H930" s="33" t="n"/>
      <c r="I930" s="33" t="n"/>
      <c r="J930" s="33" t="n"/>
      <c r="K930" s="33">
        <f>L930+M930+N930</f>
        <v/>
      </c>
      <c r="L930" s="33" t="n"/>
      <c r="M930" s="33" t="n"/>
      <c r="N930" s="33" t="n"/>
      <c r="O930" s="33">
        <f>P930+Q930</f>
        <v/>
      </c>
      <c r="P930" s="33" t="n"/>
      <c r="Q930" s="33" t="n"/>
      <c r="R930" s="33">
        <f>H930+K930-O930</f>
        <v/>
      </c>
      <c r="S930" s="33" t="n"/>
      <c r="T930" s="33" t="n"/>
      <c r="U930" s="33" t="n"/>
      <c r="V930" s="33" t="n"/>
      <c r="W930" s="33" t="n"/>
      <c r="X930" s="33" t="n"/>
      <c r="Y930" s="33" t="n"/>
      <c r="Z930" s="33" t="n"/>
      <c r="AA930" s="4">
        <f>R930-G930</f>
        <v/>
      </c>
      <c r="AB930" s="4">
        <f>G930-R930</f>
        <v/>
      </c>
      <c r="AC930" s="33" t="n"/>
    </row>
    <row r="931" ht="18.75" customHeight="1">
      <c r="A931" s="35">
        <f>SUBTOTAL(103,$B$24:B931)</f>
        <v/>
      </c>
      <c r="B931" s="39" t="inlineStr">
        <is>
          <t>МОРОЗИЛЬНІ КАМЕРИ (СКРИНІ)</t>
        </is>
      </c>
      <c r="C931" s="37" t="n"/>
      <c r="D931" s="33" t="n"/>
      <c r="E931" s="33" t="n"/>
      <c r="F931" s="33">
        <f>E931*0.05</f>
        <v/>
      </c>
      <c r="G931" s="33">
        <f>E931+F931</f>
        <v/>
      </c>
      <c r="H931" s="33" t="n"/>
      <c r="I931" s="33" t="n"/>
      <c r="J931" s="33" t="n"/>
      <c r="K931" s="33">
        <f>L931+M931+N931</f>
        <v/>
      </c>
      <c r="L931" s="33" t="n"/>
      <c r="M931" s="33" t="n"/>
      <c r="N931" s="33" t="n"/>
      <c r="O931" s="33">
        <f>P931+Q931</f>
        <v/>
      </c>
      <c r="P931" s="33" t="n"/>
      <c r="Q931" s="33" t="n"/>
      <c r="R931" s="33">
        <f>H931+K931-O931</f>
        <v/>
      </c>
      <c r="S931" s="33" t="n"/>
      <c r="T931" s="33" t="n"/>
      <c r="U931" s="33" t="n"/>
      <c r="V931" s="33" t="n"/>
      <c r="W931" s="33" t="n"/>
      <c r="X931" s="33" t="n"/>
      <c r="Y931" s="33" t="n"/>
      <c r="Z931" s="33" t="n"/>
      <c r="AA931" s="4">
        <f>R931-G931</f>
        <v/>
      </c>
      <c r="AB931" s="4">
        <f>G931-R931</f>
        <v/>
      </c>
      <c r="AC931" s="33" t="n"/>
    </row>
    <row r="932" ht="18.75" customHeight="1">
      <c r="A932" s="35">
        <f>SUBTOTAL(103,$B$24:B932)</f>
        <v/>
      </c>
      <c r="B932" s="36" t="inlineStr">
        <is>
          <t>Морозильна камера "Снайге"</t>
        </is>
      </c>
      <c r="C932" s="37" t="inlineStr">
        <is>
          <t>к-т</t>
        </is>
      </c>
      <c r="D932" s="33" t="n"/>
      <c r="E932" s="33" t="n"/>
      <c r="F932" s="33">
        <f>E932*0.05</f>
        <v/>
      </c>
      <c r="G932" s="33">
        <f>E932+F932</f>
        <v/>
      </c>
      <c r="H932" s="33" t="n"/>
      <c r="I932" s="33" t="n"/>
      <c r="J932" s="33" t="n"/>
      <c r="K932" s="33">
        <f>L932+M932+N932</f>
        <v/>
      </c>
      <c r="L932" s="33" t="n"/>
      <c r="M932" s="33" t="n"/>
      <c r="N932" s="33" t="n"/>
      <c r="O932" s="33">
        <f>P932+Q932</f>
        <v/>
      </c>
      <c r="P932" s="33" t="n"/>
      <c r="Q932" s="33" t="n"/>
      <c r="R932" s="33">
        <f>H932+K932-O932</f>
        <v/>
      </c>
      <c r="S932" s="33" t="n"/>
      <c r="T932" s="33" t="n"/>
      <c r="U932" s="33" t="n"/>
      <c r="V932" s="33" t="n"/>
      <c r="W932" s="33" t="n"/>
      <c r="X932" s="33" t="n"/>
      <c r="Y932" s="33" t="n"/>
      <c r="Z932" s="33" t="n"/>
      <c r="AA932" s="4">
        <f>R932-G932</f>
        <v/>
      </c>
      <c r="AB932" s="4">
        <f>G932-R932</f>
        <v/>
      </c>
      <c r="AC932" s="33" t="n"/>
    </row>
    <row r="933" ht="18.75" customHeight="1">
      <c r="A933" s="35">
        <f>SUBTOTAL(103,$B$24:B933)</f>
        <v/>
      </c>
      <c r="B933" s="36" t="inlineStr">
        <is>
          <t>Морозильна камера "ГОРЕНІЕ"</t>
        </is>
      </c>
      <c r="C933" s="37" t="inlineStr">
        <is>
          <t>к-т</t>
        </is>
      </c>
      <c r="D933" s="33" t="n"/>
      <c r="E933" s="33" t="n"/>
      <c r="F933" s="33">
        <f>E933*0.05</f>
        <v/>
      </c>
      <c r="G933" s="33">
        <f>E933+F933</f>
        <v/>
      </c>
      <c r="H933" s="33" t="n"/>
      <c r="I933" s="33" t="n"/>
      <c r="J933" s="33" t="n"/>
      <c r="K933" s="33">
        <f>L933+M933+N933</f>
        <v/>
      </c>
      <c r="L933" s="33" t="n"/>
      <c r="M933" s="33" t="n"/>
      <c r="N933" s="33" t="n"/>
      <c r="O933" s="33">
        <f>P933+Q933</f>
        <v/>
      </c>
      <c r="P933" s="33" t="n"/>
      <c r="Q933" s="33" t="n"/>
      <c r="R933" s="33">
        <f>H933+K933-O933</f>
        <v/>
      </c>
      <c r="S933" s="33" t="n"/>
      <c r="T933" s="33" t="n"/>
      <c r="U933" s="33" t="n"/>
      <c r="V933" s="33" t="n"/>
      <c r="W933" s="33" t="n"/>
      <c r="X933" s="33" t="n"/>
      <c r="Y933" s="33" t="n"/>
      <c r="Z933" s="33" t="n"/>
      <c r="AA933" s="4">
        <f>R933-G933</f>
        <v/>
      </c>
      <c r="AB933" s="4">
        <f>G933-R933</f>
        <v/>
      </c>
      <c r="AC933" s="33" t="n"/>
    </row>
    <row r="934" ht="18.75" customHeight="1">
      <c r="A934" s="35">
        <f>SUBTOTAL(103,$B$24:B934)</f>
        <v/>
      </c>
      <c r="B934" s="36" t="inlineStr">
        <is>
          <t>Морозильна камера "АРДО"</t>
        </is>
      </c>
      <c r="C934" s="37" t="inlineStr">
        <is>
          <t>к-т</t>
        </is>
      </c>
      <c r="D934" s="33" t="n"/>
      <c r="E934" s="33" t="n"/>
      <c r="F934" s="33">
        <f>E934*0.05</f>
        <v/>
      </c>
      <c r="G934" s="33">
        <f>E934+F934</f>
        <v/>
      </c>
      <c r="H934" s="33" t="n"/>
      <c r="I934" s="33" t="n"/>
      <c r="J934" s="33" t="n"/>
      <c r="K934" s="33">
        <f>L934+M934+N934</f>
        <v/>
      </c>
      <c r="L934" s="33" t="n"/>
      <c r="M934" s="33" t="n"/>
      <c r="N934" s="33" t="n"/>
      <c r="O934" s="33">
        <f>P934+Q934</f>
        <v/>
      </c>
      <c r="P934" s="33" t="n"/>
      <c r="Q934" s="33" t="n"/>
      <c r="R934" s="33">
        <f>H934+K934-O934</f>
        <v/>
      </c>
      <c r="S934" s="33" t="n"/>
      <c r="T934" s="33" t="n"/>
      <c r="U934" s="33" t="n"/>
      <c r="V934" s="33" t="n"/>
      <c r="W934" s="33" t="n"/>
      <c r="X934" s="33" t="n"/>
      <c r="Y934" s="33" t="n"/>
      <c r="Z934" s="33" t="n"/>
      <c r="AA934" s="4">
        <f>R934-G934</f>
        <v/>
      </c>
      <c r="AB934" s="4">
        <f>G934-R934</f>
        <v/>
      </c>
      <c r="AC934" s="33" t="n"/>
    </row>
    <row r="935" ht="18.75" customHeight="1">
      <c r="A935" s="35">
        <f>SUBTOTAL(103,$B$24:B935)</f>
        <v/>
      </c>
      <c r="B935" s="36" t="inlineStr">
        <is>
          <t>Морозильна камера "Мінськ"</t>
        </is>
      </c>
      <c r="C935" s="37" t="inlineStr">
        <is>
          <t>к-т</t>
        </is>
      </c>
      <c r="D935" s="33" t="n"/>
      <c r="E935" s="33" t="n"/>
      <c r="F935" s="33">
        <f>E935*0.05</f>
        <v/>
      </c>
      <c r="G935" s="33">
        <f>E935+F935</f>
        <v/>
      </c>
      <c r="H935" s="33" t="n"/>
      <c r="I935" s="33" t="n"/>
      <c r="J935" s="33" t="n"/>
      <c r="K935" s="33">
        <f>L935+M935+N935</f>
        <v/>
      </c>
      <c r="L935" s="33" t="n"/>
      <c r="M935" s="33" t="n"/>
      <c r="N935" s="33" t="n"/>
      <c r="O935" s="33">
        <f>P935+Q935</f>
        <v/>
      </c>
      <c r="P935" s="33" t="n"/>
      <c r="Q935" s="33" t="n"/>
      <c r="R935" s="33">
        <f>H935+K935-O935</f>
        <v/>
      </c>
      <c r="S935" s="33" t="n"/>
      <c r="T935" s="33" t="n"/>
      <c r="U935" s="33" t="n"/>
      <c r="V935" s="33" t="n"/>
      <c r="W935" s="33" t="n"/>
      <c r="X935" s="33" t="n"/>
      <c r="Y935" s="33" t="n"/>
      <c r="Z935" s="33" t="n"/>
      <c r="AA935" s="4">
        <f>R935-G935</f>
        <v/>
      </c>
      <c r="AB935" s="4">
        <f>G935-R935</f>
        <v/>
      </c>
      <c r="AC935" s="33" t="n"/>
    </row>
    <row r="936" ht="18.75" customHeight="1">
      <c r="A936" s="35">
        <f>SUBTOTAL(103,$B$24:B936)</f>
        <v/>
      </c>
      <c r="B936" s="36" t="inlineStr">
        <is>
          <t>Морозильна камера "Норд-155"</t>
        </is>
      </c>
      <c r="C936" s="37" t="inlineStr">
        <is>
          <t>к-т</t>
        </is>
      </c>
      <c r="D936" s="33" t="n"/>
      <c r="E936" s="33" t="n"/>
      <c r="F936" s="33">
        <f>E936*0.05</f>
        <v/>
      </c>
      <c r="G936" s="33">
        <f>E936+F936</f>
        <v/>
      </c>
      <c r="H936" s="33" t="n"/>
      <c r="I936" s="33" t="n"/>
      <c r="J936" s="33" t="n"/>
      <c r="K936" s="33">
        <f>L936+M936+N936</f>
        <v/>
      </c>
      <c r="L936" s="33" t="n"/>
      <c r="M936" s="33" t="n"/>
      <c r="N936" s="33" t="n"/>
      <c r="O936" s="33">
        <f>P936+Q936</f>
        <v/>
      </c>
      <c r="P936" s="33" t="n"/>
      <c r="Q936" s="33" t="n"/>
      <c r="R936" s="33">
        <f>H936+K936-O936</f>
        <v/>
      </c>
      <c r="S936" s="33" t="n"/>
      <c r="T936" s="33" t="n"/>
      <c r="U936" s="33" t="n"/>
      <c r="V936" s="33" t="n"/>
      <c r="W936" s="33" t="n"/>
      <c r="X936" s="33" t="n"/>
      <c r="Y936" s="33" t="n"/>
      <c r="Z936" s="33" t="n"/>
      <c r="AA936" s="4">
        <f>R936-G936</f>
        <v/>
      </c>
      <c r="AB936" s="4">
        <f>G936-R936</f>
        <v/>
      </c>
      <c r="AC936" s="33" t="n"/>
    </row>
    <row r="937" ht="18.75" customHeight="1">
      <c r="A937" s="35">
        <f>SUBTOTAL(103,$B$24:B937)</f>
        <v/>
      </c>
      <c r="B937" s="36" t="inlineStr">
        <is>
          <t>Морозильна камера "СЕГ"</t>
        </is>
      </c>
      <c r="C937" s="37" t="inlineStr">
        <is>
          <t>к-т</t>
        </is>
      </c>
      <c r="D937" s="33" t="n"/>
      <c r="E937" s="33" t="n"/>
      <c r="F937" s="33">
        <f>E937*0.05</f>
        <v/>
      </c>
      <c r="G937" s="33">
        <f>E937+F937</f>
        <v/>
      </c>
      <c r="H937" s="33" t="n"/>
      <c r="I937" s="33" t="n"/>
      <c r="J937" s="33" t="n"/>
      <c r="K937" s="33">
        <f>L937+M937+N937</f>
        <v/>
      </c>
      <c r="L937" s="33" t="n"/>
      <c r="M937" s="33" t="n"/>
      <c r="N937" s="33" t="n"/>
      <c r="O937" s="33">
        <f>P937+Q937</f>
        <v/>
      </c>
      <c r="P937" s="33" t="n"/>
      <c r="Q937" s="33" t="n"/>
      <c r="R937" s="33">
        <f>H937+K937-O937</f>
        <v/>
      </c>
      <c r="S937" s="33" t="n"/>
      <c r="T937" s="33" t="n"/>
      <c r="U937" s="33" t="n"/>
      <c r="V937" s="33" t="n"/>
      <c r="W937" s="33" t="n"/>
      <c r="X937" s="33" t="n"/>
      <c r="Y937" s="33" t="n"/>
      <c r="Z937" s="33" t="n"/>
      <c r="AA937" s="4">
        <f>R937-G937</f>
        <v/>
      </c>
      <c r="AB937" s="4">
        <f>G937-R937</f>
        <v/>
      </c>
      <c r="AC937" s="33" t="n"/>
    </row>
    <row r="938" ht="37.5" customHeight="1">
      <c r="A938" s="35">
        <f>SUBTOTAL(103,$B$24:B938)</f>
        <v/>
      </c>
      <c r="B938" s="36" t="inlineStr">
        <is>
          <t>Морозильна камера "GORENJEPH 9511W"</t>
        </is>
      </c>
      <c r="C938" s="37" t="inlineStr">
        <is>
          <t>к-т</t>
        </is>
      </c>
      <c r="D938" s="33" t="n"/>
      <c r="E938" s="33" t="n"/>
      <c r="F938" s="33">
        <f>E938*0.05</f>
        <v/>
      </c>
      <c r="G938" s="33">
        <f>E938+F938</f>
        <v/>
      </c>
      <c r="H938" s="33" t="n"/>
      <c r="I938" s="33" t="n"/>
      <c r="J938" s="33" t="n"/>
      <c r="K938" s="33">
        <f>L938+M938+N938</f>
        <v/>
      </c>
      <c r="L938" s="33" t="n"/>
      <c r="M938" s="33" t="n"/>
      <c r="N938" s="33" t="n"/>
      <c r="O938" s="33">
        <f>P938+Q938</f>
        <v/>
      </c>
      <c r="P938" s="33" t="n"/>
      <c r="Q938" s="33" t="n"/>
      <c r="R938" s="33">
        <f>H938+K938-O938</f>
        <v/>
      </c>
      <c r="S938" s="33" t="n"/>
      <c r="T938" s="33" t="n"/>
      <c r="U938" s="33" t="n"/>
      <c r="V938" s="33" t="n"/>
      <c r="W938" s="33" t="n"/>
      <c r="X938" s="33" t="n"/>
      <c r="Y938" s="33" t="n"/>
      <c r="Z938" s="33" t="n"/>
      <c r="AA938" s="4">
        <f>R938-G938</f>
        <v/>
      </c>
      <c r="AB938" s="4">
        <f>G938-R938</f>
        <v/>
      </c>
      <c r="AC938" s="33" t="n"/>
    </row>
    <row r="939" ht="18.75" customHeight="1">
      <c r="A939" s="35">
        <f>SUBTOTAL(103,$B$24:B939)</f>
        <v/>
      </c>
      <c r="B939" s="36" t="inlineStr">
        <is>
          <t>Морозильна камера BEKO HAS4750F</t>
        </is>
      </c>
      <c r="C939" s="37" t="inlineStr">
        <is>
          <t>к-т</t>
        </is>
      </c>
      <c r="D939" s="33" t="n"/>
      <c r="E939" s="33" t="n"/>
      <c r="F939" s="33">
        <f>E939*0.05</f>
        <v/>
      </c>
      <c r="G939" s="33">
        <f>E939+F939</f>
        <v/>
      </c>
      <c r="H939" s="33" t="n"/>
      <c r="I939" s="33" t="n"/>
      <c r="J939" s="33" t="n"/>
      <c r="K939" s="33">
        <f>L939+M939+N939</f>
        <v/>
      </c>
      <c r="L939" s="33" t="n"/>
      <c r="M939" s="33" t="n"/>
      <c r="N939" s="33" t="n"/>
      <c r="O939" s="33">
        <f>P939+Q939</f>
        <v/>
      </c>
      <c r="P939" s="33" t="n"/>
      <c r="Q939" s="33" t="n"/>
      <c r="R939" s="33">
        <f>H939+K939-O939</f>
        <v/>
      </c>
      <c r="S939" s="33" t="n"/>
      <c r="T939" s="33" t="n"/>
      <c r="U939" s="33" t="n"/>
      <c r="V939" s="33" t="n"/>
      <c r="W939" s="33" t="n"/>
      <c r="X939" s="33" t="n"/>
      <c r="Y939" s="33" t="n"/>
      <c r="Z939" s="33" t="n"/>
      <c r="AA939" s="4">
        <f>R939-G939</f>
        <v/>
      </c>
      <c r="AB939" s="4">
        <f>G939-R939</f>
        <v/>
      </c>
      <c r="AC939" s="33" t="n"/>
    </row>
    <row r="940" ht="18.75" customHeight="1">
      <c r="A940" s="35">
        <f>SUBTOTAL(103,$B$24:B940)</f>
        <v/>
      </c>
      <c r="B940" s="36" t="inlineStr">
        <is>
          <t>Морозильник "ALPARIFY"</t>
        </is>
      </c>
      <c r="C940" s="37" t="inlineStr">
        <is>
          <t>к-т</t>
        </is>
      </c>
      <c r="D940" s="33" t="n"/>
      <c r="E940" s="33" t="n"/>
      <c r="F940" s="33">
        <f>E940*0.05</f>
        <v/>
      </c>
      <c r="G940" s="33">
        <f>E940+F940</f>
        <v/>
      </c>
      <c r="H940" s="33" t="n"/>
      <c r="I940" s="33" t="n"/>
      <c r="J940" s="33" t="n"/>
      <c r="K940" s="33">
        <f>L940+M940+N940</f>
        <v/>
      </c>
      <c r="L940" s="33" t="n"/>
      <c r="M940" s="33" t="n"/>
      <c r="N940" s="33" t="n"/>
      <c r="O940" s="33">
        <f>P940+Q940</f>
        <v/>
      </c>
      <c r="P940" s="33" t="n"/>
      <c r="Q940" s="33" t="n"/>
      <c r="R940" s="33">
        <f>H940+K940-O940</f>
        <v/>
      </c>
      <c r="S940" s="33" t="n"/>
      <c r="T940" s="33" t="n"/>
      <c r="U940" s="33" t="n"/>
      <c r="V940" s="33" t="n"/>
      <c r="W940" s="33" t="n"/>
      <c r="X940" s="33" t="n"/>
      <c r="Y940" s="33" t="n"/>
      <c r="Z940" s="33" t="n"/>
      <c r="AA940" s="4">
        <f>R940-G940</f>
        <v/>
      </c>
      <c r="AB940" s="4">
        <f>G940-R940</f>
        <v/>
      </c>
      <c r="AC940" s="33" t="n"/>
    </row>
    <row r="941" ht="18.75" customHeight="1">
      <c r="A941" s="35">
        <f>SUBTOTAL(103,$B$24:B941)</f>
        <v/>
      </c>
      <c r="B941" s="36" t="inlineStr">
        <is>
          <t>Морозильник "CARAVRLL CUF360"</t>
        </is>
      </c>
      <c r="C941" s="37" t="inlineStr">
        <is>
          <t>к-т</t>
        </is>
      </c>
      <c r="D941" s="33" t="n"/>
      <c r="E941" s="33" t="n"/>
      <c r="F941" s="33">
        <f>E941*0.05</f>
        <v/>
      </c>
      <c r="G941" s="33">
        <f>E941+F941</f>
        <v/>
      </c>
      <c r="H941" s="33" t="n"/>
      <c r="I941" s="33" t="n"/>
      <c r="J941" s="33" t="n"/>
      <c r="K941" s="33">
        <f>L941+M941+N941</f>
        <v/>
      </c>
      <c r="L941" s="33" t="n"/>
      <c r="M941" s="33" t="n"/>
      <c r="N941" s="33" t="n"/>
      <c r="O941" s="33">
        <f>P941+Q941</f>
        <v/>
      </c>
      <c r="P941" s="33" t="n"/>
      <c r="Q941" s="33" t="n"/>
      <c r="R941" s="33">
        <f>H941+K941-O941</f>
        <v/>
      </c>
      <c r="S941" s="33" t="n"/>
      <c r="T941" s="33" t="n"/>
      <c r="U941" s="33" t="n"/>
      <c r="V941" s="33" t="n"/>
      <c r="W941" s="33" t="n"/>
      <c r="X941" s="33" t="n"/>
      <c r="Y941" s="33" t="n"/>
      <c r="Z941" s="33" t="n"/>
      <c r="AA941" s="4">
        <f>R941-G941</f>
        <v/>
      </c>
      <c r="AB941" s="4">
        <f>G941-R941</f>
        <v/>
      </c>
      <c r="AC941" s="33" t="n"/>
    </row>
    <row r="942" ht="18.75" customHeight="1">
      <c r="A942" s="35">
        <f>SUBTOTAL(103,$B$24:B942)</f>
        <v/>
      </c>
      <c r="B942" s="36" t="inlineStr">
        <is>
          <t>Морозильник "HELKAMA HPK410"</t>
        </is>
      </c>
      <c r="C942" s="37" t="inlineStr">
        <is>
          <t>к-т</t>
        </is>
      </c>
      <c r="D942" s="33" t="n"/>
      <c r="E942" s="33" t="n"/>
      <c r="F942" s="33">
        <f>E942*0.05</f>
        <v/>
      </c>
      <c r="G942" s="33">
        <f>E942+F942</f>
        <v/>
      </c>
      <c r="H942" s="33" t="n"/>
      <c r="I942" s="33" t="n"/>
      <c r="J942" s="33" t="n"/>
      <c r="K942" s="33">
        <f>L942+M942+N942</f>
        <v/>
      </c>
      <c r="L942" s="33" t="n"/>
      <c r="M942" s="33" t="n"/>
      <c r="N942" s="33" t="n"/>
      <c r="O942" s="33">
        <f>P942+Q942</f>
        <v/>
      </c>
      <c r="P942" s="33" t="n"/>
      <c r="Q942" s="33" t="n"/>
      <c r="R942" s="33">
        <f>H942+K942-O942</f>
        <v/>
      </c>
      <c r="S942" s="33" t="n"/>
      <c r="T942" s="33" t="n"/>
      <c r="U942" s="33" t="n"/>
      <c r="V942" s="33" t="n"/>
      <c r="W942" s="33" t="n"/>
      <c r="X942" s="33" t="n"/>
      <c r="Y942" s="33" t="n"/>
      <c r="Z942" s="33" t="n"/>
      <c r="AA942" s="4">
        <f>R942-G942</f>
        <v/>
      </c>
      <c r="AB942" s="4">
        <f>G942-R942</f>
        <v/>
      </c>
      <c r="AC942" s="33" t="n"/>
    </row>
    <row r="943" ht="18.75" customHeight="1">
      <c r="A943" s="35">
        <f>SUBTOTAL(103,$B$24:B943)</f>
        <v/>
      </c>
      <c r="B943" s="40" t="inlineStr">
        <is>
          <t>Морозильна камера,ТЕРМ СТФ-80</t>
        </is>
      </c>
      <c r="C943" s="37" t="inlineStr">
        <is>
          <t>к-т</t>
        </is>
      </c>
      <c r="D943" s="33" t="n"/>
      <c r="E943" s="33" t="n"/>
      <c r="F943" s="33">
        <f>E943*0.05</f>
        <v/>
      </c>
      <c r="G943" s="33">
        <f>E943+F943</f>
        <v/>
      </c>
      <c r="H943" s="33" t="n"/>
      <c r="I943" s="33" t="n"/>
      <c r="J943" s="33" t="n"/>
      <c r="K943" s="33">
        <f>L943+M943+N943</f>
        <v/>
      </c>
      <c r="L943" s="33" t="n"/>
      <c r="M943" s="33" t="n"/>
      <c r="N943" s="33" t="n"/>
      <c r="O943" s="33">
        <f>P943+Q943</f>
        <v/>
      </c>
      <c r="P943" s="33" t="n"/>
      <c r="Q943" s="33" t="n"/>
      <c r="R943" s="33">
        <f>H943+K943-O943</f>
        <v/>
      </c>
      <c r="S943" s="33" t="n"/>
      <c r="T943" s="33" t="n"/>
      <c r="U943" s="33" t="n"/>
      <c r="V943" s="33" t="n"/>
      <c r="W943" s="33" t="n"/>
      <c r="X943" s="33" t="n"/>
      <c r="Y943" s="33" t="n"/>
      <c r="Z943" s="33" t="n"/>
      <c r="AA943" s="4">
        <f>R943-G943</f>
        <v/>
      </c>
      <c r="AB943" s="4">
        <f>G943-R943</f>
        <v/>
      </c>
      <c r="AC943" s="33" t="n"/>
    </row>
    <row r="944" ht="18.75" customHeight="1">
      <c r="A944" s="35">
        <f>SUBTOTAL(103,$B$24:B944)</f>
        <v/>
      </c>
      <c r="B944" s="36" t="inlineStr">
        <is>
          <t>Морозильна камера,ТЕРМ СТФ-100</t>
        </is>
      </c>
      <c r="C944" s="37" t="inlineStr">
        <is>
          <t>к-т</t>
        </is>
      </c>
      <c r="D944" s="33" t="n"/>
      <c r="E944" s="33" t="n"/>
      <c r="F944" s="33">
        <f>E944*0.05</f>
        <v/>
      </c>
      <c r="G944" s="33">
        <f>E944+F944</f>
        <v/>
      </c>
      <c r="H944" s="33" t="n"/>
      <c r="I944" s="33" t="n"/>
      <c r="J944" s="33" t="n"/>
      <c r="K944" s="33">
        <f>L944+M944+N944</f>
        <v/>
      </c>
      <c r="L944" s="33" t="n"/>
      <c r="M944" s="33" t="n"/>
      <c r="N944" s="33" t="n"/>
      <c r="O944" s="33">
        <f>P944+Q944</f>
        <v/>
      </c>
      <c r="P944" s="33" t="n"/>
      <c r="Q944" s="33" t="n"/>
      <c r="R944" s="33">
        <f>H944+K944-O944</f>
        <v/>
      </c>
      <c r="S944" s="33" t="n"/>
      <c r="T944" s="33" t="n"/>
      <c r="U944" s="33" t="n"/>
      <c r="V944" s="33" t="n"/>
      <c r="W944" s="33" t="n"/>
      <c r="X944" s="33" t="n"/>
      <c r="Y944" s="33" t="n"/>
      <c r="Z944" s="33" t="n"/>
      <c r="AA944" s="4">
        <f>R944-G944</f>
        <v/>
      </c>
      <c r="AB944" s="4">
        <f>G944-R944</f>
        <v/>
      </c>
      <c r="AC944" s="33" t="n"/>
    </row>
    <row r="945" ht="18.75" customHeight="1">
      <c r="A945" s="35">
        <f>SUBTOTAL(103,$B$24:B945)</f>
        <v/>
      </c>
      <c r="B945" s="36" t="inlineStr">
        <is>
          <t>Морозильна камера інші</t>
        </is>
      </c>
      <c r="C945" s="37" t="inlineStr">
        <is>
          <t>к-т</t>
        </is>
      </c>
      <c r="D945" s="33" t="n"/>
      <c r="E945" s="33" t="n"/>
      <c r="F945" s="33">
        <f>E945*0.05</f>
        <v/>
      </c>
      <c r="G945" s="33">
        <f>E945+F945</f>
        <v/>
      </c>
      <c r="H945" s="33" t="n"/>
      <c r="I945" s="33" t="n"/>
      <c r="J945" s="33" t="n"/>
      <c r="K945" s="33">
        <f>L945+M945+N945</f>
        <v/>
      </c>
      <c r="L945" s="33" t="n"/>
      <c r="M945" s="33" t="n"/>
      <c r="N945" s="33" t="n"/>
      <c r="O945" s="33">
        <f>P945+Q945</f>
        <v/>
      </c>
      <c r="P945" s="33" t="n"/>
      <c r="Q945" s="33" t="n"/>
      <c r="R945" s="33">
        <f>H945+K945-O945</f>
        <v/>
      </c>
      <c r="S945" s="33" t="n"/>
      <c r="T945" s="33" t="n"/>
      <c r="U945" s="33" t="n"/>
      <c r="V945" s="33" t="n"/>
      <c r="W945" s="33" t="n"/>
      <c r="X945" s="33" t="n"/>
      <c r="Y945" s="33" t="n"/>
      <c r="Z945" s="33" t="n"/>
      <c r="AA945" s="4">
        <f>R945-G945</f>
        <v/>
      </c>
      <c r="AB945" s="4">
        <f>G945-R945</f>
        <v/>
      </c>
      <c r="AC945" s="33" t="n"/>
    </row>
    <row r="946" ht="37.5" customHeight="1">
      <c r="A946" s="35">
        <f>SUBTOTAL(103,$B$24:B946)</f>
        <v/>
      </c>
      <c r="B946" s="36" t="inlineStr">
        <is>
          <t>Морозтльна камера (ларь)GORENJE FH451CW</t>
        </is>
      </c>
      <c r="C946" s="37" t="inlineStr">
        <is>
          <t>к-т</t>
        </is>
      </c>
      <c r="D946" s="33" t="n"/>
      <c r="E946" s="33" t="n"/>
      <c r="F946" s="33">
        <f>E946*0.05</f>
        <v/>
      </c>
      <c r="G946" s="33">
        <f>E946+F946</f>
        <v/>
      </c>
      <c r="H946" s="33" t="n"/>
      <c r="I946" s="33" t="n"/>
      <c r="J946" s="33" t="n"/>
      <c r="K946" s="33">
        <f>L946+M946+N946</f>
        <v/>
      </c>
      <c r="L946" s="33" t="n"/>
      <c r="M946" s="33" t="n"/>
      <c r="N946" s="33" t="n"/>
      <c r="O946" s="33">
        <f>P946+Q946</f>
        <v/>
      </c>
      <c r="P946" s="33" t="n"/>
      <c r="Q946" s="33" t="n"/>
      <c r="R946" s="33">
        <f>H946+K946-O946</f>
        <v/>
      </c>
      <c r="S946" s="33" t="n"/>
      <c r="T946" s="33" t="n"/>
      <c r="U946" s="33" t="n"/>
      <c r="V946" s="33" t="n"/>
      <c r="W946" s="33" t="n"/>
      <c r="X946" s="33" t="n"/>
      <c r="Y946" s="33" t="n"/>
      <c r="Z946" s="33" t="n"/>
      <c r="AA946" s="4">
        <f>R946-G946</f>
        <v/>
      </c>
      <c r="AB946" s="4">
        <f>G946-R946</f>
        <v/>
      </c>
      <c r="AC946" s="33" t="n"/>
    </row>
    <row r="947" ht="18.75" customHeight="1">
      <c r="A947" s="35">
        <f>SUBTOTAL(103,$B$24:B947)</f>
        <v/>
      </c>
      <c r="B947" s="36" t="inlineStr">
        <is>
          <t>Морозильна скриня Gorenje FH301CW</t>
        </is>
      </c>
      <c r="C947" s="37" t="inlineStr">
        <is>
          <t>к-т</t>
        </is>
      </c>
      <c r="D947" s="33" t="n"/>
      <c r="E947" s="33" t="n"/>
      <c r="F947" s="33">
        <f>E947*0.05</f>
        <v/>
      </c>
      <c r="G947" s="33">
        <f>E947+F947</f>
        <v/>
      </c>
      <c r="H947" s="33" t="n"/>
      <c r="I947" s="33" t="n"/>
      <c r="J947" s="33" t="n"/>
      <c r="K947" s="33">
        <f>L947+M947+N947</f>
        <v/>
      </c>
      <c r="L947" s="33" t="n"/>
      <c r="M947" s="33" t="n"/>
      <c r="N947" s="33" t="n"/>
      <c r="O947" s="33">
        <f>P947+Q947</f>
        <v/>
      </c>
      <c r="P947" s="33" t="n"/>
      <c r="Q947" s="33" t="n"/>
      <c r="R947" s="33">
        <f>H947+K947-O947</f>
        <v/>
      </c>
      <c r="S947" s="33" t="n"/>
      <c r="T947" s="33" t="n"/>
      <c r="U947" s="33" t="n"/>
      <c r="V947" s="33" t="n"/>
      <c r="W947" s="33" t="n"/>
      <c r="X947" s="33" t="n"/>
      <c r="Y947" s="33" t="n"/>
      <c r="Z947" s="33" t="n"/>
      <c r="AA947" s="4">
        <f>R947-G947</f>
        <v/>
      </c>
      <c r="AB947" s="4">
        <f>G947-R947</f>
        <v/>
      </c>
      <c r="AC947" s="33" t="n"/>
    </row>
    <row r="948" ht="18.75" customHeight="1">
      <c r="A948" s="35">
        <f>SUBTOTAL(103,$B$24:B948)</f>
        <v/>
      </c>
      <c r="B948" s="36" t="inlineStr">
        <is>
          <t>Морозильна скриня Gorenje FH15FPW</t>
        </is>
      </c>
      <c r="C948" s="37" t="inlineStr">
        <is>
          <t>к-т</t>
        </is>
      </c>
      <c r="D948" s="33" t="n"/>
      <c r="E948" s="33" t="n"/>
      <c r="F948" s="33">
        <f>E948*0.05</f>
        <v/>
      </c>
      <c r="G948" s="33">
        <f>E948+F948</f>
        <v/>
      </c>
      <c r="H948" s="33" t="n"/>
      <c r="I948" s="33" t="n"/>
      <c r="J948" s="33" t="n"/>
      <c r="K948" s="33">
        <f>L948+M948+N948</f>
        <v/>
      </c>
      <c r="L948" s="33" t="n"/>
      <c r="M948" s="33" t="n"/>
      <c r="N948" s="33" t="n"/>
      <c r="O948" s="33">
        <f>P948+Q948</f>
        <v/>
      </c>
      <c r="P948" s="33" t="n"/>
      <c r="Q948" s="33" t="n"/>
      <c r="R948" s="33">
        <f>H948+K948-O948</f>
        <v/>
      </c>
      <c r="S948" s="33" t="n"/>
      <c r="T948" s="33" t="n"/>
      <c r="U948" s="33" t="n"/>
      <c r="V948" s="33" t="n"/>
      <c r="W948" s="33" t="n"/>
      <c r="X948" s="33" t="n"/>
      <c r="Y948" s="33" t="n"/>
      <c r="Z948" s="33" t="n"/>
      <c r="AA948" s="4">
        <f>R948-G948</f>
        <v/>
      </c>
      <c r="AB948" s="4">
        <f>G948-R948</f>
        <v/>
      </c>
      <c r="AC948" s="33" t="n"/>
    </row>
    <row r="949" ht="18.75" customHeight="1">
      <c r="A949" s="35">
        <f>SUBTOTAL(103,$B$24:B949)</f>
        <v/>
      </c>
      <c r="B949" s="36" t="inlineStr">
        <is>
          <t>Морозильна скриня Gorenje FN401CV</t>
        </is>
      </c>
      <c r="C949" s="37" t="inlineStr">
        <is>
          <t>к-т</t>
        </is>
      </c>
      <c r="D949" s="33" t="n"/>
      <c r="E949" s="33" t="n"/>
      <c r="F949" s="33">
        <f>E949*0.05</f>
        <v/>
      </c>
      <c r="G949" s="33">
        <f>E949+F949</f>
        <v/>
      </c>
      <c r="H949" s="33" t="n"/>
      <c r="I949" s="33" t="n"/>
      <c r="J949" s="33" t="n"/>
      <c r="K949" s="33">
        <f>L949+M949+N949</f>
        <v/>
      </c>
      <c r="L949" s="33" t="n"/>
      <c r="M949" s="33" t="n"/>
      <c r="N949" s="33" t="n"/>
      <c r="O949" s="33">
        <f>P949+Q949</f>
        <v/>
      </c>
      <c r="P949" s="33" t="n"/>
      <c r="Q949" s="33" t="n"/>
      <c r="R949" s="33">
        <f>H949+K949-O949</f>
        <v/>
      </c>
      <c r="S949" s="33" t="n"/>
      <c r="T949" s="33" t="n"/>
      <c r="U949" s="33" t="n"/>
      <c r="V949" s="33" t="n"/>
      <c r="W949" s="33" t="n"/>
      <c r="X949" s="33" t="n"/>
      <c r="Y949" s="33" t="n"/>
      <c r="Z949" s="33" t="n"/>
      <c r="AA949" s="4">
        <f>R949-G949</f>
        <v/>
      </c>
      <c r="AB949" s="4">
        <f>G949-R949</f>
        <v/>
      </c>
      <c r="AC949" s="33" t="n"/>
    </row>
    <row r="950" ht="37.5" customHeight="1">
      <c r="A950" s="35">
        <f>SUBTOTAL(103,$B$24:B950)</f>
        <v/>
      </c>
      <c r="B950" s="36" t="inlineStr">
        <is>
          <t>Морозильна скриня Gorenje FHC42EAW</t>
        </is>
      </c>
      <c r="C950" s="37" t="inlineStr">
        <is>
          <t>к-т</t>
        </is>
      </c>
      <c r="D950" s="33" t="n"/>
      <c r="E950" s="33" t="n"/>
      <c r="F950" s="33">
        <f>E950*0.05</f>
        <v/>
      </c>
      <c r="G950" s="33">
        <f>E950+F950</f>
        <v/>
      </c>
      <c r="H950" s="33" t="n"/>
      <c r="I950" s="33" t="n"/>
      <c r="J950" s="33" t="n"/>
      <c r="K950" s="33">
        <f>L950+M950+N950</f>
        <v/>
      </c>
      <c r="L950" s="33" t="n"/>
      <c r="M950" s="33" t="n"/>
      <c r="N950" s="33" t="n"/>
      <c r="O950" s="33">
        <f>P950+Q950</f>
        <v/>
      </c>
      <c r="P950" s="33" t="n"/>
      <c r="Q950" s="33" t="n"/>
      <c r="R950" s="33">
        <f>H950+K950-O950</f>
        <v/>
      </c>
      <c r="S950" s="33" t="n"/>
      <c r="T950" s="33" t="n"/>
      <c r="U950" s="33" t="n"/>
      <c r="V950" s="33" t="n"/>
      <c r="W950" s="33" t="n"/>
      <c r="X950" s="33" t="n"/>
      <c r="Y950" s="33" t="n"/>
      <c r="Z950" s="33" t="n"/>
      <c r="AA950" s="4">
        <f>R950-G950</f>
        <v/>
      </c>
      <c r="AB950" s="4">
        <f>G950-R950</f>
        <v/>
      </c>
      <c r="AC950" s="33" t="n"/>
    </row>
    <row r="951" ht="18.75" customHeight="1">
      <c r="A951" s="35">
        <f>SUBTOTAL(103,$B$24:B951)</f>
        <v/>
      </c>
      <c r="B951" s="36" t="inlineStr">
        <is>
          <t>Морозильна скриня Gorenje FH50EAW</t>
        </is>
      </c>
      <c r="C951" s="37" t="inlineStr">
        <is>
          <t>к-т</t>
        </is>
      </c>
      <c r="D951" s="33" t="n"/>
      <c r="E951" s="33" t="n"/>
      <c r="F951" s="33">
        <f>E951*0.05</f>
        <v/>
      </c>
      <c r="G951" s="33">
        <f>E951+F951</f>
        <v/>
      </c>
      <c r="H951" s="33" t="n"/>
      <c r="I951" s="33" t="n"/>
      <c r="J951" s="33" t="n"/>
      <c r="K951" s="33">
        <f>L951+M951+N951</f>
        <v/>
      </c>
      <c r="L951" s="33" t="n"/>
      <c r="M951" s="33" t="n"/>
      <c r="N951" s="33" t="n"/>
      <c r="O951" s="33">
        <f>P951+Q951</f>
        <v/>
      </c>
      <c r="P951" s="33" t="n"/>
      <c r="Q951" s="33" t="n"/>
      <c r="R951" s="33">
        <f>H951+K951-O951</f>
        <v/>
      </c>
      <c r="S951" s="33" t="n"/>
      <c r="T951" s="33" t="n"/>
      <c r="U951" s="33" t="n"/>
      <c r="V951" s="33" t="n"/>
      <c r="W951" s="33" t="n"/>
      <c r="X951" s="33" t="n"/>
      <c r="Y951" s="33" t="n"/>
      <c r="Z951" s="33" t="n"/>
      <c r="AA951" s="4">
        <f>R951-G951</f>
        <v/>
      </c>
      <c r="AB951" s="4">
        <f>G951-R951</f>
        <v/>
      </c>
      <c r="AC951" s="33" t="n"/>
    </row>
    <row r="952" ht="18.75" customHeight="1">
      <c r="A952" s="35">
        <f>SUBTOTAL(103,$B$24:B952)</f>
        <v/>
      </c>
      <c r="B952" s="36" t="inlineStr">
        <is>
          <t>Морозильна скриня GGM</t>
        </is>
      </c>
      <c r="C952" s="37" t="inlineStr">
        <is>
          <t>к-т</t>
        </is>
      </c>
      <c r="D952" s="33" t="n"/>
      <c r="E952" s="33" t="n"/>
      <c r="F952" s="33">
        <f>E952*0.05</f>
        <v/>
      </c>
      <c r="G952" s="33">
        <f>E952+F952</f>
        <v/>
      </c>
      <c r="H952" s="33" t="n"/>
      <c r="I952" s="33" t="n"/>
      <c r="J952" s="33" t="n"/>
      <c r="K952" s="33">
        <f>L952+M952+N952</f>
        <v/>
      </c>
      <c r="L952" s="33" t="n"/>
      <c r="M952" s="33" t="n"/>
      <c r="N952" s="33" t="n"/>
      <c r="O952" s="33">
        <f>P952+Q952</f>
        <v/>
      </c>
      <c r="P952" s="33" t="n"/>
      <c r="Q952" s="33" t="n"/>
      <c r="R952" s="33">
        <f>H952+K952-O952</f>
        <v/>
      </c>
      <c r="S952" s="33" t="n"/>
      <c r="T952" s="33" t="n"/>
      <c r="U952" s="33" t="n"/>
      <c r="V952" s="33" t="n"/>
      <c r="W952" s="33" t="n"/>
      <c r="X952" s="33" t="n"/>
      <c r="Y952" s="33" t="n"/>
      <c r="Z952" s="33" t="n"/>
      <c r="AA952" s="4">
        <f>R952-G952</f>
        <v/>
      </c>
      <c r="AB952" s="4">
        <f>G952-R952</f>
        <v/>
      </c>
      <c r="AC952" s="33" t="n"/>
    </row>
    <row r="953" ht="18.75" customHeight="1">
      <c r="A953" s="35">
        <f>SUBTOTAL(103,$B$24:B953)</f>
        <v/>
      </c>
      <c r="B953" s="36" t="inlineStr">
        <is>
          <t>Морозильна скриня Blausfisch</t>
        </is>
      </c>
      <c r="C953" s="37" t="inlineStr">
        <is>
          <t>к-т</t>
        </is>
      </c>
      <c r="D953" s="33" t="n"/>
      <c r="E953" s="33" t="n"/>
      <c r="F953" s="33">
        <f>E953*0.05</f>
        <v/>
      </c>
      <c r="G953" s="33">
        <f>E953+F953</f>
        <v/>
      </c>
      <c r="H953" s="33" t="n"/>
      <c r="I953" s="33" t="n"/>
      <c r="J953" s="33" t="n"/>
      <c r="K953" s="33">
        <f>L953+M953+N953</f>
        <v/>
      </c>
      <c r="L953" s="33" t="n"/>
      <c r="M953" s="33" t="n"/>
      <c r="N953" s="33" t="n"/>
      <c r="O953" s="33">
        <f>P953+Q953</f>
        <v/>
      </c>
      <c r="P953" s="33" t="n"/>
      <c r="Q953" s="33" t="n"/>
      <c r="R953" s="33">
        <f>H953+K953-O953</f>
        <v/>
      </c>
      <c r="S953" s="33" t="n"/>
      <c r="T953" s="33" t="n"/>
      <c r="U953" s="33" t="n"/>
      <c r="V953" s="33" t="n"/>
      <c r="W953" s="33" t="n"/>
      <c r="X953" s="33" t="n"/>
      <c r="Y953" s="33" t="n"/>
      <c r="Z953" s="33" t="n"/>
      <c r="AA953" s="4">
        <f>R953-G953</f>
        <v/>
      </c>
      <c r="AB953" s="4">
        <f>G953-R953</f>
        <v/>
      </c>
      <c r="AC953" s="33" t="n"/>
    </row>
    <row r="954" ht="33.75" customHeight="1">
      <c r="A954" s="35">
        <f>SUBTOTAL(103,$B$24:B954)</f>
        <v/>
      </c>
      <c r="B954" s="36" t="inlineStr">
        <is>
          <t>Морозильна скриня Grifon GMRL-380E</t>
        </is>
      </c>
      <c r="C954" s="37" t="inlineStr">
        <is>
          <t>к-т</t>
        </is>
      </c>
      <c r="D954" s="33" t="n"/>
      <c r="E954" s="33" t="n"/>
      <c r="F954" s="33">
        <f>E954*0.05</f>
        <v/>
      </c>
      <c r="G954" s="33">
        <f>E954+F954</f>
        <v/>
      </c>
      <c r="H954" s="33" t="n"/>
      <c r="I954" s="33" t="n"/>
      <c r="J954" s="33" t="n"/>
      <c r="K954" s="33">
        <f>L954+M954+N954</f>
        <v/>
      </c>
      <c r="L954" s="33" t="n"/>
      <c r="M954" s="33" t="n"/>
      <c r="N954" s="33" t="n"/>
      <c r="O954" s="33">
        <f>P954+Q954</f>
        <v/>
      </c>
      <c r="P954" s="33" t="n"/>
      <c r="Q954" s="33" t="n"/>
      <c r="R954" s="33">
        <f>H954+K954-O954</f>
        <v/>
      </c>
      <c r="S954" s="33" t="n"/>
      <c r="T954" s="33" t="n"/>
      <c r="U954" s="33" t="n"/>
      <c r="V954" s="33" t="n"/>
      <c r="W954" s="33" t="n"/>
      <c r="X954" s="33" t="n"/>
      <c r="Y954" s="33" t="n"/>
      <c r="Z954" s="33" t="n"/>
      <c r="AA954" s="4">
        <f>R954-G954</f>
        <v/>
      </c>
      <c r="AB954" s="4">
        <f>G954-R954</f>
        <v/>
      </c>
      <c r="AC954" s="33" t="n"/>
    </row>
    <row r="955" ht="18.75" customHeight="1">
      <c r="A955" s="35">
        <f>SUBTOTAL(103,$B$24:B955)</f>
        <v/>
      </c>
      <c r="B955" s="36" t="inlineStr">
        <is>
          <t>Морозильна скриня "ВЕКО"</t>
        </is>
      </c>
      <c r="C955" s="37" t="inlineStr">
        <is>
          <t>к-т</t>
        </is>
      </c>
      <c r="D955" s="33" t="n"/>
      <c r="E955" s="33" t="n"/>
      <c r="F955" s="33">
        <f>E955*0.05</f>
        <v/>
      </c>
      <c r="G955" s="33">
        <f>E955+F955</f>
        <v/>
      </c>
      <c r="H955" s="33" t="n"/>
      <c r="I955" s="33" t="n"/>
      <c r="J955" s="33" t="n"/>
      <c r="K955" s="33">
        <f>L955+M955+N955</f>
        <v/>
      </c>
      <c r="L955" s="33" t="n"/>
      <c r="M955" s="33" t="n"/>
      <c r="N955" s="33" t="n"/>
      <c r="O955" s="33">
        <f>P955+Q955</f>
        <v/>
      </c>
      <c r="P955" s="33" t="n"/>
      <c r="Q955" s="33" t="n"/>
      <c r="R955" s="33">
        <f>H955+K955-O955</f>
        <v/>
      </c>
      <c r="S955" s="33" t="n"/>
      <c r="T955" s="33" t="n"/>
      <c r="U955" s="33" t="n"/>
      <c r="V955" s="33" t="n"/>
      <c r="W955" s="33" t="n"/>
      <c r="X955" s="33" t="n"/>
      <c r="Y955" s="33" t="n"/>
      <c r="Z955" s="33" t="n"/>
      <c r="AA955" s="4">
        <f>R955-G955</f>
        <v/>
      </c>
      <c r="AB955" s="4">
        <f>G955-R955</f>
        <v/>
      </c>
      <c r="AC955" s="33" t="n"/>
    </row>
    <row r="956" ht="18.75" customHeight="1">
      <c r="A956" s="35">
        <f>SUBTOTAL(103,$B$24:B956)</f>
        <v/>
      </c>
      <c r="B956" s="36" t="inlineStr">
        <is>
          <t>Морозильна скриня EDLER</t>
        </is>
      </c>
      <c r="C956" s="37" t="inlineStr">
        <is>
          <t>к-т</t>
        </is>
      </c>
      <c r="D956" s="33" t="n"/>
      <c r="E956" s="33" t="n"/>
      <c r="F956" s="33">
        <f>E956*0.05</f>
        <v/>
      </c>
      <c r="G956" s="33">
        <f>E956+F956</f>
        <v/>
      </c>
      <c r="H956" s="33" t="n"/>
      <c r="I956" s="33" t="n"/>
      <c r="J956" s="33" t="n"/>
      <c r="K956" s="33">
        <f>L956+M956+N956</f>
        <v/>
      </c>
      <c r="L956" s="33" t="n"/>
      <c r="M956" s="33" t="n"/>
      <c r="N956" s="33" t="n"/>
      <c r="O956" s="33">
        <f>P956+Q956</f>
        <v/>
      </c>
      <c r="P956" s="33" t="n"/>
      <c r="Q956" s="33" t="n"/>
      <c r="R956" s="33">
        <f>H956+K956-O956</f>
        <v/>
      </c>
      <c r="S956" s="33" t="n"/>
      <c r="T956" s="33" t="n"/>
      <c r="U956" s="33" t="n"/>
      <c r="V956" s="33" t="n"/>
      <c r="W956" s="33" t="n"/>
      <c r="X956" s="33" t="n"/>
      <c r="Y956" s="33" t="n"/>
      <c r="Z956" s="33" t="n"/>
      <c r="AA956" s="4">
        <f>R956-G956</f>
        <v/>
      </c>
      <c r="AB956" s="4">
        <f>G956-R956</f>
        <v/>
      </c>
      <c r="AC956" s="33" t="n"/>
    </row>
    <row r="957" ht="18.75" customHeight="1">
      <c r="A957" s="35">
        <f>SUBTOTAL(103,$B$24:B957)</f>
        <v/>
      </c>
      <c r="B957" s="36" t="inlineStr">
        <is>
          <t>Морозильна камера "SIMENS"</t>
        </is>
      </c>
      <c r="C957" s="37" t="inlineStr">
        <is>
          <t>к-т</t>
        </is>
      </c>
      <c r="D957" s="33" t="n"/>
      <c r="E957" s="33" t="n"/>
      <c r="F957" s="33">
        <f>E957*0.05</f>
        <v/>
      </c>
      <c r="G957" s="33">
        <f>E957+F957</f>
        <v/>
      </c>
      <c r="H957" s="33" t="n"/>
      <c r="I957" s="33" t="n"/>
      <c r="J957" s="33" t="n"/>
      <c r="K957" s="33">
        <f>L957+M957+N957</f>
        <v/>
      </c>
      <c r="L957" s="33" t="n"/>
      <c r="M957" s="33" t="n"/>
      <c r="N957" s="33" t="n"/>
      <c r="O957" s="33">
        <f>P957+Q957</f>
        <v/>
      </c>
      <c r="P957" s="33" t="n"/>
      <c r="Q957" s="33" t="n"/>
      <c r="R957" s="33">
        <f>H957+K957-O957</f>
        <v/>
      </c>
      <c r="S957" s="33" t="n"/>
      <c r="T957" s="33" t="n"/>
      <c r="U957" s="33" t="n"/>
      <c r="V957" s="33" t="n"/>
      <c r="W957" s="33" t="n"/>
      <c r="X957" s="33" t="n"/>
      <c r="Y957" s="33" t="n"/>
      <c r="Z957" s="33" t="n"/>
      <c r="AA957" s="4">
        <f>R957-G957</f>
        <v/>
      </c>
      <c r="AB957" s="4">
        <f>G957-R957</f>
        <v/>
      </c>
      <c r="AC957" s="33" t="n"/>
    </row>
    <row r="958" ht="18.75" customHeight="1">
      <c r="A958" s="35">
        <f>SUBTOTAL(103,$B$24:B958)</f>
        <v/>
      </c>
      <c r="B958" s="36" t="inlineStr">
        <is>
          <t>Морозильна камера "PRIVILEG"</t>
        </is>
      </c>
      <c r="C958" s="37" t="inlineStr">
        <is>
          <t>к-т</t>
        </is>
      </c>
      <c r="D958" s="33" t="n"/>
      <c r="E958" s="33" t="n"/>
      <c r="F958" s="33">
        <f>E958*0.05</f>
        <v/>
      </c>
      <c r="G958" s="33">
        <f>E958+F958</f>
        <v/>
      </c>
      <c r="H958" s="33" t="n"/>
      <c r="I958" s="33" t="n"/>
      <c r="J958" s="33" t="n"/>
      <c r="K958" s="33">
        <f>L958+M958+N958</f>
        <v/>
      </c>
      <c r="L958" s="33" t="n"/>
      <c r="M958" s="33" t="n"/>
      <c r="N958" s="33" t="n"/>
      <c r="O958" s="33">
        <f>P958+Q958</f>
        <v/>
      </c>
      <c r="P958" s="33" t="n"/>
      <c r="Q958" s="33" t="n"/>
      <c r="R958" s="33">
        <f>H958+K958-O958</f>
        <v/>
      </c>
      <c r="S958" s="33" t="n"/>
      <c r="T958" s="33" t="n"/>
      <c r="U958" s="33" t="n"/>
      <c r="V958" s="33" t="n"/>
      <c r="W958" s="33" t="n"/>
      <c r="X958" s="33" t="n"/>
      <c r="Y958" s="33" t="n"/>
      <c r="Z958" s="33" t="n"/>
      <c r="AA958" s="4">
        <f>R958-G958</f>
        <v/>
      </c>
      <c r="AB958" s="4">
        <f>G958-R958</f>
        <v/>
      </c>
      <c r="AC958" s="33" t="n"/>
    </row>
    <row r="959" ht="18.75" customHeight="1">
      <c r="A959" s="35">
        <f>SUBTOTAL(103,$B$24:B959)</f>
        <v/>
      </c>
      <c r="B959" s="36" t="inlineStr">
        <is>
          <t>Морозильна камера "ATLAS"</t>
        </is>
      </c>
      <c r="C959" s="37" t="inlineStr">
        <is>
          <t>к-т</t>
        </is>
      </c>
      <c r="D959" s="33" t="n"/>
      <c r="E959" s="33" t="n"/>
      <c r="F959" s="33">
        <f>E959*0.05</f>
        <v/>
      </c>
      <c r="G959" s="33">
        <f>E959+F959</f>
        <v/>
      </c>
      <c r="H959" s="33" t="n"/>
      <c r="I959" s="33" t="n"/>
      <c r="J959" s="33" t="n"/>
      <c r="K959" s="33">
        <f>L959+M959+N959</f>
        <v/>
      </c>
      <c r="L959" s="33" t="n"/>
      <c r="M959" s="33" t="n"/>
      <c r="N959" s="33" t="n"/>
      <c r="O959" s="33">
        <f>P959+Q959</f>
        <v/>
      </c>
      <c r="P959" s="33" t="n"/>
      <c r="Q959" s="33" t="n"/>
      <c r="R959" s="33">
        <f>H959+K959-O959</f>
        <v/>
      </c>
      <c r="S959" s="33" t="n"/>
      <c r="T959" s="33" t="n"/>
      <c r="U959" s="33" t="n"/>
      <c r="V959" s="33" t="n"/>
      <c r="W959" s="33" t="n"/>
      <c r="X959" s="33" t="n"/>
      <c r="Y959" s="33" t="n"/>
      <c r="Z959" s="33" t="n"/>
      <c r="AA959" s="4">
        <f>R959-G959</f>
        <v/>
      </c>
      <c r="AB959" s="4">
        <f>G959-R959</f>
        <v/>
      </c>
      <c r="AC959" s="33" t="n"/>
    </row>
    <row r="960" ht="18.75" customHeight="1">
      <c r="A960" s="35">
        <f>SUBTOTAL(103,$B$24:B960)</f>
        <v/>
      </c>
      <c r="B960" s="36" t="inlineStr">
        <is>
          <t>Морозильна камера "ZAMEX"</t>
        </is>
      </c>
      <c r="C960" s="37" t="inlineStr">
        <is>
          <t>к-т</t>
        </is>
      </c>
      <c r="D960" s="33" t="n"/>
      <c r="E960" s="33" t="n"/>
      <c r="F960" s="33">
        <f>E960*0.05</f>
        <v/>
      </c>
      <c r="G960" s="33">
        <f>E960+F960</f>
        <v/>
      </c>
      <c r="H960" s="33" t="n"/>
      <c r="I960" s="33" t="n"/>
      <c r="J960" s="33" t="n"/>
      <c r="K960" s="33">
        <f>L960+M960+N960</f>
        <v/>
      </c>
      <c r="L960" s="33" t="n"/>
      <c r="M960" s="33" t="n"/>
      <c r="N960" s="33" t="n"/>
      <c r="O960" s="33">
        <f>P960+Q960</f>
        <v/>
      </c>
      <c r="P960" s="33" t="n"/>
      <c r="Q960" s="33" t="n"/>
      <c r="R960" s="33">
        <f>H960+K960-O960</f>
        <v/>
      </c>
      <c r="S960" s="33" t="n"/>
      <c r="T960" s="33" t="n"/>
      <c r="U960" s="33" t="n"/>
      <c r="V960" s="33" t="n"/>
      <c r="W960" s="33" t="n"/>
      <c r="X960" s="33" t="n"/>
      <c r="Y960" s="33" t="n"/>
      <c r="Z960" s="33" t="n"/>
      <c r="AA960" s="4">
        <f>R960-G960</f>
        <v/>
      </c>
      <c r="AB960" s="4">
        <f>G960-R960</f>
        <v/>
      </c>
      <c r="AC960" s="33" t="n"/>
    </row>
    <row r="961" ht="18.75" customHeight="1">
      <c r="A961" s="35">
        <f>SUBTOTAL(103,$B$24:B961)</f>
        <v/>
      </c>
      <c r="B961" s="36" t="inlineStr">
        <is>
          <t>Морозильна камера KLIMASAN 161л</t>
        </is>
      </c>
      <c r="C961" s="37" t="inlineStr">
        <is>
          <t>к-т</t>
        </is>
      </c>
      <c r="D961" s="33" t="n"/>
      <c r="E961" s="33" t="n"/>
      <c r="F961" s="33">
        <f>E961*0.05</f>
        <v/>
      </c>
      <c r="G961" s="33">
        <f>E961+F961</f>
        <v/>
      </c>
      <c r="H961" s="33" t="n"/>
      <c r="I961" s="33" t="n"/>
      <c r="J961" s="33" t="n"/>
      <c r="K961" s="33">
        <f>L961+M961+N961</f>
        <v/>
      </c>
      <c r="L961" s="33" t="n"/>
      <c r="M961" s="33" t="n"/>
      <c r="N961" s="33" t="n"/>
      <c r="O961" s="33">
        <f>P961+Q961</f>
        <v/>
      </c>
      <c r="P961" s="33" t="n"/>
      <c r="Q961" s="33" t="n"/>
      <c r="R961" s="33">
        <f>H961+K961-O961</f>
        <v/>
      </c>
      <c r="S961" s="33" t="n"/>
      <c r="T961" s="33" t="n"/>
      <c r="U961" s="33" t="n"/>
      <c r="V961" s="33" t="n"/>
      <c r="W961" s="33" t="n"/>
      <c r="X961" s="33" t="n"/>
      <c r="Y961" s="33" t="n"/>
      <c r="Z961" s="33" t="n"/>
      <c r="AA961" s="4">
        <f>R961-G961</f>
        <v/>
      </c>
      <c r="AB961" s="4">
        <f>G961-R961</f>
        <v/>
      </c>
      <c r="AC961" s="33" t="n"/>
    </row>
    <row r="962" ht="18.75" customHeight="1">
      <c r="A962" s="35">
        <f>SUBTOTAL(103,$B$24:B962)</f>
        <v/>
      </c>
      <c r="B962" s="36" t="inlineStr">
        <is>
          <t>Морозильна камера KLIMASAN 300л</t>
        </is>
      </c>
      <c r="C962" s="37" t="inlineStr">
        <is>
          <t>к-т</t>
        </is>
      </c>
      <c r="D962" s="33" t="n"/>
      <c r="E962" s="33" t="n"/>
      <c r="F962" s="33">
        <f>E962*0.05</f>
        <v/>
      </c>
      <c r="G962" s="33">
        <f>E962+F962</f>
        <v/>
      </c>
      <c r="H962" s="33" t="n"/>
      <c r="I962" s="33" t="n"/>
      <c r="J962" s="33" t="n"/>
      <c r="K962" s="33">
        <f>L962+M962+N962</f>
        <v/>
      </c>
      <c r="L962" s="33" t="n"/>
      <c r="M962" s="33" t="n"/>
      <c r="N962" s="33" t="n"/>
      <c r="O962" s="33">
        <f>P962+Q962</f>
        <v/>
      </c>
      <c r="P962" s="33" t="n"/>
      <c r="Q962" s="33" t="n"/>
      <c r="R962" s="33">
        <f>H962+K962-O962</f>
        <v/>
      </c>
      <c r="S962" s="33" t="n"/>
      <c r="T962" s="33" t="n"/>
      <c r="U962" s="33" t="n"/>
      <c r="V962" s="33" t="n"/>
      <c r="W962" s="33" t="n"/>
      <c r="X962" s="33" t="n"/>
      <c r="Y962" s="33" t="n"/>
      <c r="Z962" s="33" t="n"/>
      <c r="AA962" s="4">
        <f>R962-G962</f>
        <v/>
      </c>
      <c r="AB962" s="4">
        <f>G962-R962</f>
        <v/>
      </c>
      <c r="AC962" s="33" t="n"/>
    </row>
    <row r="963" ht="18.75" customHeight="1">
      <c r="A963" s="35">
        <f>SUBTOTAL(103,$B$24:B963)</f>
        <v/>
      </c>
      <c r="B963" s="36" t="inlineStr">
        <is>
          <t>Морозильна камера "Vivax"</t>
        </is>
      </c>
      <c r="C963" s="37" t="inlineStr">
        <is>
          <t>к-т</t>
        </is>
      </c>
      <c r="D963" s="33" t="n"/>
      <c r="E963" s="33" t="n"/>
      <c r="F963" s="33">
        <f>E963*0.05</f>
        <v/>
      </c>
      <c r="G963" s="33">
        <f>E963+F963</f>
        <v/>
      </c>
      <c r="H963" s="33" t="n"/>
      <c r="I963" s="33" t="n"/>
      <c r="J963" s="33" t="n"/>
      <c r="K963" s="33">
        <f>L963+M963+N963</f>
        <v/>
      </c>
      <c r="L963" s="33" t="n"/>
      <c r="M963" s="33" t="n"/>
      <c r="N963" s="33" t="n"/>
      <c r="O963" s="33">
        <f>P963+Q963</f>
        <v/>
      </c>
      <c r="P963" s="33" t="n"/>
      <c r="Q963" s="33" t="n"/>
      <c r="R963" s="33">
        <f>H963+K963-O963</f>
        <v/>
      </c>
      <c r="S963" s="33" t="n"/>
      <c r="T963" s="33" t="n"/>
      <c r="U963" s="33" t="n"/>
      <c r="V963" s="33" t="n"/>
      <c r="W963" s="33" t="n"/>
      <c r="X963" s="33" t="n"/>
      <c r="Y963" s="33" t="n"/>
      <c r="Z963" s="33" t="n"/>
      <c r="AA963" s="4">
        <f>R963-G963</f>
        <v/>
      </c>
      <c r="AB963" s="4">
        <f>G963-R963</f>
        <v/>
      </c>
      <c r="AC963" s="33" t="n"/>
    </row>
    <row r="964" ht="18.75" customHeight="1">
      <c r="A964" s="35">
        <f>SUBTOTAL(103,$B$24:B964)</f>
        <v/>
      </c>
      <c r="B964" s="36" t="inlineStr">
        <is>
          <t>Морозильна скриня "Занусі"</t>
        </is>
      </c>
      <c r="C964" s="37" t="inlineStr">
        <is>
          <t>к-т</t>
        </is>
      </c>
      <c r="D964" s="33" t="n"/>
      <c r="E964" s="33" t="n"/>
      <c r="F964" s="33">
        <f>E964*0.05</f>
        <v/>
      </c>
      <c r="G964" s="33">
        <f>E964+F964</f>
        <v/>
      </c>
      <c r="H964" s="33" t="n"/>
      <c r="I964" s="33" t="n"/>
      <c r="J964" s="33" t="n"/>
      <c r="K964" s="33">
        <f>L964+M964+N964</f>
        <v/>
      </c>
      <c r="L964" s="33" t="n"/>
      <c r="M964" s="33" t="n"/>
      <c r="N964" s="33" t="n"/>
      <c r="O964" s="33">
        <f>P964+Q964</f>
        <v/>
      </c>
      <c r="P964" s="33" t="n"/>
      <c r="Q964" s="33" t="n"/>
      <c r="R964" s="33">
        <f>H964+K964-O964</f>
        <v/>
      </c>
      <c r="S964" s="33" t="n"/>
      <c r="T964" s="33" t="n"/>
      <c r="U964" s="33" t="n"/>
      <c r="V964" s="33" t="n"/>
      <c r="W964" s="33" t="n"/>
      <c r="X964" s="33" t="n"/>
      <c r="Y964" s="33" t="n"/>
      <c r="Z964" s="33" t="n"/>
      <c r="AA964" s="4">
        <f>R964-G964</f>
        <v/>
      </c>
      <c r="AB964" s="4">
        <f>G964-R964</f>
        <v/>
      </c>
      <c r="AC964" s="33" t="n"/>
    </row>
    <row r="965" ht="18.75" customHeight="1">
      <c r="A965" s="35">
        <f>SUBTOTAL(103,$B$24:B965)</f>
        <v/>
      </c>
      <c r="B965" s="40" t="inlineStr">
        <is>
          <t>Морозильна камера Candy CCTUS542WH</t>
        </is>
      </c>
      <c r="C965" s="37" t="inlineStr">
        <is>
          <t>к-т</t>
        </is>
      </c>
      <c r="D965" s="33" t="n"/>
      <c r="E965" s="33" t="n"/>
      <c r="F965" s="33">
        <f>E965*0.05</f>
        <v/>
      </c>
      <c r="G965" s="33">
        <f>E965+F965</f>
        <v/>
      </c>
      <c r="H965" s="33" t="n"/>
      <c r="I965" s="33" t="n"/>
      <c r="J965" s="33" t="n"/>
      <c r="K965" s="33">
        <f>L965+M965+N965</f>
        <v/>
      </c>
      <c r="L965" s="33" t="n"/>
      <c r="M965" s="33" t="n"/>
      <c r="N965" s="33" t="n"/>
      <c r="O965" s="33">
        <f>P965+Q965</f>
        <v/>
      </c>
      <c r="P965" s="33" t="n"/>
      <c r="Q965" s="33" t="n"/>
      <c r="R965" s="33">
        <f>H965+K965-O965</f>
        <v/>
      </c>
      <c r="S965" s="33" t="n"/>
      <c r="T965" s="33" t="n"/>
      <c r="U965" s="33" t="n"/>
      <c r="V965" s="33" t="n"/>
      <c r="W965" s="33" t="n"/>
      <c r="X965" s="33" t="n"/>
      <c r="Y965" s="33" t="n"/>
      <c r="Z965" s="33" t="n"/>
      <c r="AA965" s="4">
        <f>R965-G965</f>
        <v/>
      </c>
      <c r="AB965" s="4">
        <f>G965-R965</f>
        <v/>
      </c>
      <c r="AC965" s="33" t="n"/>
    </row>
    <row r="966" ht="37.5" customHeight="1">
      <c r="A966" s="35">
        <f>SUBTOTAL(103,$B$24:B966)</f>
        <v/>
      </c>
      <c r="B966" s="36" t="inlineStr">
        <is>
          <t>Морозильна камера ALTUS ALTF312NW</t>
        </is>
      </c>
      <c r="C966" s="37" t="inlineStr">
        <is>
          <t>к-т</t>
        </is>
      </c>
      <c r="D966" s="33" t="n"/>
      <c r="E966" s="33" t="n"/>
      <c r="F966" s="33">
        <f>E966*0.05</f>
        <v/>
      </c>
      <c r="G966" s="33">
        <f>E966+F966</f>
        <v/>
      </c>
      <c r="H966" s="33" t="n"/>
      <c r="I966" s="33" t="n"/>
      <c r="J966" s="33" t="n"/>
      <c r="K966" s="33">
        <f>L966+M966+N966</f>
        <v/>
      </c>
      <c r="L966" s="33" t="n"/>
      <c r="M966" s="33" t="n"/>
      <c r="N966" s="33" t="n"/>
      <c r="O966" s="33">
        <f>P966+Q966</f>
        <v/>
      </c>
      <c r="P966" s="33" t="n"/>
      <c r="Q966" s="33" t="n"/>
      <c r="R966" s="33">
        <f>H966+K966-O966</f>
        <v/>
      </c>
      <c r="S966" s="33" t="n"/>
      <c r="T966" s="33" t="n"/>
      <c r="U966" s="33" t="n"/>
      <c r="V966" s="33" t="n"/>
      <c r="W966" s="33" t="n"/>
      <c r="X966" s="33" t="n"/>
      <c r="Y966" s="33" t="n"/>
      <c r="Z966" s="33" t="n"/>
      <c r="AA966" s="4">
        <f>R966-G966</f>
        <v/>
      </c>
      <c r="AB966" s="4">
        <f>G966-R966</f>
        <v/>
      </c>
      <c r="AC966" s="33" t="n"/>
    </row>
    <row r="967" ht="37.5" customHeight="1">
      <c r="A967" s="35">
        <f>SUBTOTAL(103,$B$24:B967)</f>
        <v/>
      </c>
      <c r="B967" s="36" t="inlineStr">
        <is>
          <t>Морозильна камера Prime Technics GS50849 M</t>
        </is>
      </c>
      <c r="C967" s="37" t="inlineStr">
        <is>
          <t>к-т</t>
        </is>
      </c>
      <c r="D967" s="33" t="n"/>
      <c r="E967" s="33" t="n"/>
      <c r="F967" s="33">
        <f>E967*0.05</f>
        <v/>
      </c>
      <c r="G967" s="33">
        <f>E967+F967</f>
        <v/>
      </c>
      <c r="H967" s="33" t="n"/>
      <c r="I967" s="33" t="n"/>
      <c r="J967" s="33" t="n"/>
      <c r="K967" s="33">
        <f>L967+M967+N967</f>
        <v/>
      </c>
      <c r="L967" s="33" t="n"/>
      <c r="M967" s="33" t="n"/>
      <c r="N967" s="33" t="n"/>
      <c r="O967" s="33">
        <f>P967+Q967</f>
        <v/>
      </c>
      <c r="P967" s="33" t="n"/>
      <c r="Q967" s="33" t="n"/>
      <c r="R967" s="33">
        <f>H967+K967-O967</f>
        <v/>
      </c>
      <c r="S967" s="33" t="n"/>
      <c r="T967" s="33" t="n"/>
      <c r="U967" s="33" t="n"/>
      <c r="V967" s="33" t="n"/>
      <c r="W967" s="33" t="n"/>
      <c r="X967" s="33" t="n"/>
      <c r="Y967" s="33" t="n"/>
      <c r="Z967" s="33" t="n"/>
      <c r="AA967" s="4">
        <f>R967-G967</f>
        <v/>
      </c>
      <c r="AB967" s="4">
        <f>G967-R967</f>
        <v/>
      </c>
      <c r="AC967" s="33" t="n"/>
    </row>
    <row r="968" ht="37.5" customHeight="1">
      <c r="A968" s="35">
        <f>SUBTOTAL(103,$B$24:B968)</f>
        <v/>
      </c>
      <c r="B968" s="36" t="inlineStr">
        <is>
          <t>Морозильна шафа HURAKAN HKN-GX650BT 650л.</t>
        </is>
      </c>
      <c r="C968" s="37" t="inlineStr">
        <is>
          <t>к-т</t>
        </is>
      </c>
      <c r="D968" s="33" t="n"/>
      <c r="E968" s="33" t="n"/>
      <c r="F968" s="33">
        <f>E968*0.05</f>
        <v/>
      </c>
      <c r="G968" s="33">
        <f>E968+F968</f>
        <v/>
      </c>
      <c r="H968" s="33" t="n"/>
      <c r="I968" s="33" t="n"/>
      <c r="J968" s="33" t="n"/>
      <c r="K968" s="33">
        <f>L968+M968+N968</f>
        <v/>
      </c>
      <c r="L968" s="33" t="n"/>
      <c r="M968" s="33" t="n"/>
      <c r="N968" s="33" t="n"/>
      <c r="O968" s="33">
        <f>P968+Q968</f>
        <v/>
      </c>
      <c r="P968" s="33" t="n"/>
      <c r="Q968" s="33" t="n"/>
      <c r="R968" s="33">
        <f>H968+K968-O968</f>
        <v/>
      </c>
      <c r="S968" s="33" t="n"/>
      <c r="T968" s="33" t="n"/>
      <c r="U968" s="33" t="n"/>
      <c r="V968" s="33" t="n"/>
      <c r="W968" s="33" t="n"/>
      <c r="X968" s="33" t="n"/>
      <c r="Y968" s="33" t="n"/>
      <c r="Z968" s="33" t="n"/>
      <c r="AA968" s="4">
        <f>R968-G968</f>
        <v/>
      </c>
      <c r="AB968" s="4">
        <f>G968-R968</f>
        <v/>
      </c>
      <c r="AC968" s="33" t="n"/>
    </row>
    <row r="969" ht="37.5" customHeight="1">
      <c r="A969" s="35">
        <f>SUBTOTAL(103,$B$24:B969)</f>
        <v/>
      </c>
      <c r="B969" s="36" t="inlineStr">
        <is>
          <t>Морозильна шафа HURAKAN HKN-GX1400 1400л.</t>
        </is>
      </c>
      <c r="C969" s="37" t="inlineStr">
        <is>
          <t>к-т</t>
        </is>
      </c>
      <c r="D969" s="33" t="n"/>
      <c r="E969" s="33" t="n"/>
      <c r="F969" s="33">
        <f>E969*0.05</f>
        <v/>
      </c>
      <c r="G969" s="33">
        <f>E969+F969</f>
        <v/>
      </c>
      <c r="H969" s="33" t="n"/>
      <c r="I969" s="33" t="n"/>
      <c r="J969" s="33" t="n"/>
      <c r="K969" s="33">
        <f>L969+M969+N969</f>
        <v/>
      </c>
      <c r="L969" s="33" t="n"/>
      <c r="M969" s="33" t="n"/>
      <c r="N969" s="33" t="n"/>
      <c r="O969" s="33">
        <f>P969+Q969</f>
        <v/>
      </c>
      <c r="P969" s="33" t="n"/>
      <c r="Q969" s="33" t="n"/>
      <c r="R969" s="33">
        <f>H969+K969-O969</f>
        <v/>
      </c>
      <c r="S969" s="33" t="n"/>
      <c r="T969" s="33" t="n"/>
      <c r="U969" s="33" t="n"/>
      <c r="V969" s="33" t="n"/>
      <c r="W969" s="33" t="n"/>
      <c r="X969" s="33" t="n"/>
      <c r="Y969" s="33" t="n"/>
      <c r="Z969" s="33" t="n"/>
      <c r="AA969" s="4">
        <f>R969-G969</f>
        <v/>
      </c>
      <c r="AB969" s="4">
        <f>G969-R969</f>
        <v/>
      </c>
      <c r="AC969" s="33" t="n"/>
    </row>
    <row r="970" ht="37.5" customHeight="1">
      <c r="A970" s="35">
        <f>SUBTOTAL(103,$B$24:B970)</f>
        <v/>
      </c>
      <c r="B970" s="36" t="inlineStr">
        <is>
          <t>Скриня морозильна PRIME TECHNICS CS M15141</t>
        </is>
      </c>
      <c r="C970" s="37" t="inlineStr">
        <is>
          <t>к-т</t>
        </is>
      </c>
      <c r="D970" s="33" t="n"/>
      <c r="E970" s="33" t="n"/>
      <c r="F970" s="33">
        <f>E970*0.05</f>
        <v/>
      </c>
      <c r="G970" s="33">
        <f>E970+F970</f>
        <v/>
      </c>
      <c r="H970" s="33" t="n"/>
      <c r="I970" s="33" t="n"/>
      <c r="J970" s="33" t="n"/>
      <c r="K970" s="33">
        <f>L970+M970+N970</f>
        <v/>
      </c>
      <c r="L970" s="33" t="n"/>
      <c r="M970" s="33" t="n"/>
      <c r="N970" s="33" t="n"/>
      <c r="O970" s="33">
        <f>P970+Q970</f>
        <v/>
      </c>
      <c r="P970" s="33" t="n"/>
      <c r="Q970" s="33" t="n"/>
      <c r="R970" s="33">
        <f>H970+K970-O970</f>
        <v/>
      </c>
      <c r="S970" s="33" t="n"/>
      <c r="T970" s="33" t="n"/>
      <c r="U970" s="33" t="n"/>
      <c r="V970" s="33" t="n"/>
      <c r="W970" s="33" t="n"/>
      <c r="X970" s="33" t="n"/>
      <c r="Y970" s="33" t="n"/>
      <c r="Z970" s="33" t="n"/>
      <c r="AA970" s="4">
        <f>R970-G970</f>
        <v/>
      </c>
      <c r="AB970" s="4">
        <f>G970-R970</f>
        <v/>
      </c>
      <c r="AC970" s="33" t="n"/>
    </row>
    <row r="971" ht="37.5" customHeight="1">
      <c r="A971" s="35">
        <f>SUBTOTAL(103,$B$24:B971)</f>
        <v/>
      </c>
      <c r="B971" s="36" t="inlineStr">
        <is>
          <t>Скриня морозильна PRIME TECHNICS CS M20141</t>
        </is>
      </c>
      <c r="C971" s="37" t="inlineStr">
        <is>
          <t>к-т</t>
        </is>
      </c>
      <c r="D971" s="33" t="n"/>
      <c r="E971" s="33" t="n"/>
      <c r="F971" s="33">
        <f>E971*0.05</f>
        <v/>
      </c>
      <c r="G971" s="33">
        <f>E971+F971</f>
        <v/>
      </c>
      <c r="H971" s="33" t="n"/>
      <c r="I971" s="33" t="n"/>
      <c r="J971" s="33" t="n"/>
      <c r="K971" s="33">
        <f>L971+M971+N971</f>
        <v/>
      </c>
      <c r="L971" s="33" t="n"/>
      <c r="M971" s="33" t="n"/>
      <c r="N971" s="33" t="n"/>
      <c r="O971" s="33">
        <f>P971+Q971</f>
        <v/>
      </c>
      <c r="P971" s="33" t="n"/>
      <c r="Q971" s="33" t="n"/>
      <c r="R971" s="33">
        <f>H971+K971-O971</f>
        <v/>
      </c>
      <c r="S971" s="33" t="n"/>
      <c r="T971" s="33" t="n"/>
      <c r="U971" s="33" t="n"/>
      <c r="V971" s="33" t="n"/>
      <c r="W971" s="33" t="n"/>
      <c r="X971" s="33" t="n"/>
      <c r="Y971" s="33" t="n"/>
      <c r="Z971" s="33" t="n"/>
      <c r="AA971" s="4">
        <f>R971-G971</f>
        <v/>
      </c>
      <c r="AB971" s="4">
        <f>G971-R971</f>
        <v/>
      </c>
      <c r="AC971" s="33" t="n"/>
    </row>
    <row r="972" ht="37.5" customHeight="1">
      <c r="A972" s="35">
        <f>SUBTOTAL(103,$B$24:B972)</f>
        <v/>
      </c>
      <c r="B972" s="36" t="inlineStr">
        <is>
          <t>Скриня морозильна PRIME TECHNICS CS M25151</t>
        </is>
      </c>
      <c r="C972" s="37" t="inlineStr">
        <is>
          <t>к-т</t>
        </is>
      </c>
      <c r="D972" s="33" t="n"/>
      <c r="E972" s="33" t="n"/>
      <c r="F972" s="33">
        <f>E972*0.05</f>
        <v/>
      </c>
      <c r="G972" s="33">
        <f>E972+F972</f>
        <v/>
      </c>
      <c r="H972" s="33" t="n"/>
      <c r="I972" s="33" t="n"/>
      <c r="J972" s="33" t="n"/>
      <c r="K972" s="33">
        <f>L972+M972+N972</f>
        <v/>
      </c>
      <c r="L972" s="33" t="n"/>
      <c r="M972" s="33" t="n"/>
      <c r="N972" s="33" t="n"/>
      <c r="O972" s="33">
        <f>P972+Q972</f>
        <v/>
      </c>
      <c r="P972" s="33" t="n"/>
      <c r="Q972" s="33" t="n"/>
      <c r="R972" s="33">
        <f>H972+K972-O972</f>
        <v/>
      </c>
      <c r="S972" s="33" t="n"/>
      <c r="T972" s="33" t="n"/>
      <c r="U972" s="33" t="n"/>
      <c r="V972" s="33" t="n"/>
      <c r="W972" s="33" t="n"/>
      <c r="X972" s="33" t="n"/>
      <c r="Y972" s="33" t="n"/>
      <c r="Z972" s="33" t="n"/>
      <c r="AA972" s="4">
        <f>R972-G972</f>
        <v/>
      </c>
      <c r="AB972" s="4">
        <f>G972-R972</f>
        <v/>
      </c>
      <c r="AC972" s="33" t="n"/>
    </row>
    <row r="973" ht="37.5" customHeight="1">
      <c r="A973" s="35">
        <f>SUBTOTAL(103,$B$24:B973)</f>
        <v/>
      </c>
      <c r="B973" s="36" t="inlineStr">
        <is>
          <t>Скриня морозильна PRIME TECHNICS CS M30141</t>
        </is>
      </c>
      <c r="C973" s="37" t="inlineStr">
        <is>
          <t>к-т</t>
        </is>
      </c>
      <c r="D973" s="33" t="n"/>
      <c r="E973" s="33" t="n"/>
      <c r="F973" s="33">
        <f>E973*0.05</f>
        <v/>
      </c>
      <c r="G973" s="33">
        <f>E973+F973</f>
        <v/>
      </c>
      <c r="H973" s="33" t="n"/>
      <c r="I973" s="33" t="n"/>
      <c r="J973" s="33" t="n"/>
      <c r="K973" s="33">
        <f>L973+M973+N973</f>
        <v/>
      </c>
      <c r="L973" s="33" t="n"/>
      <c r="M973" s="33" t="n"/>
      <c r="N973" s="33" t="n"/>
      <c r="O973" s="33">
        <f>P973+Q973</f>
        <v/>
      </c>
      <c r="P973" s="33" t="n"/>
      <c r="Q973" s="33" t="n"/>
      <c r="R973" s="33">
        <f>H973+K973-O973</f>
        <v/>
      </c>
      <c r="S973" s="33" t="n"/>
      <c r="T973" s="33" t="n"/>
      <c r="U973" s="33" t="n"/>
      <c r="V973" s="33" t="n"/>
      <c r="W973" s="33" t="n"/>
      <c r="X973" s="33" t="n"/>
      <c r="Y973" s="33" t="n"/>
      <c r="Z973" s="33" t="n"/>
      <c r="AA973" s="4">
        <f>R973-G973</f>
        <v/>
      </c>
      <c r="AB973" s="4">
        <f>G973-R973</f>
        <v/>
      </c>
      <c r="AC973" s="33" t="n"/>
    </row>
    <row r="974" ht="37.5" customHeight="1">
      <c r="A974" s="35">
        <f>SUBTOTAL(103,$B$24:B974)</f>
        <v/>
      </c>
      <c r="B974" s="36" t="inlineStr">
        <is>
          <t>Скриня морозильна PRIME TECHNICS CS M4021E</t>
        </is>
      </c>
      <c r="C974" s="37" t="inlineStr">
        <is>
          <t>к-т</t>
        </is>
      </c>
      <c r="D974" s="33" t="n"/>
      <c r="E974" s="33" t="n"/>
      <c r="F974" s="33">
        <f>E974*0.05</f>
        <v/>
      </c>
      <c r="G974" s="33">
        <f>E974+F974</f>
        <v/>
      </c>
      <c r="H974" s="33" t="n"/>
      <c r="I974" s="33" t="n"/>
      <c r="J974" s="33" t="n"/>
      <c r="K974" s="33">
        <f>L974+M974+N974</f>
        <v/>
      </c>
      <c r="L974" s="33" t="n"/>
      <c r="M974" s="33" t="n"/>
      <c r="N974" s="33" t="n"/>
      <c r="O974" s="33">
        <f>P974+Q974</f>
        <v/>
      </c>
      <c r="P974" s="33" t="n"/>
      <c r="Q974" s="33" t="n"/>
      <c r="R974" s="33">
        <f>H974+K974-O974</f>
        <v/>
      </c>
      <c r="S974" s="33" t="n"/>
      <c r="T974" s="33" t="n"/>
      <c r="U974" s="33" t="n"/>
      <c r="V974" s="33" t="n"/>
      <c r="W974" s="33" t="n"/>
      <c r="X974" s="33" t="n"/>
      <c r="Y974" s="33" t="n"/>
      <c r="Z974" s="33" t="n"/>
      <c r="AA974" s="4">
        <f>R974-G974</f>
        <v/>
      </c>
      <c r="AB974" s="4">
        <f>G974-R974</f>
        <v/>
      </c>
      <c r="AC974" s="33" t="n"/>
    </row>
    <row r="975" ht="37.5" customHeight="1">
      <c r="A975" s="35">
        <f>SUBTOTAL(103,$B$24:B975)</f>
        <v/>
      </c>
      <c r="B975" s="36" t="inlineStr">
        <is>
          <t>Скриня морозильна PRIME TECHNICS CS42149M</t>
        </is>
      </c>
      <c r="C975" s="37" t="inlineStr">
        <is>
          <t>к-т</t>
        </is>
      </c>
      <c r="D975" s="33" t="n"/>
      <c r="E975" s="33" t="n"/>
      <c r="F975" s="33">
        <f>E975*0.05</f>
        <v/>
      </c>
      <c r="G975" s="33">
        <f>E975+F975</f>
        <v/>
      </c>
      <c r="H975" s="33" t="n"/>
      <c r="I975" s="33" t="n"/>
      <c r="J975" s="33" t="n"/>
      <c r="K975" s="33">
        <f>L975+M975+N975</f>
        <v/>
      </c>
      <c r="L975" s="33" t="n"/>
      <c r="M975" s="33" t="n"/>
      <c r="N975" s="33" t="n"/>
      <c r="O975" s="33">
        <f>P975+Q975</f>
        <v/>
      </c>
      <c r="P975" s="33" t="n"/>
      <c r="Q975" s="33" t="n"/>
      <c r="R975" s="33">
        <f>H975+K975-O975</f>
        <v/>
      </c>
      <c r="S975" s="33" t="n"/>
      <c r="T975" s="33" t="n"/>
      <c r="U975" s="33" t="n"/>
      <c r="V975" s="33" t="n"/>
      <c r="W975" s="33" t="n"/>
      <c r="X975" s="33" t="n"/>
      <c r="Y975" s="33" t="n"/>
      <c r="Z975" s="33" t="n"/>
      <c r="AA975" s="4">
        <f>R975-G975</f>
        <v/>
      </c>
      <c r="AB975" s="4">
        <f>G975-R975</f>
        <v/>
      </c>
      <c r="AC975" s="33" t="n"/>
    </row>
    <row r="976" ht="37.5" customHeight="1">
      <c r="A976" s="35">
        <f>SUBTOTAL(103,$B$24:B976)</f>
        <v/>
      </c>
      <c r="B976" s="36" t="inlineStr">
        <is>
          <t>Камера морозильна PRIME TECHNICS FS 1411 M</t>
        </is>
      </c>
      <c r="C976" s="37" t="inlineStr">
        <is>
          <t>к-т</t>
        </is>
      </c>
      <c r="D976" s="33" t="n"/>
      <c r="E976" s="33" t="n"/>
      <c r="F976" s="33">
        <f>E976*0.05</f>
        <v/>
      </c>
      <c r="G976" s="33">
        <f>E976+F976</f>
        <v/>
      </c>
      <c r="H976" s="33" t="n"/>
      <c r="I976" s="33" t="n"/>
      <c r="J976" s="33" t="n"/>
      <c r="K976" s="33">
        <f>L976+M976+N976</f>
        <v/>
      </c>
      <c r="L976" s="33" t="n"/>
      <c r="M976" s="33" t="n"/>
      <c r="N976" s="33" t="n"/>
      <c r="O976" s="33">
        <f>P976+Q976</f>
        <v/>
      </c>
      <c r="P976" s="33" t="n"/>
      <c r="Q976" s="33" t="n"/>
      <c r="R976" s="33">
        <f>H976+K976-O976</f>
        <v/>
      </c>
      <c r="S976" s="33" t="n"/>
      <c r="T976" s="33" t="n"/>
      <c r="U976" s="33" t="n"/>
      <c r="V976" s="33" t="n"/>
      <c r="W976" s="33" t="n"/>
      <c r="X976" s="33" t="n"/>
      <c r="Y976" s="33" t="n"/>
      <c r="Z976" s="33" t="n"/>
      <c r="AA976" s="4">
        <f>R976-G976</f>
        <v/>
      </c>
      <c r="AB976" s="4">
        <f>G976-R976</f>
        <v/>
      </c>
      <c r="AC976" s="33" t="n"/>
    </row>
    <row r="977" ht="18.75" customHeight="1">
      <c r="A977" s="35">
        <f>SUBTOTAL(103,$B$24:B977)</f>
        <v/>
      </c>
      <c r="B977" s="36" t="inlineStr">
        <is>
          <t>Морозильна скриня "Сатурн"</t>
        </is>
      </c>
      <c r="C977" s="37" t="inlineStr">
        <is>
          <t>к-т</t>
        </is>
      </c>
      <c r="D977" s="33" t="n"/>
      <c r="E977" s="33" t="n"/>
      <c r="F977" s="33">
        <f>E977*0.05</f>
        <v/>
      </c>
      <c r="G977" s="33">
        <f>E977+F977</f>
        <v/>
      </c>
      <c r="H977" s="33" t="n"/>
      <c r="I977" s="33" t="n"/>
      <c r="J977" s="33" t="n"/>
      <c r="K977" s="33">
        <f>L977+M977+N977</f>
        <v/>
      </c>
      <c r="L977" s="33" t="n"/>
      <c r="M977" s="33" t="n"/>
      <c r="N977" s="33" t="n"/>
      <c r="O977" s="33">
        <f>P977+Q977</f>
        <v/>
      </c>
      <c r="P977" s="33" t="n"/>
      <c r="Q977" s="33" t="n"/>
      <c r="R977" s="33">
        <f>H977+K977-O977</f>
        <v/>
      </c>
      <c r="S977" s="33" t="n"/>
      <c r="T977" s="33" t="n"/>
      <c r="U977" s="33" t="n"/>
      <c r="V977" s="33" t="n"/>
      <c r="W977" s="33" t="n"/>
      <c r="X977" s="33" t="n"/>
      <c r="Y977" s="33" t="n"/>
      <c r="Z977" s="33" t="n"/>
      <c r="AA977" s="4">
        <f>R977-G977</f>
        <v/>
      </c>
      <c r="AB977" s="4">
        <f>G977-R977</f>
        <v/>
      </c>
      <c r="AC977" s="33" t="n"/>
    </row>
    <row r="978" ht="37.5" customHeight="1">
      <c r="A978" s="35">
        <f>SUBTOTAL(103,$B$24:B978)</f>
        <v/>
      </c>
      <c r="B978" s="36" t="inlineStr">
        <is>
          <t>Морозильна скриня "MYSTERY" MFC-290</t>
        </is>
      </c>
      <c r="C978" s="37" t="inlineStr">
        <is>
          <t>к-т</t>
        </is>
      </c>
      <c r="D978" s="33" t="n"/>
      <c r="E978" s="33" t="n"/>
      <c r="F978" s="33">
        <f>E978*0.05</f>
        <v/>
      </c>
      <c r="G978" s="33">
        <f>E978+F978</f>
        <v/>
      </c>
      <c r="H978" s="33" t="n"/>
      <c r="I978" s="33" t="n"/>
      <c r="J978" s="33" t="n"/>
      <c r="K978" s="33">
        <f>L978+M978+N978</f>
        <v/>
      </c>
      <c r="L978" s="33" t="n"/>
      <c r="M978" s="33" t="n"/>
      <c r="N978" s="33" t="n"/>
      <c r="O978" s="33">
        <f>P978+Q978</f>
        <v/>
      </c>
      <c r="P978" s="33" t="n"/>
      <c r="Q978" s="33" t="n"/>
      <c r="R978" s="33">
        <f>H978+K978-O978</f>
        <v/>
      </c>
      <c r="S978" s="33" t="n"/>
      <c r="T978" s="33" t="n"/>
      <c r="U978" s="33" t="n"/>
      <c r="V978" s="33" t="n"/>
      <c r="W978" s="33" t="n"/>
      <c r="X978" s="33" t="n"/>
      <c r="Y978" s="33" t="n"/>
      <c r="Z978" s="33" t="n"/>
      <c r="AA978" s="4">
        <f>R978-G978</f>
        <v/>
      </c>
      <c r="AB978" s="4">
        <f>G978-R978</f>
        <v/>
      </c>
      <c r="AC978" s="33" t="n"/>
    </row>
    <row r="979" ht="37.5" customHeight="1">
      <c r="A979" s="35">
        <f>SUBTOTAL(103,$B$24:B979)</f>
        <v/>
      </c>
      <c r="B979" s="36" t="inlineStr">
        <is>
          <t>Морозильна скриня Frost Stream STORM</t>
        </is>
      </c>
      <c r="C979" s="37" t="inlineStr">
        <is>
          <t>к-т</t>
        </is>
      </c>
      <c r="D979" s="33" t="n"/>
      <c r="E979" s="33" t="n"/>
      <c r="F979" s="33">
        <f>E979*0.05</f>
        <v/>
      </c>
      <c r="G979" s="33">
        <f>E979+F979</f>
        <v/>
      </c>
      <c r="H979" s="33" t="n"/>
      <c r="I979" s="33" t="n"/>
      <c r="J979" s="33" t="n"/>
      <c r="K979" s="33">
        <f>L979+M979+N979</f>
        <v/>
      </c>
      <c r="L979" s="33" t="n"/>
      <c r="M979" s="33" t="n"/>
      <c r="N979" s="33" t="n"/>
      <c r="O979" s="33">
        <f>P979+Q979</f>
        <v/>
      </c>
      <c r="P979" s="33" t="n"/>
      <c r="Q979" s="33" t="n"/>
      <c r="R979" s="33">
        <f>H979+K979-O979</f>
        <v/>
      </c>
      <c r="S979" s="33" t="n"/>
      <c r="T979" s="33" t="n"/>
      <c r="U979" s="33" t="n"/>
      <c r="V979" s="33" t="n"/>
      <c r="W979" s="33" t="n"/>
      <c r="X979" s="33" t="n"/>
      <c r="Y979" s="33" t="n"/>
      <c r="Z979" s="33" t="n"/>
      <c r="AA979" s="4">
        <f>R979-G979</f>
        <v/>
      </c>
      <c r="AB979" s="4">
        <f>G979-R979</f>
        <v/>
      </c>
      <c r="AC979" s="33" t="n"/>
    </row>
    <row r="980" ht="37.5" customHeight="1">
      <c r="A980" s="35">
        <f>SUBTOTAL(103,$B$24:B980)</f>
        <v/>
      </c>
      <c r="B980" s="36" t="inlineStr">
        <is>
          <t>Скриня морозильна SATURN ST-CF 1906</t>
        </is>
      </c>
      <c r="C980" s="37" t="inlineStr">
        <is>
          <t>к-т</t>
        </is>
      </c>
      <c r="D980" s="33" t="n"/>
      <c r="E980" s="33" t="n"/>
      <c r="F980" s="33">
        <f>E980*0.05</f>
        <v/>
      </c>
      <c r="G980" s="33">
        <f>E980+F980</f>
        <v/>
      </c>
      <c r="H980" s="33" t="n"/>
      <c r="I980" s="33" t="n"/>
      <c r="J980" s="33" t="n"/>
      <c r="K980" s="33">
        <f>L980+M980+N980</f>
        <v/>
      </c>
      <c r="L980" s="33" t="n"/>
      <c r="M980" s="33" t="n"/>
      <c r="N980" s="33" t="n"/>
      <c r="O980" s="33">
        <f>P980+Q980</f>
        <v/>
      </c>
      <c r="P980" s="33" t="n"/>
      <c r="Q980" s="33" t="n"/>
      <c r="R980" s="33">
        <f>H980+K980-O980</f>
        <v/>
      </c>
      <c r="S980" s="33" t="n"/>
      <c r="T980" s="33" t="n"/>
      <c r="U980" s="33" t="n"/>
      <c r="V980" s="33" t="n"/>
      <c r="W980" s="33" t="n"/>
      <c r="X980" s="33" t="n"/>
      <c r="Y980" s="33" t="n"/>
      <c r="Z980" s="33" t="n"/>
      <c r="AA980" s="4">
        <f>R980-G980</f>
        <v/>
      </c>
      <c r="AB980" s="4">
        <f>G980-R980</f>
        <v/>
      </c>
      <c r="AC980" s="33" t="n"/>
    </row>
    <row r="981" ht="18.75" customHeight="1">
      <c r="A981" s="35">
        <f>SUBTOTAL(103,$B$24:B981)</f>
        <v/>
      </c>
      <c r="B981" s="36" t="inlineStr">
        <is>
          <t>Скриня морозильна PRIME 145 л.</t>
        </is>
      </c>
      <c r="C981" s="37" t="inlineStr">
        <is>
          <t>к-т</t>
        </is>
      </c>
      <c r="D981" s="33" t="n"/>
      <c r="E981" s="33" t="n"/>
      <c r="F981" s="33">
        <f>E981*0.05</f>
        <v/>
      </c>
      <c r="G981" s="33">
        <f>E981+F981</f>
        <v/>
      </c>
      <c r="H981" s="33" t="n"/>
      <c r="I981" s="33" t="n"/>
      <c r="J981" s="33" t="n"/>
      <c r="K981" s="33">
        <f>L981+M981+N981</f>
        <v/>
      </c>
      <c r="L981" s="33" t="n"/>
      <c r="M981" s="33" t="n"/>
      <c r="N981" s="33" t="n"/>
      <c r="O981" s="33">
        <f>P981+Q981</f>
        <v/>
      </c>
      <c r="P981" s="33" t="n"/>
      <c r="Q981" s="33" t="n"/>
      <c r="R981" s="33">
        <f>H981+K981-O981</f>
        <v/>
      </c>
      <c r="S981" s="33" t="n"/>
      <c r="T981" s="33" t="n"/>
      <c r="U981" s="33" t="n"/>
      <c r="V981" s="33" t="n"/>
      <c r="W981" s="33" t="n"/>
      <c r="X981" s="33" t="n"/>
      <c r="Y981" s="33" t="n"/>
      <c r="Z981" s="33" t="n"/>
      <c r="AA981" s="4">
        <f>R981-G981</f>
        <v/>
      </c>
      <c r="AB981" s="4">
        <f>G981-R981</f>
        <v/>
      </c>
      <c r="AC981" s="33" t="n"/>
    </row>
    <row r="982" ht="56.25" customHeight="1">
      <c r="A982" s="35">
        <f>SUBTOTAL(103,$B$24:B982)</f>
        <v/>
      </c>
      <c r="B982" s="36" t="inlineStr">
        <is>
          <t>Скриня (камера морозильна) холодильна низькотемпературна Delfa DGFG-300 (250-300 л.)</t>
        </is>
      </c>
      <c r="C982" s="37" t="inlineStr">
        <is>
          <t>к-т</t>
        </is>
      </c>
      <c r="D982" s="33" t="n"/>
      <c r="E982" s="33" t="n"/>
      <c r="F982" s="33">
        <f>E982*0.05</f>
        <v/>
      </c>
      <c r="G982" s="33">
        <f>E982+F982</f>
        <v/>
      </c>
      <c r="H982" s="33" t="n"/>
      <c r="I982" s="33" t="n"/>
      <c r="J982" s="33" t="n"/>
      <c r="K982" s="33">
        <f>L982+M982+N982</f>
        <v/>
      </c>
      <c r="L982" s="33" t="n"/>
      <c r="M982" s="33" t="n"/>
      <c r="N982" s="33" t="n"/>
      <c r="O982" s="33">
        <f>P982+Q982</f>
        <v/>
      </c>
      <c r="P982" s="33" t="n"/>
      <c r="Q982" s="33" t="n"/>
      <c r="R982" s="33">
        <f>H982+K982-O982</f>
        <v/>
      </c>
      <c r="S982" s="33" t="n"/>
      <c r="T982" s="33" t="n"/>
      <c r="U982" s="33" t="n"/>
      <c r="V982" s="33" t="n"/>
      <c r="W982" s="33" t="n"/>
      <c r="X982" s="33" t="n"/>
      <c r="Y982" s="33" t="n"/>
      <c r="Z982" s="33" t="n"/>
      <c r="AA982" s="4">
        <f>R982-G982</f>
        <v/>
      </c>
      <c r="AB982" s="4">
        <f>G982-R982</f>
        <v/>
      </c>
      <c r="AC982" s="33" t="n"/>
    </row>
    <row r="983" ht="18.75" customHeight="1">
      <c r="A983" s="35">
        <f>SUBTOTAL(103,$B$24:B983)</f>
        <v/>
      </c>
      <c r="B983" s="36" t="inlineStr">
        <is>
          <t>Камера морозильна ERGO BDFN-147</t>
        </is>
      </c>
      <c r="C983" s="37" t="inlineStr">
        <is>
          <t>к-т</t>
        </is>
      </c>
      <c r="D983" s="33" t="n"/>
      <c r="E983" s="33" t="n"/>
      <c r="F983" s="33">
        <f>E983*0.05</f>
        <v/>
      </c>
      <c r="G983" s="33">
        <f>E983+F983</f>
        <v/>
      </c>
      <c r="H983" s="33" t="n"/>
      <c r="I983" s="33" t="n"/>
      <c r="J983" s="33" t="n"/>
      <c r="K983" s="33">
        <f>L983+M983+N983</f>
        <v/>
      </c>
      <c r="L983" s="33" t="n"/>
      <c r="M983" s="33" t="n"/>
      <c r="N983" s="33" t="n"/>
      <c r="O983" s="33">
        <f>P983+Q983</f>
        <v/>
      </c>
      <c r="P983" s="33" t="n"/>
      <c r="Q983" s="33" t="n"/>
      <c r="R983" s="33">
        <f>H983+K983-O983</f>
        <v/>
      </c>
      <c r="S983" s="33" t="n"/>
      <c r="T983" s="33" t="n"/>
      <c r="U983" s="33" t="n"/>
      <c r="V983" s="33" t="n"/>
      <c r="W983" s="33" t="n"/>
      <c r="X983" s="33" t="n"/>
      <c r="Y983" s="33" t="n"/>
      <c r="Z983" s="33" t="n"/>
      <c r="AA983" s="4">
        <f>R983-G983</f>
        <v/>
      </c>
      <c r="AB983" s="4">
        <f>G983-R983</f>
        <v/>
      </c>
      <c r="AC983" s="33" t="n"/>
    </row>
    <row r="984" ht="37.5" customHeight="1">
      <c r="A984" s="35">
        <f>SUBTOTAL(103,$B$24:B984)</f>
        <v/>
      </c>
      <c r="B984" s="36" t="inlineStr">
        <is>
          <t>Скриня морозильна з обємом 100-150 л. ARCTIC ARL 155</t>
        </is>
      </c>
      <c r="C984" s="37" t="inlineStr">
        <is>
          <t>к-т</t>
        </is>
      </c>
      <c r="D984" s="33" t="n"/>
      <c r="E984" s="33" t="n"/>
      <c r="F984" s="33">
        <f>E984*0.05</f>
        <v/>
      </c>
      <c r="G984" s="33">
        <f>E984+F984</f>
        <v/>
      </c>
      <c r="H984" s="33" t="n"/>
      <c r="I984" s="33" t="n"/>
      <c r="J984" s="33" t="n"/>
      <c r="K984" s="33">
        <f>L984+M984+N984</f>
        <v/>
      </c>
      <c r="L984" s="33" t="n"/>
      <c r="M984" s="33" t="n"/>
      <c r="N984" s="33" t="n"/>
      <c r="O984" s="33">
        <f>P984+Q984</f>
        <v/>
      </c>
      <c r="P984" s="33" t="n"/>
      <c r="Q984" s="33" t="n"/>
      <c r="R984" s="33">
        <f>H984+K984-O984</f>
        <v/>
      </c>
      <c r="S984" s="33" t="n"/>
      <c r="T984" s="33" t="n"/>
      <c r="U984" s="33" t="n"/>
      <c r="V984" s="33" t="n"/>
      <c r="W984" s="33" t="n"/>
      <c r="X984" s="33" t="n"/>
      <c r="Y984" s="33" t="n"/>
      <c r="Z984" s="33" t="n"/>
      <c r="AA984" s="4">
        <f>R984-G984</f>
        <v/>
      </c>
      <c r="AB984" s="4">
        <f>G984-R984</f>
        <v/>
      </c>
      <c r="AC984" s="33" t="n"/>
    </row>
    <row r="985" ht="37.5" customHeight="1">
      <c r="A985" s="35">
        <f>SUBTOTAL(103,$B$24:B985)</f>
        <v/>
      </c>
      <c r="B985" s="36" t="inlineStr">
        <is>
          <t>Камера морозильна АТЛАНТ М-7605-500</t>
        </is>
      </c>
      <c r="C985" s="37" t="inlineStr">
        <is>
          <t>к-т</t>
        </is>
      </c>
      <c r="D985" s="33" t="n"/>
      <c r="E985" s="33" t="n"/>
      <c r="F985" s="33">
        <f>E985*0.05</f>
        <v/>
      </c>
      <c r="G985" s="33">
        <f>E985+F985</f>
        <v/>
      </c>
      <c r="H985" s="33" t="n"/>
      <c r="I985" s="33" t="n"/>
      <c r="J985" s="33" t="n"/>
      <c r="K985" s="33">
        <f>L985+M985+N985</f>
        <v/>
      </c>
      <c r="L985" s="33" t="n"/>
      <c r="M985" s="33" t="n"/>
      <c r="N985" s="33" t="n"/>
      <c r="O985" s="33">
        <f>P985+Q985</f>
        <v/>
      </c>
      <c r="P985" s="33" t="n"/>
      <c r="Q985" s="33" t="n"/>
      <c r="R985" s="33">
        <f>H985+K985-O985</f>
        <v/>
      </c>
      <c r="S985" s="33" t="n"/>
      <c r="T985" s="33" t="n"/>
      <c r="U985" s="33" t="n"/>
      <c r="V985" s="33" t="n"/>
      <c r="W985" s="33" t="n"/>
      <c r="X985" s="33" t="n"/>
      <c r="Y985" s="33" t="n"/>
      <c r="Z985" s="33" t="n"/>
      <c r="AA985" s="4">
        <f>R985-G985</f>
        <v/>
      </c>
      <c r="AB985" s="4">
        <f>G985-R985</f>
        <v/>
      </c>
      <c r="AC985" s="33" t="n"/>
    </row>
    <row r="986" ht="37.5" customHeight="1">
      <c r="A986" s="35">
        <f>SUBTOTAL(103,$B$24:B986)</f>
        <v/>
      </c>
      <c r="B986" s="36" t="inlineStr">
        <is>
          <t>Камера морозильна GRUNHELM GCFW-380</t>
        </is>
      </c>
      <c r="C986" s="37" t="inlineStr">
        <is>
          <t>к-т</t>
        </is>
      </c>
      <c r="D986" s="33" t="n"/>
      <c r="E986" s="33" t="n"/>
      <c r="F986" s="33">
        <f>E986*0.05</f>
        <v/>
      </c>
      <c r="G986" s="33">
        <f>E986+F986</f>
        <v/>
      </c>
      <c r="H986" s="33" t="n"/>
      <c r="I986" s="33" t="n"/>
      <c r="J986" s="33" t="n"/>
      <c r="K986" s="33">
        <f>L986+M986+N986</f>
        <v/>
      </c>
      <c r="L986" s="33" t="n"/>
      <c r="M986" s="33" t="n"/>
      <c r="N986" s="33" t="n"/>
      <c r="O986" s="33">
        <f>P986+Q986</f>
        <v/>
      </c>
      <c r="P986" s="33" t="n"/>
      <c r="Q986" s="33" t="n"/>
      <c r="R986" s="33">
        <f>H986+K986-O986</f>
        <v/>
      </c>
      <c r="S986" s="33" t="n"/>
      <c r="T986" s="33" t="n"/>
      <c r="U986" s="33" t="n"/>
      <c r="V986" s="33" t="n"/>
      <c r="W986" s="33" t="n"/>
      <c r="X986" s="33" t="n"/>
      <c r="Y986" s="33" t="n"/>
      <c r="Z986" s="33" t="n"/>
      <c r="AA986" s="4">
        <f>R986-G986</f>
        <v/>
      </c>
      <c r="AB986" s="4">
        <f>G986-R986</f>
        <v/>
      </c>
      <c r="AC986" s="33" t="n"/>
    </row>
    <row r="987" ht="37.5" customHeight="1">
      <c r="A987" s="35">
        <f>SUBTOTAL(103,$B$24:B987)</f>
        <v/>
      </c>
      <c r="B987" s="36" t="inlineStr">
        <is>
          <t>Скриня морозильна UDD560BK-GT502 UGUR (449 л.)</t>
        </is>
      </c>
      <c r="C987" s="37" t="inlineStr">
        <is>
          <t>к-т</t>
        </is>
      </c>
      <c r="D987" s="33" t="n"/>
      <c r="E987" s="33" t="n"/>
      <c r="F987" s="33">
        <f>E987*0.05</f>
        <v/>
      </c>
      <c r="G987" s="33">
        <f>E987+F987</f>
        <v/>
      </c>
      <c r="H987" s="33" t="n"/>
      <c r="I987" s="33" t="n"/>
      <c r="J987" s="33" t="n"/>
      <c r="K987" s="33">
        <f>L987+M987+N987</f>
        <v/>
      </c>
      <c r="L987" s="33" t="n"/>
      <c r="M987" s="33" t="n"/>
      <c r="N987" s="33" t="n"/>
      <c r="O987" s="33">
        <f>P987+Q987</f>
        <v/>
      </c>
      <c r="P987" s="33" t="n"/>
      <c r="Q987" s="33" t="n"/>
      <c r="R987" s="33">
        <f>H987+K987-O987</f>
        <v/>
      </c>
      <c r="S987" s="33" t="n"/>
      <c r="T987" s="33" t="n"/>
      <c r="U987" s="33" t="n"/>
      <c r="V987" s="33" t="n"/>
      <c r="W987" s="33" t="n"/>
      <c r="X987" s="33" t="n"/>
      <c r="Y987" s="33" t="n"/>
      <c r="Z987" s="33" t="n"/>
      <c r="AA987" s="4">
        <f>R987-G987</f>
        <v/>
      </c>
      <c r="AB987" s="4">
        <f>G987-R987</f>
        <v/>
      </c>
      <c r="AC987" s="33" t="n"/>
    </row>
    <row r="988" ht="56.25" customHeight="1">
      <c r="A988" s="35">
        <f>SUBTOTAL(103,$B$24:B988)</f>
        <v/>
      </c>
      <c r="B988" s="36" t="inlineStr">
        <is>
          <t>Скриня холодильна низькотемпературна з обємом 250-300 л. ARCTIC ARL-260</t>
        </is>
      </c>
      <c r="C988" s="37" t="inlineStr">
        <is>
          <t>к-т</t>
        </is>
      </c>
      <c r="D988" s="33" t="n"/>
      <c r="E988" s="33" t="n"/>
      <c r="F988" s="33">
        <f>E988*0.05</f>
        <v/>
      </c>
      <c r="G988" s="33">
        <f>E988+F988</f>
        <v/>
      </c>
      <c r="H988" s="33" t="n"/>
      <c r="I988" s="33" t="n"/>
      <c r="J988" s="33" t="n"/>
      <c r="K988" s="33">
        <f>L988+M988+N988</f>
        <v/>
      </c>
      <c r="L988" s="33" t="n"/>
      <c r="M988" s="33" t="n"/>
      <c r="N988" s="33" t="n"/>
      <c r="O988" s="33">
        <f>P988+Q988</f>
        <v/>
      </c>
      <c r="P988" s="33" t="n"/>
      <c r="Q988" s="33" t="n"/>
      <c r="R988" s="33">
        <f>H988+K988-O988</f>
        <v/>
      </c>
      <c r="S988" s="33" t="n"/>
      <c r="T988" s="33" t="n"/>
      <c r="U988" s="33" t="n"/>
      <c r="V988" s="33" t="n"/>
      <c r="W988" s="33" t="n"/>
      <c r="X988" s="33" t="n"/>
      <c r="Y988" s="33" t="n"/>
      <c r="Z988" s="33" t="n"/>
      <c r="AA988" s="4">
        <f>R988-G988</f>
        <v/>
      </c>
      <c r="AB988" s="4">
        <f>G988-R988</f>
        <v/>
      </c>
      <c r="AC988" s="33" t="n"/>
    </row>
    <row r="989" ht="18.75" customHeight="1">
      <c r="A989" s="35">
        <f>SUBTOTAL(103,$B$24:B989)</f>
        <v/>
      </c>
      <c r="B989" s="36" t="inlineStr">
        <is>
          <t>Морозильна камера на 500 літрів</t>
        </is>
      </c>
      <c r="C989" s="37" t="inlineStr">
        <is>
          <t>к-т</t>
        </is>
      </c>
      <c r="D989" s="33" t="n"/>
      <c r="E989" s="33" t="n"/>
      <c r="F989" s="33">
        <f>E989*0.05</f>
        <v/>
      </c>
      <c r="G989" s="33">
        <f>E989+F989</f>
        <v/>
      </c>
      <c r="H989" s="33" t="n"/>
      <c r="I989" s="33" t="n"/>
      <c r="J989" s="33" t="n"/>
      <c r="K989" s="33">
        <f>L989+M989+N989</f>
        <v/>
      </c>
      <c r="L989" s="33" t="n"/>
      <c r="M989" s="33" t="n"/>
      <c r="N989" s="33" t="n"/>
      <c r="O989" s="33">
        <f>P989+Q989</f>
        <v/>
      </c>
      <c r="P989" s="33" t="n"/>
      <c r="Q989" s="33" t="n"/>
      <c r="R989" s="33">
        <f>H989+K989-O989</f>
        <v/>
      </c>
      <c r="S989" s="33" t="n"/>
      <c r="T989" s="33" t="n"/>
      <c r="U989" s="33" t="n"/>
      <c r="V989" s="33" t="n"/>
      <c r="W989" s="33" t="n"/>
      <c r="X989" s="33" t="n"/>
      <c r="Y989" s="33" t="n"/>
      <c r="Z989" s="33" t="n"/>
      <c r="AA989" s="4">
        <f>R989-G989</f>
        <v/>
      </c>
      <c r="AB989" s="4">
        <f>G989-R989</f>
        <v/>
      </c>
      <c r="AC989" s="33" t="n"/>
    </row>
    <row r="990" ht="18.75" customHeight="1">
      <c r="A990" s="35">
        <f>SUBTOTAL(103,$B$24:B990)</f>
        <v/>
      </c>
      <c r="B990" s="36" t="inlineStr">
        <is>
          <t>Морозильна камера Liebherr</t>
        </is>
      </c>
      <c r="C990" s="37" t="inlineStr">
        <is>
          <t>к-т</t>
        </is>
      </c>
      <c r="D990" s="33" t="n"/>
      <c r="E990" s="33" t="n"/>
      <c r="F990" s="33">
        <f>E990*0.05</f>
        <v/>
      </c>
      <c r="G990" s="33">
        <f>E990+F990</f>
        <v/>
      </c>
      <c r="H990" s="33" t="n"/>
      <c r="I990" s="33" t="n"/>
      <c r="J990" s="33" t="n"/>
      <c r="K990" s="33">
        <f>L990+M990+N990</f>
        <v/>
      </c>
      <c r="L990" s="33" t="n"/>
      <c r="M990" s="33" t="n"/>
      <c r="N990" s="33" t="n"/>
      <c r="O990" s="33">
        <f>P990+Q990</f>
        <v/>
      </c>
      <c r="P990" s="33" t="n"/>
      <c r="Q990" s="33" t="n"/>
      <c r="R990" s="33">
        <f>H990+K990-O990</f>
        <v/>
      </c>
      <c r="S990" s="33" t="n"/>
      <c r="T990" s="33" t="n"/>
      <c r="U990" s="33" t="n"/>
      <c r="V990" s="33" t="n"/>
      <c r="W990" s="33" t="n"/>
      <c r="X990" s="33" t="n"/>
      <c r="Y990" s="33" t="n"/>
      <c r="Z990" s="33" t="n"/>
      <c r="AA990" s="4">
        <f>R990-G990</f>
        <v/>
      </c>
      <c r="AB990" s="4">
        <f>G990-R990</f>
        <v/>
      </c>
      <c r="AC990" s="33" t="n"/>
    </row>
    <row r="991" ht="18.75" customHeight="1">
      <c r="A991" s="35">
        <f>SUBTOTAL(103,$B$24:B991)</f>
        <v/>
      </c>
      <c r="B991" s="36" t="inlineStr">
        <is>
          <t>Морозильна камера Siemens</t>
        </is>
      </c>
      <c r="C991" s="37" t="inlineStr">
        <is>
          <t>к-т</t>
        </is>
      </c>
      <c r="D991" s="33" t="n"/>
      <c r="E991" s="33" t="n"/>
      <c r="F991" s="33">
        <f>E991*0.05</f>
        <v/>
      </c>
      <c r="G991" s="33">
        <f>E991+F991</f>
        <v/>
      </c>
      <c r="H991" s="33" t="n"/>
      <c r="I991" s="33" t="n"/>
      <c r="J991" s="33" t="n"/>
      <c r="K991" s="33">
        <f>L991+M991+N991</f>
        <v/>
      </c>
      <c r="L991" s="33" t="n"/>
      <c r="M991" s="33" t="n"/>
      <c r="N991" s="33" t="n"/>
      <c r="O991" s="33">
        <f>P991+Q991</f>
        <v/>
      </c>
      <c r="P991" s="33" t="n"/>
      <c r="Q991" s="33" t="n"/>
      <c r="R991" s="33">
        <f>H991+K991-O991</f>
        <v/>
      </c>
      <c r="S991" s="33" t="n"/>
      <c r="T991" s="33" t="n"/>
      <c r="U991" s="33" t="n"/>
      <c r="V991" s="33" t="n"/>
      <c r="W991" s="33" t="n"/>
      <c r="X991" s="33" t="n"/>
      <c r="Y991" s="33" t="n"/>
      <c r="Z991" s="33" t="n"/>
      <c r="AA991" s="4">
        <f>R991-G991</f>
        <v/>
      </c>
      <c r="AB991" s="4">
        <f>G991-R991</f>
        <v/>
      </c>
      <c r="AC991" s="33" t="n"/>
    </row>
    <row r="992" ht="18.75" customHeight="1">
      <c r="A992" s="35">
        <f>SUBTOTAL(103,$B$24:B992)</f>
        <v/>
      </c>
      <c r="B992" s="36" t="inlineStr">
        <is>
          <t>Морозильна камера WHIRPOOL AFG</t>
        </is>
      </c>
      <c r="C992" s="37" t="inlineStr">
        <is>
          <t>к-т</t>
        </is>
      </c>
      <c r="D992" s="33" t="n"/>
      <c r="E992" s="33" t="n"/>
      <c r="F992" s="33">
        <f>E992*0.05</f>
        <v/>
      </c>
      <c r="G992" s="33">
        <f>E992+F992</f>
        <v/>
      </c>
      <c r="H992" s="33" t="n"/>
      <c r="I992" s="33" t="n"/>
      <c r="J992" s="33" t="n"/>
      <c r="K992" s="33">
        <f>L992+M992+N992</f>
        <v/>
      </c>
      <c r="L992" s="33" t="n"/>
      <c r="M992" s="33" t="n"/>
      <c r="N992" s="33" t="n"/>
      <c r="O992" s="33">
        <f>P992+Q992</f>
        <v/>
      </c>
      <c r="P992" s="33" t="n"/>
      <c r="Q992" s="33" t="n"/>
      <c r="R992" s="33">
        <f>H992+K992-O992</f>
        <v/>
      </c>
      <c r="S992" s="33" t="n"/>
      <c r="T992" s="33" t="n"/>
      <c r="U992" s="33" t="n"/>
      <c r="V992" s="33" t="n"/>
      <c r="W992" s="33" t="n"/>
      <c r="X992" s="33" t="n"/>
      <c r="Y992" s="33" t="n"/>
      <c r="Z992" s="33" t="n"/>
      <c r="AA992" s="4">
        <f>R992-G992</f>
        <v/>
      </c>
      <c r="AB992" s="4">
        <f>G992-R992</f>
        <v/>
      </c>
      <c r="AC992" s="33" t="n"/>
    </row>
    <row r="993" ht="18.75" customHeight="1">
      <c r="A993" s="35">
        <f>SUBTOTAL(103,$B$24:B993)</f>
        <v/>
      </c>
      <c r="B993" s="38" t="inlineStr">
        <is>
          <t>Морозильна камера Woods RA1825DW</t>
        </is>
      </c>
      <c r="C993" s="33" t="inlineStr">
        <is>
          <t>к-т</t>
        </is>
      </c>
      <c r="D993" s="33" t="n"/>
      <c r="E993" s="33" t="n"/>
      <c r="F993" s="33">
        <f>E993*0.05</f>
        <v/>
      </c>
      <c r="G993" s="33">
        <f>E993+F993</f>
        <v/>
      </c>
      <c r="H993" s="33" t="n"/>
      <c r="I993" s="33" t="n"/>
      <c r="J993" s="33" t="n"/>
      <c r="K993" s="33">
        <f>L993+M993+N993</f>
        <v/>
      </c>
      <c r="L993" s="33" t="n"/>
      <c r="M993" s="33" t="n"/>
      <c r="N993" s="33" t="n"/>
      <c r="O993" s="33">
        <f>P993+Q993</f>
        <v/>
      </c>
      <c r="P993" s="33" t="n"/>
      <c r="Q993" s="33" t="n"/>
      <c r="R993" s="33">
        <f>H993+K993-O993</f>
        <v/>
      </c>
      <c r="S993" s="33" t="n"/>
      <c r="T993" s="33" t="n"/>
      <c r="U993" s="33" t="n"/>
      <c r="V993" s="33" t="n"/>
      <c r="W993" s="33" t="n"/>
      <c r="X993" s="33" t="n"/>
      <c r="Y993" s="33" t="n"/>
      <c r="Z993" s="33" t="n"/>
      <c r="AA993" s="4">
        <f>R993-G993</f>
        <v/>
      </c>
      <c r="AB993" s="4">
        <f>G993-R993</f>
        <v/>
      </c>
      <c r="AC993" s="33" t="n"/>
    </row>
    <row r="994" ht="37.5" customHeight="1">
      <c r="A994" s="35">
        <f>SUBTOTAL(103,$B$24:B994)</f>
        <v/>
      </c>
      <c r="B994" s="36" t="inlineStr">
        <is>
          <t>Морозильна камера INDESIT OS 1A 300H</t>
        </is>
      </c>
      <c r="C994" s="33" t="inlineStr">
        <is>
          <t>к-т</t>
        </is>
      </c>
      <c r="D994" s="33" t="n"/>
      <c r="E994" s="33" t="n"/>
      <c r="F994" s="33">
        <f>E994*0.05</f>
        <v/>
      </c>
      <c r="G994" s="33">
        <f>E994+F994</f>
        <v/>
      </c>
      <c r="H994" s="33" t="n"/>
      <c r="I994" s="33" t="n"/>
      <c r="J994" s="33" t="n"/>
      <c r="K994" s="33">
        <f>L994+M994+N994</f>
        <v/>
      </c>
      <c r="L994" s="33" t="n"/>
      <c r="M994" s="33" t="n"/>
      <c r="N994" s="33" t="n"/>
      <c r="O994" s="33">
        <f>P994+Q994</f>
        <v/>
      </c>
      <c r="P994" s="33" t="n"/>
      <c r="Q994" s="33" t="n"/>
      <c r="R994" s="33">
        <f>H994+K994-O994</f>
        <v/>
      </c>
      <c r="S994" s="33" t="n"/>
      <c r="T994" s="33" t="n"/>
      <c r="U994" s="33" t="n"/>
      <c r="V994" s="33" t="n"/>
      <c r="W994" s="33" t="n"/>
      <c r="X994" s="33" t="n"/>
      <c r="Y994" s="33" t="n"/>
      <c r="Z994" s="33" t="n"/>
      <c r="AA994" s="4">
        <f>R994-G994</f>
        <v/>
      </c>
      <c r="AB994" s="4">
        <f>G994-R994</f>
        <v/>
      </c>
      <c r="AC994" s="33" t="n"/>
    </row>
    <row r="995" ht="18.75" customHeight="1">
      <c r="A995" s="35">
        <f>SUBTOTAL(103,$B$24:B995)</f>
        <v/>
      </c>
      <c r="B995" s="36" t="inlineStr">
        <is>
          <t>Морозильна камера INDESIT DSZ 4150</t>
        </is>
      </c>
      <c r="C995" s="33" t="inlineStr">
        <is>
          <t>к-т</t>
        </is>
      </c>
      <c r="D995" s="33" t="n"/>
      <c r="E995" s="33" t="n"/>
      <c r="F995" s="33">
        <f>E995*0.05</f>
        <v/>
      </c>
      <c r="G995" s="33">
        <f>E995+F995</f>
        <v/>
      </c>
      <c r="H995" s="33" t="n"/>
      <c r="I995" s="33" t="n"/>
      <c r="J995" s="33" t="n"/>
      <c r="K995" s="33">
        <f>L995+M995+N995</f>
        <v/>
      </c>
      <c r="L995" s="33" t="n"/>
      <c r="M995" s="33" t="n"/>
      <c r="N995" s="33" t="n"/>
      <c r="O995" s="33">
        <f>P995+Q995</f>
        <v/>
      </c>
      <c r="P995" s="33" t="n"/>
      <c r="Q995" s="33" t="n"/>
      <c r="R995" s="33">
        <f>H995+K995-O995</f>
        <v/>
      </c>
      <c r="S995" s="33" t="n"/>
      <c r="T995" s="33" t="n"/>
      <c r="U995" s="33" t="n"/>
      <c r="V995" s="33" t="n"/>
      <c r="W995" s="33" t="n"/>
      <c r="X995" s="33" t="n"/>
      <c r="Y995" s="33" t="n"/>
      <c r="Z995" s="33" t="n"/>
      <c r="AA995" s="4">
        <f>R995-G995</f>
        <v/>
      </c>
      <c r="AB995" s="4">
        <f>G995-R995</f>
        <v/>
      </c>
      <c r="AC995" s="33" t="n"/>
    </row>
    <row r="996" ht="37.5" customHeight="1">
      <c r="A996" s="35">
        <f>SUBTOTAL(103,$B$24:B996)</f>
        <v/>
      </c>
      <c r="B996" s="36" t="inlineStr">
        <is>
          <t>Камера морозильна АТЛАНТ М-7184-100</t>
        </is>
      </c>
      <c r="C996" s="37" t="inlineStr">
        <is>
          <t>к-т</t>
        </is>
      </c>
      <c r="D996" s="33" t="n"/>
      <c r="E996" s="33" t="n"/>
      <c r="F996" s="33">
        <f>E996*0.05</f>
        <v/>
      </c>
      <c r="G996" s="33">
        <f>E996+F996</f>
        <v/>
      </c>
      <c r="H996" s="33" t="n"/>
      <c r="I996" s="33" t="n"/>
      <c r="J996" s="33" t="n"/>
      <c r="K996" s="33">
        <f>L996+M996+N996</f>
        <v/>
      </c>
      <c r="L996" s="33" t="n"/>
      <c r="M996" s="33" t="n"/>
      <c r="N996" s="33" t="n"/>
      <c r="O996" s="33">
        <f>P996+Q996</f>
        <v/>
      </c>
      <c r="P996" s="33" t="n"/>
      <c r="Q996" s="33" t="n"/>
      <c r="R996" s="33">
        <f>H996+K996-O996</f>
        <v/>
      </c>
      <c r="S996" s="33" t="n"/>
      <c r="T996" s="33" t="n"/>
      <c r="U996" s="33" t="n"/>
      <c r="V996" s="33" t="n"/>
      <c r="W996" s="33" t="n"/>
      <c r="X996" s="33" t="n"/>
      <c r="Y996" s="33" t="n"/>
      <c r="Z996" s="33" t="n"/>
      <c r="AA996" s="4">
        <f>R996-G996</f>
        <v/>
      </c>
      <c r="AB996" s="4">
        <f>G996-R996</f>
        <v/>
      </c>
      <c r="AC996" s="33" t="n"/>
    </row>
    <row r="997" ht="37.5" customHeight="1">
      <c r="A997" s="35">
        <f>SUBTOTAL(103,$B$24:B997)</f>
        <v/>
      </c>
      <c r="B997" s="36" t="inlineStr">
        <is>
          <t>Камера морозильна АТЛАНТ М-7184-501</t>
        </is>
      </c>
      <c r="C997" s="33" t="inlineStr">
        <is>
          <t>к-т</t>
        </is>
      </c>
      <c r="D997" s="33" t="n"/>
      <c r="E997" s="33" t="n"/>
      <c r="F997" s="33">
        <f>E997*0.05</f>
        <v/>
      </c>
      <c r="G997" s="33">
        <f>E997+F997</f>
        <v/>
      </c>
      <c r="H997" s="33" t="n"/>
      <c r="I997" s="33" t="n"/>
      <c r="J997" s="33" t="n"/>
      <c r="K997" s="33">
        <f>L997+M997+N997</f>
        <v/>
      </c>
      <c r="L997" s="33" t="n"/>
      <c r="M997" s="33" t="n"/>
      <c r="N997" s="33" t="n"/>
      <c r="O997" s="33">
        <f>P997+Q997</f>
        <v/>
      </c>
      <c r="P997" s="33" t="n"/>
      <c r="Q997" s="33" t="n"/>
      <c r="R997" s="33">
        <f>H997+K997-O997</f>
        <v/>
      </c>
      <c r="S997" s="33" t="n"/>
      <c r="T997" s="33" t="n"/>
      <c r="U997" s="33" t="n"/>
      <c r="V997" s="33" t="n"/>
      <c r="W997" s="33" t="n"/>
      <c r="X997" s="33" t="n"/>
      <c r="Y997" s="33" t="n"/>
      <c r="Z997" s="33" t="n"/>
      <c r="AA997" s="4">
        <f>R997-G997</f>
        <v/>
      </c>
      <c r="AB997" s="4">
        <f>G997-R997</f>
        <v/>
      </c>
      <c r="AC997" s="33" t="n"/>
    </row>
    <row r="998" ht="37.5" customHeight="1">
      <c r="A998" s="35">
        <f>SUBTOTAL(103,$B$24:B998)</f>
        <v/>
      </c>
      <c r="B998" s="36" t="inlineStr">
        <is>
          <t>Камера морозильна АТЛАНТ М-7201-501</t>
        </is>
      </c>
      <c r="C998" s="33" t="inlineStr">
        <is>
          <t>к-т</t>
        </is>
      </c>
      <c r="D998" s="33" t="n"/>
      <c r="E998" s="33" t="n"/>
      <c r="F998" s="33">
        <f>E998*0.05</f>
        <v/>
      </c>
      <c r="G998" s="33">
        <f>E998+F998</f>
        <v/>
      </c>
      <c r="H998" s="33" t="n"/>
      <c r="I998" s="33" t="n"/>
      <c r="J998" s="33" t="n"/>
      <c r="K998" s="33">
        <f>L998+M998+N998</f>
        <v/>
      </c>
      <c r="L998" s="33" t="n"/>
      <c r="M998" s="33" t="n"/>
      <c r="N998" s="33" t="n"/>
      <c r="O998" s="33">
        <f>P998+Q998</f>
        <v/>
      </c>
      <c r="P998" s="33" t="n"/>
      <c r="Q998" s="33" t="n"/>
      <c r="R998" s="33">
        <f>H998+K998-O998</f>
        <v/>
      </c>
      <c r="S998" s="33" t="n"/>
      <c r="T998" s="33" t="n"/>
      <c r="U998" s="33" t="n"/>
      <c r="V998" s="33" t="n"/>
      <c r="W998" s="33" t="n"/>
      <c r="X998" s="33" t="n"/>
      <c r="Y998" s="33" t="n"/>
      <c r="Z998" s="33" t="n"/>
      <c r="AA998" s="4">
        <f>R998-G998</f>
        <v/>
      </c>
      <c r="AB998" s="4">
        <f>G998-R998</f>
        <v/>
      </c>
      <c r="AC998" s="33" t="n"/>
    </row>
    <row r="999" ht="18.75" customHeight="1">
      <c r="A999" s="35">
        <f>SUBTOTAL(103,$B$24:B999)</f>
        <v/>
      </c>
      <c r="B999" s="36" t="inlineStr">
        <is>
          <t>Камера морозильна "ZANUSSI" 500 л.</t>
        </is>
      </c>
      <c r="C999" s="33" t="inlineStr">
        <is>
          <t>к-т</t>
        </is>
      </c>
      <c r="D999" s="33" t="n"/>
      <c r="E999" s="33" t="n"/>
      <c r="F999" s="33">
        <f>E999*0.05</f>
        <v/>
      </c>
      <c r="G999" s="33">
        <f>E999+F999</f>
        <v/>
      </c>
      <c r="H999" s="33" t="n"/>
      <c r="I999" s="33" t="n"/>
      <c r="J999" s="33" t="n"/>
      <c r="K999" s="33">
        <f>L999+M999+N999</f>
        <v/>
      </c>
      <c r="L999" s="33" t="n"/>
      <c r="M999" s="33" t="n"/>
      <c r="N999" s="33" t="n"/>
      <c r="O999" s="33">
        <f>P999+Q999</f>
        <v/>
      </c>
      <c r="P999" s="33" t="n"/>
      <c r="Q999" s="33" t="n"/>
      <c r="R999" s="33">
        <f>H999+K999-O999</f>
        <v/>
      </c>
      <c r="S999" s="33" t="n"/>
      <c r="T999" s="33" t="n"/>
      <c r="U999" s="33" t="n"/>
      <c r="V999" s="33" t="n"/>
      <c r="W999" s="33" t="n"/>
      <c r="X999" s="33" t="n"/>
      <c r="Y999" s="33" t="n"/>
      <c r="Z999" s="33" t="n"/>
      <c r="AA999" s="4">
        <f>R999-G999</f>
        <v/>
      </c>
      <c r="AB999" s="4">
        <f>G999-R999</f>
        <v/>
      </c>
      <c r="AC999" s="33" t="n"/>
    </row>
    <row r="1000" ht="18.75" customHeight="1">
      <c r="A1000" s="35">
        <f>SUBTOTAL(103,$B$24:B1000)</f>
        <v/>
      </c>
      <c r="B1000" s="36" t="inlineStr">
        <is>
          <t>Камера морозильна Electrolux</t>
        </is>
      </c>
      <c r="C1000" s="37" t="inlineStr">
        <is>
          <t>к-т</t>
        </is>
      </c>
      <c r="D1000" s="33" t="n"/>
      <c r="E1000" s="33" t="n"/>
      <c r="F1000" s="33">
        <f>E1000*0.05</f>
        <v/>
      </c>
      <c r="G1000" s="33">
        <f>E1000+F1000</f>
        <v/>
      </c>
      <c r="H1000" s="33" t="n"/>
      <c r="I1000" s="33" t="n"/>
      <c r="J1000" s="33" t="n"/>
      <c r="K1000" s="33">
        <f>L1000+M1000+N1000</f>
        <v/>
      </c>
      <c r="L1000" s="33" t="n"/>
      <c r="M1000" s="33" t="n"/>
      <c r="N1000" s="33" t="n"/>
      <c r="O1000" s="33">
        <f>P1000+Q1000</f>
        <v/>
      </c>
      <c r="P1000" s="33" t="n"/>
      <c r="Q1000" s="33" t="n"/>
      <c r="R1000" s="33">
        <f>H1000+K1000-O1000</f>
        <v/>
      </c>
      <c r="S1000" s="33" t="n"/>
      <c r="T1000" s="33" t="n"/>
      <c r="U1000" s="33" t="n"/>
      <c r="V1000" s="33" t="n"/>
      <c r="W1000" s="33" t="n"/>
      <c r="X1000" s="33" t="n"/>
      <c r="Y1000" s="33" t="n"/>
      <c r="Z1000" s="33" t="n"/>
      <c r="AA1000" s="4">
        <f>R1000-G1000</f>
        <v/>
      </c>
      <c r="AB1000" s="4">
        <f>G1000-R1000</f>
        <v/>
      </c>
      <c r="AC1000" s="33" t="n"/>
    </row>
    <row r="1001" ht="18.75" customHeight="1">
      <c r="A1001" s="35">
        <f>SUBTOTAL(103,$B$24:B1001)</f>
        <v/>
      </c>
      <c r="B1001" s="36" t="inlineStr">
        <is>
          <t>Камера морозильна AEG</t>
        </is>
      </c>
      <c r="C1001" s="37" t="inlineStr">
        <is>
          <t>к-т</t>
        </is>
      </c>
      <c r="D1001" s="33" t="n"/>
      <c r="E1001" s="33" t="n"/>
      <c r="F1001" s="33">
        <f>E1001*0.05</f>
        <v/>
      </c>
      <c r="G1001" s="33">
        <f>E1001+F1001</f>
        <v/>
      </c>
      <c r="H1001" s="33" t="n"/>
      <c r="I1001" s="33" t="n"/>
      <c r="J1001" s="33" t="n"/>
      <c r="K1001" s="33">
        <f>L1001+M1001+N1001</f>
        <v/>
      </c>
      <c r="L1001" s="33" t="n"/>
      <c r="M1001" s="33" t="n"/>
      <c r="N1001" s="33" t="n"/>
      <c r="O1001" s="33">
        <f>P1001+Q1001</f>
        <v/>
      </c>
      <c r="P1001" s="33" t="n"/>
      <c r="Q1001" s="33" t="n"/>
      <c r="R1001" s="33">
        <f>H1001+K1001-O1001</f>
        <v/>
      </c>
      <c r="S1001" s="33" t="n"/>
      <c r="T1001" s="33" t="n"/>
      <c r="U1001" s="33" t="n"/>
      <c r="V1001" s="33" t="n"/>
      <c r="W1001" s="33" t="n"/>
      <c r="X1001" s="33" t="n"/>
      <c r="Y1001" s="33" t="n"/>
      <c r="Z1001" s="33" t="n"/>
      <c r="AA1001" s="4">
        <f>R1001-G1001</f>
        <v/>
      </c>
      <c r="AB1001" s="4">
        <f>G1001-R1001</f>
        <v/>
      </c>
      <c r="AC1001" s="33" t="n"/>
    </row>
    <row r="1002" ht="37.5" customHeight="1">
      <c r="A1002" s="35">
        <f>SUBTOTAL(103,$B$24:B1002)</f>
        <v/>
      </c>
      <c r="B1002" s="36" t="inlineStr">
        <is>
          <t>Морозильна скриня (ларь) Saturn-ST-CF1906</t>
        </is>
      </c>
      <c r="C1002" s="37" t="inlineStr">
        <is>
          <t>к-т</t>
        </is>
      </c>
      <c r="D1002" s="33" t="n"/>
      <c r="E1002" s="33" t="n"/>
      <c r="F1002" s="33">
        <f>E1002*0.05</f>
        <v/>
      </c>
      <c r="G1002" s="33">
        <f>E1002+F1002</f>
        <v/>
      </c>
      <c r="H1002" s="33" t="n"/>
      <c r="I1002" s="33" t="n"/>
      <c r="J1002" s="33" t="n"/>
      <c r="K1002" s="33">
        <f>L1002+M1002+N1002</f>
        <v/>
      </c>
      <c r="L1002" s="33" t="n"/>
      <c r="M1002" s="33" t="n"/>
      <c r="N1002" s="33" t="n"/>
      <c r="O1002" s="33">
        <f>P1002+Q1002</f>
        <v/>
      </c>
      <c r="P1002" s="33" t="n"/>
      <c r="Q1002" s="33" t="n"/>
      <c r="R1002" s="33">
        <f>H1002+K1002-O1002</f>
        <v/>
      </c>
      <c r="S1002" s="33" t="n"/>
      <c r="T1002" s="33" t="n"/>
      <c r="U1002" s="33" t="n"/>
      <c r="V1002" s="33" t="n"/>
      <c r="W1002" s="33" t="n"/>
      <c r="X1002" s="33" t="n"/>
      <c r="Y1002" s="33" t="n"/>
      <c r="Z1002" s="33" t="n"/>
      <c r="AA1002" s="4">
        <f>R1002-G1002</f>
        <v/>
      </c>
      <c r="AB1002" s="4">
        <f>G1002-R1002</f>
        <v/>
      </c>
      <c r="AC1002" s="33" t="n"/>
    </row>
    <row r="1003" ht="37.5" customHeight="1">
      <c r="A1003" s="35">
        <f>SUBTOTAL(103,$B$24:B1003)</f>
        <v/>
      </c>
      <c r="B1003" s="36" t="inlineStr">
        <is>
          <t>Морозильна шафа (ларь)INTERLUX IL-0300CF</t>
        </is>
      </c>
      <c r="C1003" s="37" t="inlineStr">
        <is>
          <t>к-т</t>
        </is>
      </c>
      <c r="D1003" s="33" t="n"/>
      <c r="E1003" s="33" t="n"/>
      <c r="F1003" s="33">
        <f>E1003*0.05</f>
        <v/>
      </c>
      <c r="G1003" s="33">
        <f>E1003+F1003</f>
        <v/>
      </c>
      <c r="H1003" s="33" t="n"/>
      <c r="I1003" s="33" t="n"/>
      <c r="J1003" s="33" t="n"/>
      <c r="K1003" s="33">
        <f>L1003+M1003+N1003</f>
        <v/>
      </c>
      <c r="L1003" s="33" t="n"/>
      <c r="M1003" s="33" t="n"/>
      <c r="N1003" s="33" t="n"/>
      <c r="O1003" s="33">
        <f>P1003+Q1003</f>
        <v/>
      </c>
      <c r="P1003" s="33" t="n"/>
      <c r="Q1003" s="33" t="n"/>
      <c r="R1003" s="33">
        <f>H1003+K1003-O1003</f>
        <v/>
      </c>
      <c r="S1003" s="33" t="n"/>
      <c r="T1003" s="33" t="n"/>
      <c r="U1003" s="33" t="n"/>
      <c r="V1003" s="33" t="n"/>
      <c r="W1003" s="33" t="n"/>
      <c r="X1003" s="33" t="n"/>
      <c r="Y1003" s="33" t="n"/>
      <c r="Z1003" s="33" t="n"/>
      <c r="AA1003" s="4">
        <f>R1003-G1003</f>
        <v/>
      </c>
      <c r="AB1003" s="4">
        <f>G1003-R1003</f>
        <v/>
      </c>
      <c r="AC1003" s="33" t="n"/>
    </row>
    <row r="1004" ht="18.75" customHeight="1">
      <c r="A1004" s="35">
        <f>SUBTOTAL(103,$B$24:B1004)</f>
        <v/>
      </c>
      <c r="B1004" s="36" t="inlineStr">
        <is>
          <t>Холодильник-вітрина FRIGOREX</t>
        </is>
      </c>
      <c r="C1004" s="37" t="inlineStr">
        <is>
          <t>к-т</t>
        </is>
      </c>
      <c r="D1004" s="33" t="n"/>
      <c r="E1004" s="33" t="n"/>
      <c r="F1004" s="33">
        <f>E1004*0.05</f>
        <v/>
      </c>
      <c r="G1004" s="33">
        <f>E1004+F1004</f>
        <v/>
      </c>
      <c r="H1004" s="33" t="n"/>
      <c r="I1004" s="33" t="n"/>
      <c r="J1004" s="33" t="n"/>
      <c r="K1004" s="33">
        <f>L1004+M1004+N1004</f>
        <v/>
      </c>
      <c r="L1004" s="33" t="n"/>
      <c r="M1004" s="33" t="n"/>
      <c r="N1004" s="33" t="n"/>
      <c r="O1004" s="33">
        <f>P1004+Q1004</f>
        <v/>
      </c>
      <c r="P1004" s="33" t="n"/>
      <c r="Q1004" s="33" t="n"/>
      <c r="R1004" s="33">
        <f>H1004+K1004-O1004</f>
        <v/>
      </c>
      <c r="S1004" s="33" t="n"/>
      <c r="T1004" s="33" t="n"/>
      <c r="U1004" s="33" t="n"/>
      <c r="V1004" s="33" t="n"/>
      <c r="W1004" s="33" t="n"/>
      <c r="X1004" s="33" t="n"/>
      <c r="Y1004" s="33" t="n"/>
      <c r="Z1004" s="33" t="n"/>
      <c r="AA1004" s="4">
        <f>R1004-G1004</f>
        <v/>
      </c>
      <c r="AB1004" s="4">
        <f>G1004-R1004</f>
        <v/>
      </c>
      <c r="AC1004" s="33" t="n"/>
    </row>
    <row r="1005" ht="18.75" customHeight="1">
      <c r="A1005" s="35">
        <f>SUBTOTAL(103,$B$24:B1005)</f>
        <v/>
      </c>
      <c r="B1005" s="36" t="inlineStr">
        <is>
          <t>Ларь морозильний з глухою кришкою</t>
        </is>
      </c>
      <c r="C1005" s="37" t="inlineStr">
        <is>
          <t>к-т</t>
        </is>
      </c>
      <c r="D1005" s="33" t="n"/>
      <c r="E1005" s="33" t="n"/>
      <c r="F1005" s="33">
        <f>E1005*0.05</f>
        <v/>
      </c>
      <c r="G1005" s="33">
        <f>E1005+F1005</f>
        <v/>
      </c>
      <c r="H1005" s="33" t="n"/>
      <c r="I1005" s="33" t="n"/>
      <c r="J1005" s="33" t="n"/>
      <c r="K1005" s="33">
        <f>L1005+M1005+N1005</f>
        <v/>
      </c>
      <c r="L1005" s="33" t="n"/>
      <c r="M1005" s="33" t="n"/>
      <c r="N1005" s="33" t="n"/>
      <c r="O1005" s="33">
        <f>P1005+Q1005</f>
        <v/>
      </c>
      <c r="P1005" s="33" t="n"/>
      <c r="Q1005" s="33" t="n"/>
      <c r="R1005" s="33">
        <f>H1005+K1005-O1005</f>
        <v/>
      </c>
      <c r="S1005" s="33" t="n"/>
      <c r="T1005" s="33" t="n"/>
      <c r="U1005" s="33" t="n"/>
      <c r="V1005" s="33" t="n"/>
      <c r="W1005" s="33" t="n"/>
      <c r="X1005" s="33" t="n"/>
      <c r="Y1005" s="33" t="n"/>
      <c r="Z1005" s="33" t="n"/>
      <c r="AA1005" s="4">
        <f>R1005-G1005</f>
        <v/>
      </c>
      <c r="AB1005" s="4">
        <f>G1005-R1005</f>
        <v/>
      </c>
      <c r="AC1005" s="33" t="n"/>
    </row>
    <row r="1006" ht="18.75" customHeight="1">
      <c r="A1006" s="35">
        <f>SUBTOTAL(103,$B$24:B1006)</f>
        <v/>
      </c>
      <c r="B1006" s="36" t="inlineStr">
        <is>
          <t>Ларь холодильний скляний</t>
        </is>
      </c>
      <c r="C1006" s="37" t="inlineStr">
        <is>
          <t>к-т</t>
        </is>
      </c>
      <c r="D1006" s="33" t="n"/>
      <c r="E1006" s="33" t="n"/>
      <c r="F1006" s="33">
        <f>E1006*0.05</f>
        <v/>
      </c>
      <c r="G1006" s="33">
        <f>E1006+F1006</f>
        <v/>
      </c>
      <c r="H1006" s="33" t="n"/>
      <c r="I1006" s="33" t="n"/>
      <c r="J1006" s="33" t="n"/>
      <c r="K1006" s="33">
        <f>L1006+M1006+N1006</f>
        <v/>
      </c>
      <c r="L1006" s="33" t="n"/>
      <c r="M1006" s="33" t="n"/>
      <c r="N1006" s="33" t="n"/>
      <c r="O1006" s="33">
        <f>P1006+Q1006</f>
        <v/>
      </c>
      <c r="P1006" s="33" t="n"/>
      <c r="Q1006" s="33" t="n"/>
      <c r="R1006" s="33">
        <f>H1006+K1006-O1006</f>
        <v/>
      </c>
      <c r="S1006" s="33" t="n"/>
      <c r="T1006" s="33" t="n"/>
      <c r="U1006" s="33" t="n"/>
      <c r="V1006" s="33" t="n"/>
      <c r="W1006" s="33" t="n"/>
      <c r="X1006" s="33" t="n"/>
      <c r="Y1006" s="33" t="n"/>
      <c r="Z1006" s="33" t="n"/>
      <c r="AA1006" s="4">
        <f>R1006-G1006</f>
        <v/>
      </c>
      <c r="AB1006" s="4">
        <f>G1006-R1006</f>
        <v/>
      </c>
      <c r="AC1006" s="33" t="n"/>
    </row>
    <row r="1007" ht="18.75" customHeight="1">
      <c r="A1007" s="35">
        <f>SUBTOTAL(103,$B$24:B1007)</f>
        <v/>
      </c>
      <c r="B1007" s="36" t="inlineStr">
        <is>
          <t>Морозильник на стійці</t>
        </is>
      </c>
      <c r="C1007" s="37" t="inlineStr">
        <is>
          <t>к-т</t>
        </is>
      </c>
      <c r="D1007" s="33" t="n"/>
      <c r="E1007" s="33" t="n"/>
      <c r="F1007" s="33">
        <f>E1007*0.05</f>
        <v/>
      </c>
      <c r="G1007" s="33">
        <f>E1007+F1007</f>
        <v/>
      </c>
      <c r="H1007" s="33" t="n"/>
      <c r="I1007" s="33" t="n"/>
      <c r="J1007" s="33" t="n"/>
      <c r="K1007" s="33">
        <f>L1007+M1007+N1007</f>
        <v/>
      </c>
      <c r="L1007" s="33" t="n"/>
      <c r="M1007" s="33" t="n"/>
      <c r="N1007" s="33" t="n"/>
      <c r="O1007" s="33">
        <f>P1007+Q1007</f>
        <v/>
      </c>
      <c r="P1007" s="33" t="n"/>
      <c r="Q1007" s="33" t="n"/>
      <c r="R1007" s="33">
        <f>H1007+K1007-O1007</f>
        <v/>
      </c>
      <c r="S1007" s="33" t="n"/>
      <c r="T1007" s="33" t="n"/>
      <c r="U1007" s="33" t="n"/>
      <c r="V1007" s="33" t="n"/>
      <c r="W1007" s="33" t="n"/>
      <c r="X1007" s="33" t="n"/>
      <c r="Y1007" s="33" t="n"/>
      <c r="Z1007" s="33" t="n"/>
      <c r="AA1007" s="4">
        <f>R1007-G1007</f>
        <v/>
      </c>
      <c r="AB1007" s="4">
        <f>G1007-R1007</f>
        <v/>
      </c>
      <c r="AC1007" s="33" t="n"/>
    </row>
    <row r="1008" ht="18.75" customHeight="1">
      <c r="A1008" s="35">
        <f>SUBTOTAL(103,$B$24:B1008)</f>
        <v/>
      </c>
      <c r="B1008" s="36" t="inlineStr">
        <is>
          <t>Ларь морозильний AHT PARIS 210</t>
        </is>
      </c>
      <c r="C1008" s="37" t="inlineStr">
        <is>
          <t>к-т</t>
        </is>
      </c>
      <c r="D1008" s="33" t="n"/>
      <c r="E1008" s="33" t="n"/>
      <c r="F1008" s="33">
        <f>E1008*0.05</f>
        <v/>
      </c>
      <c r="G1008" s="33">
        <f>E1008+F1008</f>
        <v/>
      </c>
      <c r="H1008" s="33" t="n"/>
      <c r="I1008" s="33" t="n"/>
      <c r="J1008" s="33" t="n"/>
      <c r="K1008" s="33">
        <f>L1008+M1008+N1008</f>
        <v/>
      </c>
      <c r="L1008" s="33" t="n"/>
      <c r="M1008" s="33" t="n"/>
      <c r="N1008" s="33" t="n"/>
      <c r="O1008" s="33">
        <f>P1008+Q1008</f>
        <v/>
      </c>
      <c r="P1008" s="33" t="n"/>
      <c r="Q1008" s="33" t="n"/>
      <c r="R1008" s="33">
        <f>H1008+K1008-O1008</f>
        <v/>
      </c>
      <c r="S1008" s="33" t="n"/>
      <c r="T1008" s="33" t="n"/>
      <c r="U1008" s="33" t="n"/>
      <c r="V1008" s="33" t="n"/>
      <c r="W1008" s="33" t="n"/>
      <c r="X1008" s="33" t="n"/>
      <c r="Y1008" s="33" t="n"/>
      <c r="Z1008" s="33" t="n"/>
      <c r="AA1008" s="4">
        <f>R1008-G1008</f>
        <v/>
      </c>
      <c r="AB1008" s="4">
        <f>G1008-R1008</f>
        <v/>
      </c>
      <c r="AC1008" s="33" t="n"/>
    </row>
    <row r="1009" ht="18.75" customHeight="1">
      <c r="A1009" s="35">
        <f>SUBTOTAL(103,$B$24:B1009)</f>
        <v/>
      </c>
      <c r="B1009" s="36" t="inlineStr">
        <is>
          <t>Ларь морозильний AHT -250</t>
        </is>
      </c>
      <c r="C1009" s="37" t="inlineStr">
        <is>
          <t>к-т</t>
        </is>
      </c>
      <c r="D1009" s="33" t="n"/>
      <c r="E1009" s="33" t="n"/>
      <c r="F1009" s="33">
        <f>E1009*0.05</f>
        <v/>
      </c>
      <c r="G1009" s="33">
        <f>E1009+F1009</f>
        <v/>
      </c>
      <c r="H1009" s="33" t="n"/>
      <c r="I1009" s="33" t="n"/>
      <c r="J1009" s="33" t="n"/>
      <c r="K1009" s="33">
        <f>L1009+M1009+N1009</f>
        <v/>
      </c>
      <c r="L1009" s="33" t="n"/>
      <c r="M1009" s="33" t="n"/>
      <c r="N1009" s="33" t="n"/>
      <c r="O1009" s="33">
        <f>P1009+Q1009</f>
        <v/>
      </c>
      <c r="P1009" s="33" t="n"/>
      <c r="Q1009" s="33" t="n"/>
      <c r="R1009" s="33">
        <f>H1009+K1009-O1009</f>
        <v/>
      </c>
      <c r="S1009" s="33" t="n"/>
      <c r="T1009" s="33" t="n"/>
      <c r="U1009" s="33" t="n"/>
      <c r="V1009" s="33" t="n"/>
      <c r="W1009" s="33" t="n"/>
      <c r="X1009" s="33" t="n"/>
      <c r="Y1009" s="33" t="n"/>
      <c r="Z1009" s="33" t="n"/>
      <c r="AA1009" s="4">
        <f>R1009-G1009</f>
        <v/>
      </c>
      <c r="AB1009" s="4">
        <f>G1009-R1009</f>
        <v/>
      </c>
      <c r="AC1009" s="33" t="n"/>
    </row>
    <row r="1010" ht="18.75" customHeight="1">
      <c r="A1010" s="35">
        <f>SUBTOTAL(103,$B$24:B1010)</f>
        <v/>
      </c>
      <c r="B1010" s="36" t="inlineStr">
        <is>
          <t>Ларь морозильний Сатурн 260 л.</t>
        </is>
      </c>
      <c r="C1010" s="37" t="inlineStr">
        <is>
          <t>к-т</t>
        </is>
      </c>
      <c r="D1010" s="33" t="n"/>
      <c r="E1010" s="33" t="n"/>
      <c r="F1010" s="33">
        <f>E1010*0.05</f>
        <v/>
      </c>
      <c r="G1010" s="33">
        <f>E1010+F1010</f>
        <v/>
      </c>
      <c r="H1010" s="33" t="n"/>
      <c r="I1010" s="33" t="n"/>
      <c r="J1010" s="33" t="n"/>
      <c r="K1010" s="33">
        <f>L1010+M1010+N1010</f>
        <v/>
      </c>
      <c r="L1010" s="33" t="n"/>
      <c r="M1010" s="33" t="n"/>
      <c r="N1010" s="33" t="n"/>
      <c r="O1010" s="33">
        <f>P1010+Q1010</f>
        <v/>
      </c>
      <c r="P1010" s="33" t="n"/>
      <c r="Q1010" s="33" t="n"/>
      <c r="R1010" s="33">
        <f>H1010+K1010-O1010</f>
        <v/>
      </c>
      <c r="S1010" s="33" t="n"/>
      <c r="T1010" s="33" t="n"/>
      <c r="U1010" s="33" t="n"/>
      <c r="V1010" s="33" t="n"/>
      <c r="W1010" s="33" t="n"/>
      <c r="X1010" s="33" t="n"/>
      <c r="Y1010" s="33" t="n"/>
      <c r="Z1010" s="33" t="n"/>
      <c r="AA1010" s="4">
        <f>R1010-G1010</f>
        <v/>
      </c>
      <c r="AB1010" s="4">
        <f>G1010-R1010</f>
        <v/>
      </c>
      <c r="AC1010" s="33" t="n"/>
    </row>
    <row r="1011" ht="37.5" customHeight="1">
      <c r="A1011" s="35">
        <f>SUBTOTAL(103,$B$24:B1011)</f>
        <v/>
      </c>
      <c r="B1011" s="36" t="inlineStr">
        <is>
          <t>Морозильна скриня INTERLUX IL-0255CF</t>
        </is>
      </c>
      <c r="C1011" s="37" t="inlineStr">
        <is>
          <t>к-т</t>
        </is>
      </c>
      <c r="D1011" s="33" t="n"/>
      <c r="E1011" s="33" t="n"/>
      <c r="F1011" s="33">
        <f>E1011*0.05</f>
        <v/>
      </c>
      <c r="G1011" s="33">
        <f>E1011+F1011</f>
        <v/>
      </c>
      <c r="H1011" s="33" t="n"/>
      <c r="I1011" s="33" t="n"/>
      <c r="J1011" s="33" t="n"/>
      <c r="K1011" s="33">
        <f>L1011+M1011+N1011</f>
        <v/>
      </c>
      <c r="L1011" s="33" t="n"/>
      <c r="M1011" s="33" t="n"/>
      <c r="N1011" s="33" t="n"/>
      <c r="O1011" s="33">
        <f>P1011+Q1011</f>
        <v/>
      </c>
      <c r="P1011" s="33" t="n"/>
      <c r="Q1011" s="33" t="n"/>
      <c r="R1011" s="33">
        <f>H1011+K1011-O1011</f>
        <v/>
      </c>
      <c r="S1011" s="33" t="n"/>
      <c r="T1011" s="33" t="n"/>
      <c r="U1011" s="33" t="n"/>
      <c r="V1011" s="33" t="n"/>
      <c r="W1011" s="33" t="n"/>
      <c r="X1011" s="33" t="n"/>
      <c r="Y1011" s="33" t="n"/>
      <c r="Z1011" s="33" t="n"/>
      <c r="AA1011" s="4">
        <f>R1011-G1011</f>
        <v/>
      </c>
      <c r="AB1011" s="4">
        <f>G1011-R1011</f>
        <v/>
      </c>
      <c r="AC1011" s="33" t="n"/>
    </row>
    <row r="1012" ht="18.75" customHeight="1">
      <c r="A1012" s="35">
        <f>SUBTOTAL(103,$B$24:B1012)</f>
        <v/>
      </c>
      <c r="B1012" s="36" t="inlineStr">
        <is>
          <t>Морозильна камера М300Z</t>
        </is>
      </c>
      <c r="C1012" s="37" t="inlineStr">
        <is>
          <t>к-т</t>
        </is>
      </c>
      <c r="D1012" s="33" t="n"/>
      <c r="E1012" s="33" t="n"/>
      <c r="F1012" s="33">
        <f>E1012*0.05</f>
        <v/>
      </c>
      <c r="G1012" s="33">
        <f>E1012+F1012</f>
        <v/>
      </c>
      <c r="H1012" s="33" t="n"/>
      <c r="I1012" s="33" t="n"/>
      <c r="J1012" s="33" t="n"/>
      <c r="K1012" s="33">
        <f>L1012+M1012+N1012</f>
        <v/>
      </c>
      <c r="L1012" s="33" t="n"/>
      <c r="M1012" s="33" t="n"/>
      <c r="N1012" s="33" t="n"/>
      <c r="O1012" s="33">
        <f>P1012+Q1012</f>
        <v/>
      </c>
      <c r="P1012" s="33" t="n"/>
      <c r="Q1012" s="33" t="n"/>
      <c r="R1012" s="33">
        <f>H1012+K1012-O1012</f>
        <v/>
      </c>
      <c r="S1012" s="33" t="n"/>
      <c r="T1012" s="33" t="n"/>
      <c r="U1012" s="33" t="n"/>
      <c r="V1012" s="33" t="n"/>
      <c r="W1012" s="33" t="n"/>
      <c r="X1012" s="33" t="n"/>
      <c r="Y1012" s="33" t="n"/>
      <c r="Z1012" s="33" t="n"/>
      <c r="AA1012" s="4">
        <f>R1012-G1012</f>
        <v/>
      </c>
      <c r="AB1012" s="4">
        <f>G1012-R1012</f>
        <v/>
      </c>
      <c r="AC1012" s="33" t="n"/>
    </row>
    <row r="1013" ht="18.75" customHeight="1">
      <c r="A1013" s="35">
        <f>SUBTOTAL(103,$B$24:B1013)</f>
        <v/>
      </c>
      <c r="B1013" s="36" t="inlineStr">
        <is>
          <t>Морозильна скриня M500Z</t>
        </is>
      </c>
      <c r="C1013" s="37" t="inlineStr">
        <is>
          <t>к-т</t>
        </is>
      </c>
      <c r="D1013" s="33" t="n"/>
      <c r="E1013" s="33" t="n"/>
      <c r="F1013" s="33">
        <f>E1013*0.05</f>
        <v/>
      </c>
      <c r="G1013" s="33">
        <f>E1013+F1013</f>
        <v/>
      </c>
      <c r="H1013" s="33" t="n"/>
      <c r="I1013" s="33" t="n"/>
      <c r="J1013" s="33" t="n"/>
      <c r="K1013" s="33">
        <f>L1013+M1013+N1013</f>
        <v/>
      </c>
      <c r="L1013" s="33" t="n"/>
      <c r="M1013" s="33" t="n"/>
      <c r="N1013" s="33" t="n"/>
      <c r="O1013" s="33">
        <f>P1013+Q1013</f>
        <v/>
      </c>
      <c r="P1013" s="33" t="n"/>
      <c r="Q1013" s="33" t="n"/>
      <c r="R1013" s="33">
        <f>H1013+K1013-O1013</f>
        <v/>
      </c>
      <c r="S1013" s="33" t="n"/>
      <c r="T1013" s="33" t="n"/>
      <c r="U1013" s="33" t="n"/>
      <c r="V1013" s="33" t="n"/>
      <c r="W1013" s="33" t="n"/>
      <c r="X1013" s="33" t="n"/>
      <c r="Y1013" s="33" t="n"/>
      <c r="Z1013" s="33" t="n"/>
      <c r="AA1013" s="4">
        <f>R1013-G1013</f>
        <v/>
      </c>
      <c r="AB1013" s="4">
        <f>G1013-R1013</f>
        <v/>
      </c>
      <c r="AC1013" s="33" t="n"/>
    </row>
    <row r="1014" ht="18.75" customHeight="1">
      <c r="A1014" s="35">
        <f>SUBTOTAL(103,$B$24:B1014)</f>
        <v/>
      </c>
      <c r="B1014" s="36" t="inlineStr">
        <is>
          <t>Морозильна скриня M600Z</t>
        </is>
      </c>
      <c r="C1014" s="37" t="inlineStr">
        <is>
          <t>к-т</t>
        </is>
      </c>
      <c r="D1014" s="33" t="n"/>
      <c r="E1014" s="33" t="n"/>
      <c r="F1014" s="33">
        <f>E1014*0.05</f>
        <v/>
      </c>
      <c r="G1014" s="33">
        <f>E1014+F1014</f>
        <v/>
      </c>
      <c r="H1014" s="33" t="n"/>
      <c r="I1014" s="33" t="n"/>
      <c r="J1014" s="33" t="n"/>
      <c r="K1014" s="33">
        <f>L1014+M1014+N1014</f>
        <v/>
      </c>
      <c r="L1014" s="33" t="n"/>
      <c r="M1014" s="33" t="n"/>
      <c r="N1014" s="33" t="n"/>
      <c r="O1014" s="33">
        <f>P1014+Q1014</f>
        <v/>
      </c>
      <c r="P1014" s="33" t="n"/>
      <c r="Q1014" s="33" t="n"/>
      <c r="R1014" s="33">
        <f>H1014+K1014-O1014</f>
        <v/>
      </c>
      <c r="S1014" s="33" t="n"/>
      <c r="T1014" s="33" t="n"/>
      <c r="U1014" s="33" t="n"/>
      <c r="V1014" s="33" t="n"/>
      <c r="W1014" s="33" t="n"/>
      <c r="X1014" s="33" t="n"/>
      <c r="Y1014" s="33" t="n"/>
      <c r="Z1014" s="33" t="n"/>
      <c r="AA1014" s="4">
        <f>R1014-G1014</f>
        <v/>
      </c>
      <c r="AB1014" s="4">
        <f>G1014-R1014</f>
        <v/>
      </c>
      <c r="AC1014" s="33" t="n"/>
    </row>
    <row r="1015" ht="18.75" customHeight="1">
      <c r="A1015" s="35">
        <f>SUBTOTAL(103,$B$24:B1015)</f>
        <v/>
      </c>
      <c r="B1015" s="36" t="inlineStr">
        <is>
          <t>Скриня морозильна M800Z</t>
        </is>
      </c>
      <c r="C1015" s="37" t="inlineStr">
        <is>
          <t>к-т</t>
        </is>
      </c>
      <c r="D1015" s="33" t="n"/>
      <c r="E1015" s="33" t="n"/>
      <c r="F1015" s="33">
        <f>E1015*0.05</f>
        <v/>
      </c>
      <c r="G1015" s="33">
        <f>E1015+F1015</f>
        <v/>
      </c>
      <c r="H1015" s="33" t="n"/>
      <c r="I1015" s="33" t="n"/>
      <c r="J1015" s="33" t="n"/>
      <c r="K1015" s="33">
        <f>L1015+M1015+N1015</f>
        <v/>
      </c>
      <c r="L1015" s="33" t="n"/>
      <c r="M1015" s="33" t="n"/>
      <c r="N1015" s="33" t="n"/>
      <c r="O1015" s="33">
        <f>P1015+Q1015</f>
        <v/>
      </c>
      <c r="P1015" s="33" t="n"/>
      <c r="Q1015" s="33" t="n"/>
      <c r="R1015" s="33">
        <f>H1015+K1015-O1015</f>
        <v/>
      </c>
      <c r="S1015" s="33" t="n"/>
      <c r="T1015" s="33" t="n"/>
      <c r="U1015" s="33" t="n"/>
      <c r="V1015" s="33" t="n"/>
      <c r="W1015" s="33" t="n"/>
      <c r="X1015" s="33" t="n"/>
      <c r="Y1015" s="33" t="n"/>
      <c r="Z1015" s="33" t="n"/>
      <c r="AA1015" s="4">
        <f>R1015-G1015</f>
        <v/>
      </c>
      <c r="AB1015" s="4">
        <f>G1015-R1015</f>
        <v/>
      </c>
      <c r="AC1015" s="33" t="n"/>
    </row>
    <row r="1016" ht="18.75" customHeight="1">
      <c r="A1016" s="35">
        <f>SUBTOTAL(103,$B$24:B1016)</f>
        <v/>
      </c>
      <c r="B1016" s="36" t="inlineStr">
        <is>
          <t>Морозильня скриня М1000Z</t>
        </is>
      </c>
      <c r="C1016" s="37" t="inlineStr">
        <is>
          <t>к-т</t>
        </is>
      </c>
      <c r="D1016" s="33" t="n"/>
      <c r="E1016" s="33" t="n"/>
      <c r="F1016" s="33">
        <f>E1016*0.05</f>
        <v/>
      </c>
      <c r="G1016" s="33">
        <f>E1016+F1016</f>
        <v/>
      </c>
      <c r="H1016" s="33" t="n"/>
      <c r="I1016" s="33" t="n"/>
      <c r="J1016" s="33" t="n"/>
      <c r="K1016" s="33">
        <f>L1016+M1016+N1016</f>
        <v/>
      </c>
      <c r="L1016" s="33" t="n"/>
      <c r="M1016" s="33" t="n"/>
      <c r="N1016" s="33" t="n"/>
      <c r="O1016" s="33">
        <f>P1016+Q1016</f>
        <v/>
      </c>
      <c r="P1016" s="33" t="n"/>
      <c r="Q1016" s="33" t="n"/>
      <c r="R1016" s="33">
        <f>H1016+K1016-O1016</f>
        <v/>
      </c>
      <c r="S1016" s="33" t="n"/>
      <c r="T1016" s="33" t="n"/>
      <c r="U1016" s="33" t="n"/>
      <c r="V1016" s="33" t="n"/>
      <c r="W1016" s="33" t="n"/>
      <c r="X1016" s="33" t="n"/>
      <c r="Y1016" s="33" t="n"/>
      <c r="Z1016" s="33" t="n"/>
      <c r="AA1016" s="4">
        <f>R1016-G1016</f>
        <v/>
      </c>
      <c r="AB1016" s="4">
        <f>G1016-R1016</f>
        <v/>
      </c>
      <c r="AC1016" s="33" t="n"/>
    </row>
    <row r="1017" ht="37.5" customHeight="1">
      <c r="A1017" s="35">
        <f>SUBTOTAL(103,$B$24:B1017)</f>
        <v/>
      </c>
      <c r="B1017" s="36" t="inlineStr">
        <is>
          <t>Морозильна скриня Hisense FC-26 PD4SHA</t>
        </is>
      </c>
      <c r="C1017" s="37" t="inlineStr">
        <is>
          <t>к-т</t>
        </is>
      </c>
      <c r="D1017" s="33" t="n"/>
      <c r="E1017" s="33" t="n"/>
      <c r="F1017" s="33">
        <f>E1017*0.05</f>
        <v/>
      </c>
      <c r="G1017" s="33">
        <f>E1017+F1017</f>
        <v/>
      </c>
      <c r="H1017" s="33" t="n"/>
      <c r="I1017" s="33" t="n"/>
      <c r="J1017" s="33" t="n"/>
      <c r="K1017" s="33">
        <f>L1017+M1017+N1017</f>
        <v/>
      </c>
      <c r="L1017" s="33" t="n"/>
      <c r="M1017" s="33" t="n"/>
      <c r="N1017" s="33" t="n"/>
      <c r="O1017" s="33">
        <f>P1017+Q1017</f>
        <v/>
      </c>
      <c r="P1017" s="33" t="n"/>
      <c r="Q1017" s="33" t="n"/>
      <c r="R1017" s="33">
        <f>H1017+K1017-O1017</f>
        <v/>
      </c>
      <c r="S1017" s="33" t="n"/>
      <c r="T1017" s="33" t="n"/>
      <c r="U1017" s="33" t="n"/>
      <c r="V1017" s="33" t="n"/>
      <c r="W1017" s="33" t="n"/>
      <c r="X1017" s="33" t="n"/>
      <c r="Y1017" s="33" t="n"/>
      <c r="Z1017" s="33" t="n"/>
      <c r="AA1017" s="4">
        <f>R1017-G1017</f>
        <v/>
      </c>
      <c r="AB1017" s="4">
        <f>G1017-R1017</f>
        <v/>
      </c>
      <c r="AC1017" s="33" t="n"/>
    </row>
    <row r="1018" ht="18.75" customHeight="1">
      <c r="A1018" s="35">
        <f>SUBTOTAL(103,$B$24:B1018)</f>
        <v/>
      </c>
      <c r="B1018" s="36" t="inlineStr">
        <is>
          <t>Морозильна скриня M400Z</t>
        </is>
      </c>
      <c r="C1018" s="37" t="inlineStr">
        <is>
          <t>к-т</t>
        </is>
      </c>
      <c r="D1018" s="33" t="n"/>
      <c r="E1018" s="33" t="n"/>
      <c r="F1018" s="33">
        <f>E1018*0.05</f>
        <v/>
      </c>
      <c r="G1018" s="33">
        <f>E1018+F1018</f>
        <v/>
      </c>
      <c r="H1018" s="33" t="n"/>
      <c r="I1018" s="33" t="n"/>
      <c r="J1018" s="33" t="n"/>
      <c r="K1018" s="33">
        <f>L1018+M1018+N1018</f>
        <v/>
      </c>
      <c r="L1018" s="33" t="n"/>
      <c r="M1018" s="33" t="n"/>
      <c r="N1018" s="33" t="n"/>
      <c r="O1018" s="33">
        <f>P1018+Q1018</f>
        <v/>
      </c>
      <c r="P1018" s="33" t="n"/>
      <c r="Q1018" s="33" t="n"/>
      <c r="R1018" s="33">
        <f>H1018+K1018-O1018</f>
        <v/>
      </c>
      <c r="S1018" s="33" t="n"/>
      <c r="T1018" s="33" t="n"/>
      <c r="U1018" s="33" t="n"/>
      <c r="V1018" s="33" t="n"/>
      <c r="W1018" s="33" t="n"/>
      <c r="X1018" s="33" t="n"/>
      <c r="Y1018" s="33" t="n"/>
      <c r="Z1018" s="33" t="n"/>
      <c r="AA1018" s="4">
        <f>R1018-G1018</f>
        <v/>
      </c>
      <c r="AB1018" s="4">
        <f>G1018-R1018</f>
        <v/>
      </c>
      <c r="AC1018" s="33" t="n"/>
    </row>
    <row r="1019" ht="37.5" customHeight="1">
      <c r="A1019" s="35">
        <f>SUBTOTAL(103,$B$24:B1019)</f>
        <v/>
      </c>
      <c r="B1019" s="36" t="inlineStr">
        <is>
          <t>Морозильна скриня Hisense FC-40 PD4SHA</t>
        </is>
      </c>
      <c r="C1019" s="37" t="inlineStr">
        <is>
          <t>к-т</t>
        </is>
      </c>
      <c r="D1019" s="33" t="n"/>
      <c r="E1019" s="33" t="n"/>
      <c r="F1019" s="33">
        <f>E1019*0.05</f>
        <v/>
      </c>
      <c r="G1019" s="33">
        <f>E1019+F1019</f>
        <v/>
      </c>
      <c r="H1019" s="33" t="n"/>
      <c r="I1019" s="33" t="n"/>
      <c r="J1019" s="33" t="n"/>
      <c r="K1019" s="33">
        <f>L1019+M1019+N1019</f>
        <v/>
      </c>
      <c r="L1019" s="33" t="n"/>
      <c r="M1019" s="33" t="n"/>
      <c r="N1019" s="33" t="n"/>
      <c r="O1019" s="33">
        <f>P1019+Q1019</f>
        <v/>
      </c>
      <c r="P1019" s="33" t="n"/>
      <c r="Q1019" s="33" t="n"/>
      <c r="R1019" s="33">
        <f>H1019+K1019-O1019</f>
        <v/>
      </c>
      <c r="S1019" s="33" t="n"/>
      <c r="T1019" s="33" t="n"/>
      <c r="U1019" s="33" t="n"/>
      <c r="V1019" s="33" t="n"/>
      <c r="W1019" s="33" t="n"/>
      <c r="X1019" s="33" t="n"/>
      <c r="Y1019" s="33" t="n"/>
      <c r="Z1019" s="33" t="n"/>
      <c r="AA1019" s="4">
        <f>R1019-G1019</f>
        <v/>
      </c>
      <c r="AB1019" s="4">
        <f>G1019-R1019</f>
        <v/>
      </c>
      <c r="AC1019" s="33" t="n"/>
    </row>
    <row r="1020" ht="37.5" customHeight="1">
      <c r="A1020" s="35">
        <f>SUBTOTAL(103,$B$24:B1020)</f>
        <v/>
      </c>
      <c r="B1020" s="36" t="inlineStr">
        <is>
          <t>Морозильна скриня Hisense HCF-380NHF</t>
        </is>
      </c>
      <c r="C1020" s="37" t="inlineStr">
        <is>
          <t>к-т</t>
        </is>
      </c>
      <c r="D1020" s="33" t="n"/>
      <c r="E1020" s="33" t="n"/>
      <c r="F1020" s="33">
        <f>E1020*0.05</f>
        <v/>
      </c>
      <c r="G1020" s="33">
        <f>E1020+F1020</f>
        <v/>
      </c>
      <c r="H1020" s="33" t="n"/>
      <c r="I1020" s="33" t="n"/>
      <c r="J1020" s="33" t="n"/>
      <c r="K1020" s="33">
        <f>L1020+M1020+N1020</f>
        <v/>
      </c>
      <c r="L1020" s="33" t="n"/>
      <c r="M1020" s="33" t="n"/>
      <c r="N1020" s="33" t="n"/>
      <c r="O1020" s="33">
        <f>P1020+Q1020</f>
        <v/>
      </c>
      <c r="P1020" s="33" t="n"/>
      <c r="Q1020" s="33" t="n"/>
      <c r="R1020" s="33">
        <f>H1020+K1020-O1020</f>
        <v/>
      </c>
      <c r="S1020" s="33" t="n"/>
      <c r="T1020" s="33" t="n"/>
      <c r="U1020" s="33" t="n"/>
      <c r="V1020" s="33" t="n"/>
      <c r="W1020" s="33" t="n"/>
      <c r="X1020" s="33" t="n"/>
      <c r="Y1020" s="33" t="n"/>
      <c r="Z1020" s="33" t="n"/>
      <c r="AA1020" s="4">
        <f>R1020-G1020</f>
        <v/>
      </c>
      <c r="AB1020" s="4">
        <f>G1020-R1020</f>
        <v/>
      </c>
      <c r="AC1020" s="33" t="n"/>
    </row>
    <row r="1021" ht="18.75" customHeight="1">
      <c r="A1021" s="35">
        <f>SUBTOTAL(103,$B$24:B1021)</f>
        <v/>
      </c>
      <c r="B1021" s="36" t="inlineStr">
        <is>
          <t>Морозтильна скриня Liberton</t>
        </is>
      </c>
      <c r="C1021" s="37" t="inlineStr">
        <is>
          <t>к-т</t>
        </is>
      </c>
      <c r="D1021" s="33" t="n"/>
      <c r="E1021" s="33" t="n"/>
      <c r="F1021" s="33">
        <f>E1021*0.05</f>
        <v/>
      </c>
      <c r="G1021" s="33">
        <f>E1021+F1021</f>
        <v/>
      </c>
      <c r="H1021" s="33" t="n"/>
      <c r="I1021" s="33" t="n"/>
      <c r="J1021" s="33" t="n"/>
      <c r="K1021" s="33">
        <f>L1021+M1021+N1021</f>
        <v/>
      </c>
      <c r="L1021" s="33" t="n"/>
      <c r="M1021" s="33" t="n"/>
      <c r="N1021" s="33" t="n"/>
      <c r="O1021" s="33">
        <f>P1021+Q1021</f>
        <v/>
      </c>
      <c r="P1021" s="33" t="n"/>
      <c r="Q1021" s="33" t="n"/>
      <c r="R1021" s="33">
        <f>H1021+K1021-O1021</f>
        <v/>
      </c>
      <c r="S1021" s="33" t="n"/>
      <c r="T1021" s="33" t="n"/>
      <c r="U1021" s="33" t="n"/>
      <c r="V1021" s="33" t="n"/>
      <c r="W1021" s="33" t="n"/>
      <c r="X1021" s="33" t="n"/>
      <c r="Y1021" s="33" t="n"/>
      <c r="Z1021" s="33" t="n"/>
      <c r="AA1021" s="4">
        <f>R1021-G1021</f>
        <v/>
      </c>
      <c r="AB1021" s="4">
        <f>G1021-R1021</f>
        <v/>
      </c>
      <c r="AC1021" s="33" t="n"/>
    </row>
    <row r="1022" ht="18.75" customHeight="1">
      <c r="A1022" s="35">
        <f>SUBTOTAL(103,$B$24:B1022)</f>
        <v/>
      </c>
      <c r="B1022" s="36" t="inlineStr">
        <is>
          <t>Морозильна скриня Villgrand 430л.</t>
        </is>
      </c>
      <c r="C1022" s="37" t="inlineStr">
        <is>
          <t>к-т</t>
        </is>
      </c>
      <c r="D1022" s="33" t="n"/>
      <c r="E1022" s="33" t="n"/>
      <c r="F1022" s="33">
        <f>E1022*0.05</f>
        <v/>
      </c>
      <c r="G1022" s="33">
        <f>E1022+F1022</f>
        <v/>
      </c>
      <c r="H1022" s="33" t="n"/>
      <c r="I1022" s="33" t="n"/>
      <c r="J1022" s="33" t="n"/>
      <c r="K1022" s="33">
        <f>L1022+M1022+N1022</f>
        <v/>
      </c>
      <c r="L1022" s="33" t="n"/>
      <c r="M1022" s="33" t="n"/>
      <c r="N1022" s="33" t="n"/>
      <c r="O1022" s="33">
        <f>P1022+Q1022</f>
        <v/>
      </c>
      <c r="P1022" s="33" t="n"/>
      <c r="Q1022" s="33" t="n"/>
      <c r="R1022" s="33">
        <f>H1022+K1022-O1022</f>
        <v/>
      </c>
      <c r="S1022" s="33" t="n"/>
      <c r="T1022" s="33" t="n"/>
      <c r="U1022" s="33" t="n"/>
      <c r="V1022" s="33" t="n"/>
      <c r="W1022" s="33" t="n"/>
      <c r="X1022" s="33" t="n"/>
      <c r="Y1022" s="33" t="n"/>
      <c r="Z1022" s="33" t="n"/>
      <c r="AA1022" s="4">
        <f>R1022-G1022</f>
        <v/>
      </c>
      <c r="AB1022" s="4">
        <f>G1022-R1022</f>
        <v/>
      </c>
      <c r="AC1022" s="33" t="n"/>
    </row>
    <row r="1023" ht="18.75" customHeight="1">
      <c r="A1023" s="35">
        <f>SUBTOTAL(103,$B$24:B1023)</f>
        <v/>
      </c>
      <c r="B1023" s="36" t="inlineStr">
        <is>
          <t>Морозильна скриня Caravell</t>
        </is>
      </c>
      <c r="C1023" s="37" t="inlineStr">
        <is>
          <t>к-т</t>
        </is>
      </c>
      <c r="D1023" s="33" t="n"/>
      <c r="E1023" s="33" t="n"/>
      <c r="F1023" s="33">
        <f>E1023*0.05</f>
        <v/>
      </c>
      <c r="G1023" s="33">
        <f>E1023+F1023</f>
        <v/>
      </c>
      <c r="H1023" s="33" t="n"/>
      <c r="I1023" s="33" t="n"/>
      <c r="J1023" s="33" t="n"/>
      <c r="K1023" s="33">
        <f>L1023+M1023+N1023</f>
        <v/>
      </c>
      <c r="L1023" s="33" t="n"/>
      <c r="M1023" s="33" t="n"/>
      <c r="N1023" s="33" t="n"/>
      <c r="O1023" s="33">
        <f>P1023+Q1023</f>
        <v/>
      </c>
      <c r="P1023" s="33" t="n"/>
      <c r="Q1023" s="33" t="n"/>
      <c r="R1023" s="33">
        <f>H1023+K1023-O1023</f>
        <v/>
      </c>
      <c r="S1023" s="33" t="n"/>
      <c r="T1023" s="33" t="n"/>
      <c r="U1023" s="33" t="n"/>
      <c r="V1023" s="33" t="n"/>
      <c r="W1023" s="33" t="n"/>
      <c r="X1023" s="33" t="n"/>
      <c r="Y1023" s="33" t="n"/>
      <c r="Z1023" s="33" t="n"/>
      <c r="AA1023" s="4">
        <f>R1023-G1023</f>
        <v/>
      </c>
      <c r="AB1023" s="4">
        <f>G1023-R1023</f>
        <v/>
      </c>
      <c r="AC1023" s="33" t="n"/>
    </row>
    <row r="1024" ht="18.75" customHeight="1">
      <c r="A1024" s="35">
        <f>SUBTOTAL(103,$B$24:B1024)</f>
        <v/>
      </c>
      <c r="B1024" s="36" t="inlineStr">
        <is>
          <t>Морозильна скриня MILANO</t>
        </is>
      </c>
      <c r="C1024" s="37" t="inlineStr">
        <is>
          <t>к-т</t>
        </is>
      </c>
      <c r="D1024" s="33" t="n"/>
      <c r="E1024" s="33" t="n"/>
      <c r="F1024" s="33">
        <f>E1024*0.05</f>
        <v/>
      </c>
      <c r="G1024" s="33">
        <f>E1024+F1024</f>
        <v/>
      </c>
      <c r="H1024" s="33" t="n"/>
      <c r="I1024" s="33" t="n"/>
      <c r="J1024" s="33" t="n"/>
      <c r="K1024" s="33">
        <f>L1024+M1024+N1024</f>
        <v/>
      </c>
      <c r="L1024" s="33" t="n"/>
      <c r="M1024" s="33" t="n"/>
      <c r="N1024" s="33" t="n"/>
      <c r="O1024" s="33">
        <f>P1024+Q1024</f>
        <v/>
      </c>
      <c r="P1024" s="33" t="n"/>
      <c r="Q1024" s="33" t="n"/>
      <c r="R1024" s="33">
        <f>H1024+K1024-O1024</f>
        <v/>
      </c>
      <c r="S1024" s="33" t="n"/>
      <c r="T1024" s="33" t="n"/>
      <c r="U1024" s="33" t="n"/>
      <c r="V1024" s="33" t="n"/>
      <c r="W1024" s="33" t="n"/>
      <c r="X1024" s="33" t="n"/>
      <c r="Y1024" s="33" t="n"/>
      <c r="Z1024" s="33" t="n"/>
      <c r="AA1024" s="4">
        <f>R1024-G1024</f>
        <v/>
      </c>
      <c r="AB1024" s="4">
        <f>G1024-R1024</f>
        <v/>
      </c>
      <c r="AC1024" s="33" t="n"/>
    </row>
    <row r="1025" ht="18.75" customHeight="1">
      <c r="A1025" s="35">
        <f>SUBTOTAL(103,$B$24:B1025)</f>
        <v/>
      </c>
      <c r="B1025" s="36" t="inlineStr">
        <is>
          <t>Морозильна скриня Ardesto</t>
        </is>
      </c>
      <c r="C1025" s="37" t="inlineStr">
        <is>
          <t>к-т</t>
        </is>
      </c>
      <c r="D1025" s="33" t="n"/>
      <c r="E1025" s="33" t="n"/>
      <c r="F1025" s="33">
        <f>E1025*0.05</f>
        <v/>
      </c>
      <c r="G1025" s="33">
        <f>E1025+F1025</f>
        <v/>
      </c>
      <c r="H1025" s="33" t="n"/>
      <c r="I1025" s="33" t="n"/>
      <c r="J1025" s="33" t="n"/>
      <c r="K1025" s="33">
        <f>L1025+M1025+N1025</f>
        <v/>
      </c>
      <c r="L1025" s="33" t="n"/>
      <c r="M1025" s="33" t="n"/>
      <c r="N1025" s="33" t="n"/>
      <c r="O1025" s="33">
        <f>P1025+Q1025</f>
        <v/>
      </c>
      <c r="P1025" s="33" t="n"/>
      <c r="Q1025" s="33" t="n"/>
      <c r="R1025" s="33">
        <f>H1025+K1025-O1025</f>
        <v/>
      </c>
      <c r="S1025" s="33" t="n"/>
      <c r="T1025" s="33" t="n"/>
      <c r="U1025" s="33" t="n"/>
      <c r="V1025" s="33" t="n"/>
      <c r="W1025" s="33" t="n"/>
      <c r="X1025" s="33" t="n"/>
      <c r="Y1025" s="33" t="n"/>
      <c r="Z1025" s="33" t="n"/>
      <c r="AA1025" s="4">
        <f>R1025-G1025</f>
        <v/>
      </c>
      <c r="AB1025" s="4">
        <f>G1025-R1025</f>
        <v/>
      </c>
      <c r="AC1025" s="33" t="n"/>
    </row>
    <row r="1026" ht="37.5" customHeight="1">
      <c r="A1026" s="35">
        <f>SUBTOTAL(103,$B$24:B1026)</f>
        <v/>
      </c>
      <c r="B1026" s="36" t="inlineStr">
        <is>
          <t>Скриня морозильна ELENBERG CFR-200</t>
        </is>
      </c>
      <c r="C1026" s="37" t="inlineStr">
        <is>
          <t>к-т</t>
        </is>
      </c>
      <c r="D1026" s="33" t="n"/>
      <c r="E1026" s="33" t="n"/>
      <c r="F1026" s="33">
        <f>E1026*0.05</f>
        <v/>
      </c>
      <c r="G1026" s="33">
        <f>E1026+F1026</f>
        <v/>
      </c>
      <c r="H1026" s="33" t="n"/>
      <c r="I1026" s="33" t="n"/>
      <c r="J1026" s="33" t="n"/>
      <c r="K1026" s="33">
        <f>L1026+M1026+N1026</f>
        <v/>
      </c>
      <c r="L1026" s="33" t="n"/>
      <c r="M1026" s="33" t="n"/>
      <c r="N1026" s="33" t="n"/>
      <c r="O1026" s="33">
        <f>P1026+Q1026</f>
        <v/>
      </c>
      <c r="P1026" s="33" t="n"/>
      <c r="Q1026" s="33" t="n"/>
      <c r="R1026" s="33">
        <f>H1026+K1026-O1026</f>
        <v/>
      </c>
      <c r="S1026" s="33" t="n"/>
      <c r="T1026" s="33" t="n"/>
      <c r="U1026" s="33" t="n"/>
      <c r="V1026" s="33" t="n"/>
      <c r="W1026" s="33" t="n"/>
      <c r="X1026" s="33" t="n"/>
      <c r="Y1026" s="33" t="n"/>
      <c r="Z1026" s="33" t="n"/>
      <c r="AA1026" s="4">
        <f>R1026-G1026</f>
        <v/>
      </c>
      <c r="AB1026" s="4">
        <f>G1026-R1026</f>
        <v/>
      </c>
      <c r="AC1026" s="33" t="n"/>
    </row>
    <row r="1027" ht="37.5" customHeight="1">
      <c r="A1027" s="35">
        <f>SUBTOTAL(103,$B$24:B1027)</f>
        <v/>
      </c>
      <c r="B1027" s="36" t="inlineStr">
        <is>
          <t>Скриня морозильна ELENBERG CF-301-0</t>
        </is>
      </c>
      <c r="C1027" s="37" t="inlineStr">
        <is>
          <t>к-т</t>
        </is>
      </c>
      <c r="D1027" s="33" t="n"/>
      <c r="E1027" s="33" t="n"/>
      <c r="F1027" s="33">
        <f>E1027*0.05</f>
        <v/>
      </c>
      <c r="G1027" s="33">
        <f>E1027+F1027</f>
        <v/>
      </c>
      <c r="H1027" s="33" t="n"/>
      <c r="I1027" s="33" t="n"/>
      <c r="J1027" s="33" t="n"/>
      <c r="K1027" s="33">
        <f>L1027+M1027+N1027</f>
        <v/>
      </c>
      <c r="L1027" s="33" t="n"/>
      <c r="M1027" s="33" t="n"/>
      <c r="N1027" s="33" t="n"/>
      <c r="O1027" s="33">
        <f>P1027+Q1027</f>
        <v/>
      </c>
      <c r="P1027" s="33" t="n"/>
      <c r="Q1027" s="33" t="n"/>
      <c r="R1027" s="33">
        <f>H1027+K1027-O1027</f>
        <v/>
      </c>
      <c r="S1027" s="33" t="n"/>
      <c r="T1027" s="33" t="n"/>
      <c r="U1027" s="33" t="n"/>
      <c r="V1027" s="33" t="n"/>
      <c r="W1027" s="33" t="n"/>
      <c r="X1027" s="33" t="n"/>
      <c r="Y1027" s="33" t="n"/>
      <c r="Z1027" s="33" t="n"/>
      <c r="AA1027" s="4">
        <f>R1027-G1027</f>
        <v/>
      </c>
      <c r="AB1027" s="4">
        <f>G1027-R1027</f>
        <v/>
      </c>
      <c r="AC1027" s="33" t="n"/>
    </row>
    <row r="1028" ht="18.75" customHeight="1">
      <c r="A1028" s="35">
        <f>SUBTOTAL(103,$B$24:B1028)</f>
        <v/>
      </c>
      <c r="B1028" s="36" t="inlineStr">
        <is>
          <t>Скриня морозильна EXPERT CF-300</t>
        </is>
      </c>
      <c r="C1028" s="37" t="inlineStr">
        <is>
          <t>к-т</t>
        </is>
      </c>
      <c r="D1028" s="33" t="n"/>
      <c r="E1028" s="33" t="n"/>
      <c r="F1028" s="33">
        <f>E1028*0.05</f>
        <v/>
      </c>
      <c r="G1028" s="33">
        <f>E1028+F1028</f>
        <v/>
      </c>
      <c r="H1028" s="33" t="n"/>
      <c r="I1028" s="33" t="n"/>
      <c r="J1028" s="33" t="n"/>
      <c r="K1028" s="33">
        <f>L1028+M1028+N1028</f>
        <v/>
      </c>
      <c r="L1028" s="33" t="n"/>
      <c r="M1028" s="33" t="n"/>
      <c r="N1028" s="33" t="n"/>
      <c r="O1028" s="33">
        <f>P1028+Q1028</f>
        <v/>
      </c>
      <c r="P1028" s="33" t="n"/>
      <c r="Q1028" s="33" t="n"/>
      <c r="R1028" s="33">
        <f>H1028+K1028-O1028</f>
        <v/>
      </c>
      <c r="S1028" s="33" t="n"/>
      <c r="T1028" s="33" t="n"/>
      <c r="U1028" s="33" t="n"/>
      <c r="V1028" s="33" t="n"/>
      <c r="W1028" s="33" t="n"/>
      <c r="X1028" s="33" t="n"/>
      <c r="Y1028" s="33" t="n"/>
      <c r="Z1028" s="33" t="n"/>
      <c r="AA1028" s="4">
        <f>R1028-G1028</f>
        <v/>
      </c>
      <c r="AB1028" s="4">
        <f>G1028-R1028</f>
        <v/>
      </c>
      <c r="AC1028" s="33" t="n"/>
    </row>
    <row r="1029" ht="18.75" customHeight="1">
      <c r="A1029" s="35">
        <f>SUBTOTAL(103,$B$24:B1029)</f>
        <v/>
      </c>
      <c r="B1029" s="36" t="inlineStr">
        <is>
          <t>Скриня морозильна Tefcold FR605SL</t>
        </is>
      </c>
      <c r="C1029" s="37" t="inlineStr">
        <is>
          <t>к-т</t>
        </is>
      </c>
      <c r="D1029" s="33" t="n"/>
      <c r="E1029" s="33" t="n"/>
      <c r="F1029" s="33">
        <f>E1029*0.05</f>
        <v/>
      </c>
      <c r="G1029" s="33">
        <f>E1029+F1029</f>
        <v/>
      </c>
      <c r="H1029" s="33" t="n"/>
      <c r="I1029" s="33" t="n"/>
      <c r="J1029" s="33" t="n"/>
      <c r="K1029" s="33">
        <f>L1029+M1029+N1029</f>
        <v/>
      </c>
      <c r="L1029" s="33" t="n"/>
      <c r="M1029" s="33" t="n"/>
      <c r="N1029" s="33" t="n"/>
      <c r="O1029" s="33">
        <f>P1029+Q1029</f>
        <v/>
      </c>
      <c r="P1029" s="33" t="n"/>
      <c r="Q1029" s="33" t="n"/>
      <c r="R1029" s="33">
        <f>H1029+K1029-O1029</f>
        <v/>
      </c>
      <c r="S1029" s="33" t="n"/>
      <c r="T1029" s="33" t="n"/>
      <c r="U1029" s="33" t="n"/>
      <c r="V1029" s="33" t="n"/>
      <c r="W1029" s="33" t="n"/>
      <c r="X1029" s="33" t="n"/>
      <c r="Y1029" s="33" t="n"/>
      <c r="Z1029" s="33" t="n"/>
      <c r="AA1029" s="4">
        <f>R1029-G1029</f>
        <v/>
      </c>
      <c r="AB1029" s="4">
        <f>G1029-R1029</f>
        <v/>
      </c>
      <c r="AC1029" s="33" t="n"/>
    </row>
    <row r="1030" ht="18.75" customHeight="1">
      <c r="A1030" s="35">
        <f>SUBTOTAL(103,$B$24:B1030)</f>
        <v/>
      </c>
      <c r="B1030" s="36" t="inlineStr">
        <is>
          <t xml:space="preserve">Морозильна бонета GERMES </t>
        </is>
      </c>
      <c r="C1030" s="37" t="inlineStr">
        <is>
          <t>к-т</t>
        </is>
      </c>
      <c r="D1030" s="33" t="n"/>
      <c r="E1030" s="33" t="n"/>
      <c r="F1030" s="33">
        <f>E1030*0.05</f>
        <v/>
      </c>
      <c r="G1030" s="33">
        <f>E1030+F1030</f>
        <v/>
      </c>
      <c r="H1030" s="33" t="n"/>
      <c r="I1030" s="33" t="n"/>
      <c r="J1030" s="33" t="n"/>
      <c r="K1030" s="33">
        <f>L1030+M1030+N1030</f>
        <v/>
      </c>
      <c r="L1030" s="33" t="n"/>
      <c r="M1030" s="33" t="n"/>
      <c r="N1030" s="33" t="n"/>
      <c r="O1030" s="33">
        <f>P1030+Q1030</f>
        <v/>
      </c>
      <c r="P1030" s="33" t="n"/>
      <c r="Q1030" s="33" t="n"/>
      <c r="R1030" s="33">
        <f>H1030+K1030-O1030</f>
        <v/>
      </c>
      <c r="S1030" s="33" t="n"/>
      <c r="T1030" s="33" t="n"/>
      <c r="U1030" s="33" t="n"/>
      <c r="V1030" s="33" t="n"/>
      <c r="W1030" s="33" t="n"/>
      <c r="X1030" s="33" t="n"/>
      <c r="Y1030" s="33" t="n"/>
      <c r="Z1030" s="33" t="n"/>
      <c r="AA1030" s="4">
        <f>R1030-G1030</f>
        <v/>
      </c>
      <c r="AB1030" s="4">
        <f>G1030-R1030</f>
        <v/>
      </c>
      <c r="AC1030" s="33" t="n"/>
    </row>
    <row r="1031" ht="37.5" customHeight="1">
      <c r="A1031" s="35">
        <f>SUBTOTAL(103,$B$24:B1031)</f>
        <v/>
      </c>
      <c r="B1031" s="36" t="inlineStr">
        <is>
          <t>Обладнання для шокової заморозки Tehnodom</t>
        </is>
      </c>
      <c r="C1031" s="37" t="inlineStr">
        <is>
          <t>к-т</t>
        </is>
      </c>
      <c r="D1031" s="33" t="n"/>
      <c r="E1031" s="33" t="n"/>
      <c r="F1031" s="33">
        <f>E1031*0.05</f>
        <v/>
      </c>
      <c r="G1031" s="33">
        <f>E1031+F1031</f>
        <v/>
      </c>
      <c r="H1031" s="33" t="n"/>
      <c r="I1031" s="33" t="n"/>
      <c r="J1031" s="33" t="n"/>
      <c r="K1031" s="33">
        <f>L1031+M1031+N1031</f>
        <v/>
      </c>
      <c r="L1031" s="33" t="n"/>
      <c r="M1031" s="33" t="n"/>
      <c r="N1031" s="33" t="n"/>
      <c r="O1031" s="33">
        <f>P1031+Q1031</f>
        <v/>
      </c>
      <c r="P1031" s="33" t="n"/>
      <c r="Q1031" s="33" t="n"/>
      <c r="R1031" s="33">
        <f>H1031+K1031-O1031</f>
        <v/>
      </c>
      <c r="S1031" s="33" t="n"/>
      <c r="T1031" s="33" t="n"/>
      <c r="U1031" s="33" t="n"/>
      <c r="V1031" s="33" t="n"/>
      <c r="W1031" s="33" t="n"/>
      <c r="X1031" s="33" t="n"/>
      <c r="Y1031" s="33" t="n"/>
      <c r="Z1031" s="33" t="n"/>
      <c r="AA1031" s="4">
        <f>R1031-G1031</f>
        <v/>
      </c>
      <c r="AB1031" s="4">
        <f>G1031-R1031</f>
        <v/>
      </c>
      <c r="AC1031" s="33" t="n"/>
    </row>
    <row r="1032" ht="18.75" customHeight="1">
      <c r="A1032" s="35">
        <f>SUBTOTAL(103,$B$24:B1032)</f>
        <v/>
      </c>
      <c r="B1032" s="44" t="inlineStr">
        <is>
          <t>ТЕХНОЛОГІЧНЕ ОБЛАДНАННЯ</t>
        </is>
      </c>
      <c r="C1032" s="37" t="n"/>
      <c r="D1032" s="33" t="n"/>
      <c r="E1032" s="33" t="n"/>
      <c r="F1032" s="33">
        <f>E1032*0.05</f>
        <v/>
      </c>
      <c r="G1032" s="33">
        <f>E1032+F1032</f>
        <v/>
      </c>
      <c r="H1032" s="33" t="n"/>
      <c r="I1032" s="33" t="n"/>
      <c r="J1032" s="33" t="n"/>
      <c r="K1032" s="33">
        <f>L1032+M1032+N1032</f>
        <v/>
      </c>
      <c r="L1032" s="33" t="n"/>
      <c r="M1032" s="33" t="n"/>
      <c r="N1032" s="33" t="n"/>
      <c r="O1032" s="33">
        <f>P1032+Q1032</f>
        <v/>
      </c>
      <c r="P1032" s="33" t="n"/>
      <c r="Q1032" s="33" t="n"/>
      <c r="R1032" s="33">
        <f>H1032+K1032-O1032</f>
        <v/>
      </c>
      <c r="S1032" s="33" t="n"/>
      <c r="T1032" s="33" t="n"/>
      <c r="U1032" s="33" t="n"/>
      <c r="V1032" s="33" t="n"/>
      <c r="W1032" s="33" t="n"/>
      <c r="X1032" s="33" t="n"/>
      <c r="Y1032" s="33" t="n"/>
      <c r="Z1032" s="33" t="n"/>
      <c r="AA1032" s="4">
        <f>R1032-G1032</f>
        <v/>
      </c>
      <c r="AB1032" s="4">
        <f>G1032-R1032</f>
        <v/>
      </c>
      <c r="AC1032" s="33" t="n"/>
    </row>
    <row r="1033" ht="37.5" customHeight="1">
      <c r="A1033" s="35">
        <f>SUBTOTAL(103,$B$24:B1033)</f>
        <v/>
      </c>
      <c r="B1033" s="39" t="inlineStr">
        <is>
          <t>МАШИНИ ДЛЯ ЧИЩЕННЯ КАРТОПЛІ</t>
        </is>
      </c>
      <c r="C1033" s="37" t="n"/>
      <c r="D1033" s="33" t="n"/>
      <c r="E1033" s="33" t="n"/>
      <c r="F1033" s="33">
        <f>E1033*0.05</f>
        <v/>
      </c>
      <c r="G1033" s="33">
        <f>E1033+F1033</f>
        <v/>
      </c>
      <c r="H1033" s="33" t="n"/>
      <c r="I1033" s="33" t="n"/>
      <c r="J1033" s="33" t="n"/>
      <c r="K1033" s="33">
        <f>L1033+M1033+N1033</f>
        <v/>
      </c>
      <c r="L1033" s="33" t="n"/>
      <c r="M1033" s="33" t="n"/>
      <c r="N1033" s="33" t="n"/>
      <c r="O1033" s="33">
        <f>P1033+Q1033</f>
        <v/>
      </c>
      <c r="P1033" s="33" t="n"/>
      <c r="Q1033" s="33" t="n"/>
      <c r="R1033" s="33">
        <f>H1033+K1033-O1033</f>
        <v/>
      </c>
      <c r="S1033" s="33" t="n"/>
      <c r="T1033" s="33" t="n"/>
      <c r="U1033" s="33" t="n"/>
      <c r="V1033" s="33" t="n"/>
      <c r="W1033" s="33" t="n"/>
      <c r="X1033" s="33" t="n"/>
      <c r="Y1033" s="33" t="n"/>
      <c r="Z1033" s="33" t="n"/>
      <c r="AA1033" s="4">
        <f>R1033-G1033</f>
        <v/>
      </c>
      <c r="AB1033" s="4">
        <f>G1033-R1033</f>
        <v/>
      </c>
      <c r="AC1033" s="33" t="n"/>
    </row>
    <row r="1034" ht="18.75" customHeight="1">
      <c r="A1034" s="35">
        <f>SUBTOTAL(103,$B$24:B1034)</f>
        <v/>
      </c>
      <c r="B1034" s="36" t="inlineStr">
        <is>
          <t>Картоплечистки МОК-16</t>
        </is>
      </c>
      <c r="C1034" s="37" t="inlineStr">
        <is>
          <t>к-т</t>
        </is>
      </c>
      <c r="D1034" s="33" t="n"/>
      <c r="E1034" s="33" t="n"/>
      <c r="F1034" s="33">
        <f>E1034*0.05</f>
        <v/>
      </c>
      <c r="G1034" s="33">
        <f>E1034+F1034</f>
        <v/>
      </c>
      <c r="H1034" s="33" t="n"/>
      <c r="I1034" s="33" t="n"/>
      <c r="J1034" s="33" t="n"/>
      <c r="K1034" s="33">
        <f>L1034+M1034+N1034</f>
        <v/>
      </c>
      <c r="L1034" s="33" t="n"/>
      <c r="M1034" s="33" t="n"/>
      <c r="N1034" s="33" t="n"/>
      <c r="O1034" s="33">
        <f>P1034+Q1034</f>
        <v/>
      </c>
      <c r="P1034" s="33" t="n"/>
      <c r="Q1034" s="33" t="n"/>
      <c r="R1034" s="33">
        <f>H1034+K1034-O1034</f>
        <v/>
      </c>
      <c r="S1034" s="33" t="n"/>
      <c r="T1034" s="33" t="n"/>
      <c r="U1034" s="33" t="n"/>
      <c r="V1034" s="33" t="n"/>
      <c r="W1034" s="33" t="n"/>
      <c r="X1034" s="33" t="n"/>
      <c r="Y1034" s="33" t="n"/>
      <c r="Z1034" s="33" t="n"/>
      <c r="AA1034" s="4">
        <f>R1034-G1034</f>
        <v/>
      </c>
      <c r="AB1034" s="4">
        <f>G1034-R1034</f>
        <v/>
      </c>
      <c r="AC1034" s="33" t="n"/>
    </row>
    <row r="1035" ht="18.75" customHeight="1">
      <c r="A1035" s="35">
        <f>SUBTOTAL(103,$B$24:B1035)</f>
        <v/>
      </c>
      <c r="B1035" s="36" t="inlineStr">
        <is>
          <t>Картоплечистки МОК-28</t>
        </is>
      </c>
      <c r="C1035" s="37" t="inlineStr">
        <is>
          <t>к-т</t>
        </is>
      </c>
      <c r="D1035" s="33" t="n"/>
      <c r="E1035" s="33" t="n"/>
      <c r="F1035" s="33">
        <f>E1035*0.05</f>
        <v/>
      </c>
      <c r="G1035" s="33">
        <f>E1035+F1035</f>
        <v/>
      </c>
      <c r="H1035" s="33" t="n"/>
      <c r="I1035" s="33" t="n"/>
      <c r="J1035" s="33" t="n"/>
      <c r="K1035" s="33">
        <f>L1035+M1035+N1035</f>
        <v/>
      </c>
      <c r="L1035" s="33" t="n"/>
      <c r="M1035" s="33" t="n"/>
      <c r="N1035" s="33" t="n"/>
      <c r="O1035" s="33">
        <f>P1035+Q1035</f>
        <v/>
      </c>
      <c r="P1035" s="33" t="n"/>
      <c r="Q1035" s="33" t="n"/>
      <c r="R1035" s="33">
        <f>H1035+K1035-O1035</f>
        <v/>
      </c>
      <c r="S1035" s="33" t="n"/>
      <c r="T1035" s="33" t="n"/>
      <c r="U1035" s="33" t="n"/>
      <c r="V1035" s="33" t="n"/>
      <c r="W1035" s="33" t="n"/>
      <c r="X1035" s="33" t="n"/>
      <c r="Y1035" s="33" t="n"/>
      <c r="Z1035" s="33" t="n"/>
      <c r="AA1035" s="4">
        <f>R1035-G1035</f>
        <v/>
      </c>
      <c r="AB1035" s="4">
        <f>G1035-R1035</f>
        <v/>
      </c>
      <c r="AC1035" s="33" t="n"/>
    </row>
    <row r="1036" ht="18.75" customHeight="1">
      <c r="A1036" s="35">
        <f>SUBTOTAL(103,$B$24:B1036)</f>
        <v/>
      </c>
      <c r="B1036" s="36" t="inlineStr">
        <is>
          <t>Картоплечистки МОК-125</t>
        </is>
      </c>
      <c r="C1036" s="37" t="inlineStr">
        <is>
          <t>к-т</t>
        </is>
      </c>
      <c r="D1036" s="33" t="n"/>
      <c r="E1036" s="33" t="n"/>
      <c r="F1036" s="33">
        <f>E1036*0.05</f>
        <v/>
      </c>
      <c r="G1036" s="33">
        <f>E1036+F1036</f>
        <v/>
      </c>
      <c r="H1036" s="33" t="n"/>
      <c r="I1036" s="33" t="n"/>
      <c r="J1036" s="33" t="n"/>
      <c r="K1036" s="33">
        <f>L1036+M1036+N1036</f>
        <v/>
      </c>
      <c r="L1036" s="33" t="n"/>
      <c r="M1036" s="33" t="n"/>
      <c r="N1036" s="33" t="n"/>
      <c r="O1036" s="33">
        <f>P1036+Q1036</f>
        <v/>
      </c>
      <c r="P1036" s="33" t="n"/>
      <c r="Q1036" s="33" t="n"/>
      <c r="R1036" s="33">
        <f>H1036+K1036-O1036</f>
        <v/>
      </c>
      <c r="S1036" s="33" t="n"/>
      <c r="T1036" s="33" t="n"/>
      <c r="U1036" s="33" t="n"/>
      <c r="V1036" s="33" t="n"/>
      <c r="W1036" s="33" t="n"/>
      <c r="X1036" s="33" t="n"/>
      <c r="Y1036" s="33" t="n"/>
      <c r="Z1036" s="33" t="n"/>
      <c r="AA1036" s="4">
        <f>R1036-G1036</f>
        <v/>
      </c>
      <c r="AB1036" s="4">
        <f>G1036-R1036</f>
        <v/>
      </c>
      <c r="AC1036" s="33" t="n"/>
    </row>
    <row r="1037" ht="18.75" customHeight="1">
      <c r="A1037" s="35">
        <f>SUBTOTAL(103,$B$24:B1037)</f>
        <v/>
      </c>
      <c r="B1037" s="36" t="inlineStr">
        <is>
          <t>Картоплечистки МОК-150</t>
        </is>
      </c>
      <c r="C1037" s="37" t="inlineStr">
        <is>
          <t>к-т</t>
        </is>
      </c>
      <c r="D1037" s="33" t="n"/>
      <c r="E1037" s="33" t="n"/>
      <c r="F1037" s="33">
        <f>E1037*0.05</f>
        <v/>
      </c>
      <c r="G1037" s="33">
        <f>E1037+F1037</f>
        <v/>
      </c>
      <c r="H1037" s="33" t="n"/>
      <c r="I1037" s="33" t="n"/>
      <c r="J1037" s="33" t="n"/>
      <c r="K1037" s="33">
        <f>L1037+M1037+N1037</f>
        <v/>
      </c>
      <c r="L1037" s="33" t="n"/>
      <c r="M1037" s="33" t="n"/>
      <c r="N1037" s="33" t="n"/>
      <c r="O1037" s="33">
        <f>P1037+Q1037</f>
        <v/>
      </c>
      <c r="P1037" s="33" t="n"/>
      <c r="Q1037" s="33" t="n"/>
      <c r="R1037" s="33">
        <f>H1037+K1037-O1037</f>
        <v/>
      </c>
      <c r="S1037" s="33" t="n"/>
      <c r="T1037" s="33" t="n"/>
      <c r="U1037" s="33" t="n"/>
      <c r="V1037" s="33" t="n"/>
      <c r="W1037" s="33" t="n"/>
      <c r="X1037" s="33" t="n"/>
      <c r="Y1037" s="33" t="n"/>
      <c r="Z1037" s="33" t="n"/>
      <c r="AA1037" s="4">
        <f>R1037-G1037</f>
        <v/>
      </c>
      <c r="AB1037" s="4">
        <f>G1037-R1037</f>
        <v/>
      </c>
      <c r="AC1037" s="33" t="n"/>
    </row>
    <row r="1038" ht="18.75" customHeight="1">
      <c r="A1038" s="35">
        <f>SUBTOTAL(103,$B$24:B1038)</f>
        <v/>
      </c>
      <c r="B1038" s="36" t="inlineStr">
        <is>
          <t>Картоплечистки МОК 250</t>
        </is>
      </c>
      <c r="C1038" s="37" t="inlineStr">
        <is>
          <t>к-т</t>
        </is>
      </c>
      <c r="D1038" s="33" t="n"/>
      <c r="E1038" s="33" t="n"/>
      <c r="F1038" s="33">
        <f>E1038*0.05</f>
        <v/>
      </c>
      <c r="G1038" s="33">
        <f>E1038+F1038</f>
        <v/>
      </c>
      <c r="H1038" s="33" t="n"/>
      <c r="I1038" s="33" t="n"/>
      <c r="J1038" s="33" t="n"/>
      <c r="K1038" s="33">
        <f>L1038+M1038+N1038</f>
        <v/>
      </c>
      <c r="L1038" s="33" t="n"/>
      <c r="M1038" s="33" t="n"/>
      <c r="N1038" s="33" t="n"/>
      <c r="O1038" s="33">
        <f>P1038+Q1038</f>
        <v/>
      </c>
      <c r="P1038" s="33" t="n"/>
      <c r="Q1038" s="33" t="n"/>
      <c r="R1038" s="33">
        <f>H1038+K1038-O1038</f>
        <v/>
      </c>
      <c r="S1038" s="33" t="n"/>
      <c r="T1038" s="33" t="n"/>
      <c r="U1038" s="33" t="n"/>
      <c r="V1038" s="33" t="n"/>
      <c r="W1038" s="33" t="n"/>
      <c r="X1038" s="33" t="n"/>
      <c r="Y1038" s="33" t="n"/>
      <c r="Z1038" s="33" t="n"/>
      <c r="AA1038" s="4">
        <f>R1038-G1038</f>
        <v/>
      </c>
      <c r="AB1038" s="4">
        <f>G1038-R1038</f>
        <v/>
      </c>
      <c r="AC1038" s="33" t="n"/>
    </row>
    <row r="1039" ht="18.75" customHeight="1">
      <c r="A1039" s="35">
        <f>SUBTOTAL(103,$B$24:B1039)</f>
        <v/>
      </c>
      <c r="B1039" s="36" t="inlineStr">
        <is>
          <t>Картоплечистки МОК 300</t>
        </is>
      </c>
      <c r="C1039" s="37" t="inlineStr">
        <is>
          <t>к-т</t>
        </is>
      </c>
      <c r="D1039" s="33" t="n"/>
      <c r="E1039" s="33" t="n"/>
      <c r="F1039" s="33">
        <f>E1039*0.05</f>
        <v/>
      </c>
      <c r="G1039" s="33">
        <f>E1039+F1039</f>
        <v/>
      </c>
      <c r="H1039" s="33" t="n"/>
      <c r="I1039" s="33" t="n"/>
      <c r="J1039" s="33" t="n"/>
      <c r="K1039" s="33">
        <f>L1039+M1039+N1039</f>
        <v/>
      </c>
      <c r="L1039" s="33" t="n"/>
      <c r="M1039" s="33" t="n"/>
      <c r="N1039" s="33" t="n"/>
      <c r="O1039" s="33">
        <f>P1039+Q1039</f>
        <v/>
      </c>
      <c r="P1039" s="33" t="n"/>
      <c r="Q1039" s="33" t="n"/>
      <c r="R1039" s="33">
        <f>H1039+K1039-O1039</f>
        <v/>
      </c>
      <c r="S1039" s="33" t="n"/>
      <c r="T1039" s="33" t="n"/>
      <c r="U1039" s="33" t="n"/>
      <c r="V1039" s="33" t="n"/>
      <c r="W1039" s="33" t="n"/>
      <c r="X1039" s="33" t="n"/>
      <c r="Y1039" s="33" t="n"/>
      <c r="Z1039" s="33" t="n"/>
      <c r="AA1039" s="4">
        <f>R1039-G1039</f>
        <v/>
      </c>
      <c r="AB1039" s="4">
        <f>G1039-R1039</f>
        <v/>
      </c>
      <c r="AC1039" s="33" t="n"/>
    </row>
    <row r="1040" ht="18.75" customHeight="1">
      <c r="A1040" s="35">
        <f>SUBTOTAL(103,$B$24:B1040)</f>
        <v/>
      </c>
      <c r="B1040" s="36" t="inlineStr">
        <is>
          <t>Картоплечистки МОК 350</t>
        </is>
      </c>
      <c r="C1040" s="37" t="inlineStr">
        <is>
          <t>к-т</t>
        </is>
      </c>
      <c r="D1040" s="33" t="n"/>
      <c r="E1040" s="33" t="n"/>
      <c r="F1040" s="33">
        <f>E1040*0.05</f>
        <v/>
      </c>
      <c r="G1040" s="33">
        <f>E1040+F1040</f>
        <v/>
      </c>
      <c r="H1040" s="33" t="n"/>
      <c r="I1040" s="33" t="n"/>
      <c r="J1040" s="33" t="n"/>
      <c r="K1040" s="33">
        <f>L1040+M1040+N1040</f>
        <v/>
      </c>
      <c r="L1040" s="33" t="n"/>
      <c r="M1040" s="33" t="n"/>
      <c r="N1040" s="33" t="n"/>
      <c r="O1040" s="33">
        <f>P1040+Q1040</f>
        <v/>
      </c>
      <c r="P1040" s="33" t="n"/>
      <c r="Q1040" s="33" t="n"/>
      <c r="R1040" s="33">
        <f>H1040+K1040-O1040</f>
        <v/>
      </c>
      <c r="S1040" s="33" t="n"/>
      <c r="T1040" s="33" t="n"/>
      <c r="U1040" s="33" t="n"/>
      <c r="V1040" s="33" t="n"/>
      <c r="W1040" s="33" t="n"/>
      <c r="X1040" s="33" t="n"/>
      <c r="Y1040" s="33" t="n"/>
      <c r="Z1040" s="33" t="n"/>
      <c r="AA1040" s="4">
        <f>R1040-G1040</f>
        <v/>
      </c>
      <c r="AB1040" s="4">
        <f>G1040-R1040</f>
        <v/>
      </c>
      <c r="AC1040" s="33" t="n"/>
    </row>
    <row r="1041" ht="37.5" customHeight="1">
      <c r="A1041" s="35">
        <f>SUBTOTAL(103,$B$24:B1041)</f>
        <v/>
      </c>
      <c r="B1041" s="36" t="inlineStr">
        <is>
          <t>Картоплечистка EWT INOX X10D (151-300 кг/год)</t>
        </is>
      </c>
      <c r="C1041" s="37" t="inlineStr">
        <is>
          <t>к-т</t>
        </is>
      </c>
      <c r="D1041" s="33" t="n"/>
      <c r="E1041" s="33" t="n"/>
      <c r="F1041" s="33">
        <f>E1041*0.05</f>
        <v/>
      </c>
      <c r="G1041" s="33">
        <f>E1041+F1041</f>
        <v/>
      </c>
      <c r="H1041" s="33" t="n"/>
      <c r="I1041" s="33" t="n"/>
      <c r="J1041" s="33" t="n"/>
      <c r="K1041" s="33">
        <f>L1041+M1041+N1041</f>
        <v/>
      </c>
      <c r="L1041" s="33" t="n"/>
      <c r="M1041" s="33" t="n"/>
      <c r="N1041" s="33" t="n"/>
      <c r="O1041" s="33">
        <f>P1041+Q1041</f>
        <v/>
      </c>
      <c r="P1041" s="33" t="n"/>
      <c r="Q1041" s="33" t="n"/>
      <c r="R1041" s="33">
        <f>H1041+K1041-O1041</f>
        <v/>
      </c>
      <c r="S1041" s="33" t="n"/>
      <c r="T1041" s="33" t="n"/>
      <c r="U1041" s="33" t="n"/>
      <c r="V1041" s="33" t="n"/>
      <c r="W1041" s="33" t="n"/>
      <c r="X1041" s="33" t="n"/>
      <c r="Y1041" s="33" t="n"/>
      <c r="Z1041" s="33" t="n"/>
      <c r="AA1041" s="4">
        <f>R1041-G1041</f>
        <v/>
      </c>
      <c r="AB1041" s="4">
        <f>G1041-R1041</f>
        <v/>
      </c>
      <c r="AC1041" s="33" t="n"/>
    </row>
    <row r="1042" ht="37.5" customHeight="1">
      <c r="A1042" s="35">
        <f>SUBTOTAL(103,$B$24:B1042)</f>
        <v/>
      </c>
      <c r="B1042" s="36" t="inlineStr">
        <is>
          <t>Картоплечистки МОО-1 (151-300 кг/год)</t>
        </is>
      </c>
      <c r="C1042" s="37" t="inlineStr">
        <is>
          <t>к-т</t>
        </is>
      </c>
      <c r="D1042" s="33" t="n"/>
      <c r="E1042" s="33" t="n"/>
      <c r="F1042" s="33">
        <f>E1042*0.05</f>
        <v/>
      </c>
      <c r="G1042" s="33">
        <f>E1042+F1042</f>
        <v/>
      </c>
      <c r="H1042" s="33" t="n"/>
      <c r="I1042" s="33" t="n"/>
      <c r="J1042" s="33" t="n"/>
      <c r="K1042" s="33">
        <f>L1042+M1042+N1042</f>
        <v/>
      </c>
      <c r="L1042" s="33" t="n"/>
      <c r="M1042" s="33" t="n"/>
      <c r="N1042" s="33" t="n"/>
      <c r="O1042" s="33">
        <f>P1042+Q1042</f>
        <v/>
      </c>
      <c r="P1042" s="33" t="n"/>
      <c r="Q1042" s="33" t="n"/>
      <c r="R1042" s="33">
        <f>H1042+K1042-O1042</f>
        <v/>
      </c>
      <c r="S1042" s="33" t="n"/>
      <c r="T1042" s="33" t="n"/>
      <c r="U1042" s="33" t="n"/>
      <c r="V1042" s="33" t="n"/>
      <c r="W1042" s="33" t="n"/>
      <c r="X1042" s="33" t="n"/>
      <c r="Y1042" s="33" t="n"/>
      <c r="Z1042" s="33" t="n"/>
      <c r="AA1042" s="4">
        <f>R1042-G1042</f>
        <v/>
      </c>
      <c r="AB1042" s="4">
        <f>G1042-R1042</f>
        <v/>
      </c>
      <c r="AC1042" s="33" t="n"/>
    </row>
    <row r="1043" ht="37.5" customHeight="1">
      <c r="A1043" s="35">
        <f>SUBTOTAL(103,$B$24:B1043)</f>
        <v/>
      </c>
      <c r="B1043" s="36" t="inlineStr">
        <is>
          <t>Картоплечистки МОО-1-01 (75-150 кг/год)</t>
        </is>
      </c>
      <c r="C1043" s="37" t="inlineStr">
        <is>
          <t>к-т</t>
        </is>
      </c>
      <c r="D1043" s="33" t="n"/>
      <c r="E1043" s="33" t="n"/>
      <c r="F1043" s="33">
        <f>E1043*0.05</f>
        <v/>
      </c>
      <c r="G1043" s="33">
        <f>E1043+F1043</f>
        <v/>
      </c>
      <c r="H1043" s="33" t="n"/>
      <c r="I1043" s="33" t="n"/>
      <c r="J1043" s="33" t="n"/>
      <c r="K1043" s="33">
        <f>L1043+M1043+N1043</f>
        <v/>
      </c>
      <c r="L1043" s="33" t="n"/>
      <c r="M1043" s="33" t="n"/>
      <c r="N1043" s="33" t="n"/>
      <c r="O1043" s="33">
        <f>P1043+Q1043</f>
        <v/>
      </c>
      <c r="P1043" s="33" t="n"/>
      <c r="Q1043" s="33" t="n"/>
      <c r="R1043" s="33">
        <f>H1043+K1043-O1043</f>
        <v/>
      </c>
      <c r="S1043" s="33" t="n"/>
      <c r="T1043" s="33" t="n"/>
      <c r="U1043" s="33" t="n"/>
      <c r="V1043" s="33" t="n"/>
      <c r="W1043" s="33" t="n"/>
      <c r="X1043" s="33" t="n"/>
      <c r="Y1043" s="33" t="n"/>
      <c r="Z1043" s="33" t="n"/>
      <c r="AA1043" s="4">
        <f>R1043-G1043</f>
        <v/>
      </c>
      <c r="AB1043" s="4">
        <f>G1043-R1043</f>
        <v/>
      </c>
      <c r="AC1043" s="33" t="n"/>
    </row>
    <row r="1044" ht="37.5" customHeight="1">
      <c r="A1044" s="35">
        <f>SUBTOTAL(103,$B$24:B1044)</f>
        <v/>
      </c>
      <c r="B1044" s="36" t="inlineStr">
        <is>
          <t>Картоплечистка SYBO QJH-X6D (75-150 кг/год)</t>
        </is>
      </c>
      <c r="C1044" s="37" t="inlineStr">
        <is>
          <t>к-т</t>
        </is>
      </c>
      <c r="D1044" s="33" t="n"/>
      <c r="E1044" s="33" t="n"/>
      <c r="F1044" s="33">
        <f>E1044*0.05</f>
        <v/>
      </c>
      <c r="G1044" s="33">
        <f>E1044+F1044</f>
        <v/>
      </c>
      <c r="H1044" s="33" t="n"/>
      <c r="I1044" s="33" t="n"/>
      <c r="J1044" s="33" t="n"/>
      <c r="K1044" s="33">
        <f>L1044+M1044+N1044</f>
        <v/>
      </c>
      <c r="L1044" s="33" t="n"/>
      <c r="M1044" s="33" t="n"/>
      <c r="N1044" s="33" t="n"/>
      <c r="O1044" s="33">
        <f>P1044+Q1044</f>
        <v/>
      </c>
      <c r="P1044" s="33" t="n"/>
      <c r="Q1044" s="33" t="n"/>
      <c r="R1044" s="33">
        <f>H1044+K1044-O1044</f>
        <v/>
      </c>
      <c r="S1044" s="33" t="n"/>
      <c r="T1044" s="33" t="n"/>
      <c r="U1044" s="33" t="n"/>
      <c r="V1044" s="33" t="n"/>
      <c r="W1044" s="33" t="n"/>
      <c r="X1044" s="33" t="n"/>
      <c r="Y1044" s="33" t="n"/>
      <c r="Z1044" s="33" t="n"/>
      <c r="AA1044" s="4">
        <f>R1044-G1044</f>
        <v/>
      </c>
      <c r="AB1044" s="4">
        <f>G1044-R1044</f>
        <v/>
      </c>
      <c r="AC1044" s="33" t="n"/>
    </row>
    <row r="1045" ht="37.5" customHeight="1">
      <c r="A1045" s="35">
        <f>SUBTOTAL(103,$B$24:B1045)</f>
        <v/>
      </c>
      <c r="B1045" s="36" t="inlineStr">
        <is>
          <t>Картоплечистки АРР-3Ф (301-500 кг/год)</t>
        </is>
      </c>
      <c r="C1045" s="37" t="inlineStr">
        <is>
          <t>к-т</t>
        </is>
      </c>
      <c r="D1045" s="33" t="n"/>
      <c r="E1045" s="33" t="n"/>
      <c r="F1045" s="33">
        <f>E1045*0.05</f>
        <v/>
      </c>
      <c r="G1045" s="33">
        <f>E1045+F1045</f>
        <v/>
      </c>
      <c r="H1045" s="33" t="n"/>
      <c r="I1045" s="33" t="n"/>
      <c r="J1045" s="33" t="n"/>
      <c r="K1045" s="33">
        <f>L1045+M1045+N1045</f>
        <v/>
      </c>
      <c r="L1045" s="33" t="n"/>
      <c r="M1045" s="33" t="n"/>
      <c r="N1045" s="33" t="n"/>
      <c r="O1045" s="33">
        <f>P1045+Q1045</f>
        <v/>
      </c>
      <c r="P1045" s="33" t="n"/>
      <c r="Q1045" s="33" t="n"/>
      <c r="R1045" s="33">
        <f>H1045+K1045-O1045</f>
        <v/>
      </c>
      <c r="S1045" s="33" t="n"/>
      <c r="T1045" s="33" t="n"/>
      <c r="U1045" s="33" t="n"/>
      <c r="V1045" s="33" t="n"/>
      <c r="W1045" s="33" t="n"/>
      <c r="X1045" s="33" t="n"/>
      <c r="Y1045" s="33" t="n"/>
      <c r="Z1045" s="33" t="n"/>
      <c r="AA1045" s="4">
        <f>R1045-G1045</f>
        <v/>
      </c>
      <c r="AB1045" s="4">
        <f>G1045-R1045</f>
        <v/>
      </c>
      <c r="AC1045" s="33" t="n"/>
    </row>
    <row r="1046" ht="37.5" customHeight="1">
      <c r="A1046" s="35">
        <f>SUBTOTAL(103,$B$24:B1046)</f>
        <v/>
      </c>
      <c r="B1046" s="36" t="inlineStr">
        <is>
          <t>Картоплечистка Fimar PPN18 (380) (301-500 кг/год)</t>
        </is>
      </c>
      <c r="C1046" s="37" t="inlineStr">
        <is>
          <t>к-т</t>
        </is>
      </c>
      <c r="D1046" s="33" t="n"/>
      <c r="E1046" s="33" t="n"/>
      <c r="F1046" s="33">
        <f>E1046*0.05</f>
        <v/>
      </c>
      <c r="G1046" s="33">
        <f>E1046+F1046</f>
        <v/>
      </c>
      <c r="H1046" s="33" t="n"/>
      <c r="I1046" s="33" t="n"/>
      <c r="J1046" s="33" t="n"/>
      <c r="K1046" s="33">
        <f>L1046+M1046+N1046</f>
        <v/>
      </c>
      <c r="L1046" s="33" t="n"/>
      <c r="M1046" s="33" t="n"/>
      <c r="N1046" s="33" t="n"/>
      <c r="O1046" s="33">
        <f>P1046+Q1046</f>
        <v/>
      </c>
      <c r="P1046" s="33" t="n"/>
      <c r="Q1046" s="33" t="n"/>
      <c r="R1046" s="33">
        <f>H1046+K1046-O1046</f>
        <v/>
      </c>
      <c r="S1046" s="33" t="n"/>
      <c r="T1046" s="33" t="n"/>
      <c r="U1046" s="33" t="n"/>
      <c r="V1046" s="33" t="n"/>
      <c r="W1046" s="33" t="n"/>
      <c r="X1046" s="33" t="n"/>
      <c r="Y1046" s="33" t="n"/>
      <c r="Z1046" s="33" t="n"/>
      <c r="AA1046" s="4">
        <f>R1046-G1046</f>
        <v/>
      </c>
      <c r="AB1046" s="4">
        <f>G1046-R1046</f>
        <v/>
      </c>
      <c r="AC1046" s="33" t="n"/>
    </row>
    <row r="1047" ht="18.75" customHeight="1">
      <c r="A1047" s="35">
        <f>SUBTOTAL(103,$B$24:B1047)</f>
        <v/>
      </c>
      <c r="B1047" s="36" t="inlineStr">
        <is>
          <t>Картоплечистка HKN-PPF10M Hurakan</t>
        </is>
      </c>
      <c r="C1047" s="37" t="inlineStr">
        <is>
          <t>к-т</t>
        </is>
      </c>
      <c r="D1047" s="33" t="n"/>
      <c r="E1047" s="33" t="n"/>
      <c r="F1047" s="33">
        <f>E1047*0.05</f>
        <v/>
      </c>
      <c r="G1047" s="33">
        <f>E1047+F1047</f>
        <v/>
      </c>
      <c r="H1047" s="33" t="n"/>
      <c r="I1047" s="33" t="n"/>
      <c r="J1047" s="33" t="n"/>
      <c r="K1047" s="33">
        <f>L1047+M1047+N1047</f>
        <v/>
      </c>
      <c r="L1047" s="33" t="n"/>
      <c r="M1047" s="33" t="n"/>
      <c r="N1047" s="33" t="n"/>
      <c r="O1047" s="33">
        <f>P1047+Q1047</f>
        <v/>
      </c>
      <c r="P1047" s="33" t="n"/>
      <c r="Q1047" s="33" t="n"/>
      <c r="R1047" s="33">
        <f>H1047+K1047-O1047</f>
        <v/>
      </c>
      <c r="S1047" s="33" t="n"/>
      <c r="T1047" s="33" t="n"/>
      <c r="U1047" s="33" t="n"/>
      <c r="V1047" s="33" t="n"/>
      <c r="W1047" s="33" t="n"/>
      <c r="X1047" s="33" t="n"/>
      <c r="Y1047" s="33" t="n"/>
      <c r="Z1047" s="33" t="n"/>
      <c r="AA1047" s="4">
        <f>R1047-G1047</f>
        <v/>
      </c>
      <c r="AB1047" s="4">
        <f>G1047-R1047</f>
        <v/>
      </c>
      <c r="AC1047" s="33" t="n"/>
    </row>
    <row r="1048" ht="37.5" customHeight="1">
      <c r="A1048" s="35">
        <f>SUBTOTAL(103,$B$24:B1048)</f>
        <v/>
      </c>
      <c r="B1048" s="36" t="inlineStr">
        <is>
          <t>Машина для чищення картоплі QJH-X6D (75-150 кг/год)</t>
        </is>
      </c>
      <c r="C1048" s="37" t="inlineStr">
        <is>
          <t>к-т</t>
        </is>
      </c>
      <c r="D1048" s="33" t="n"/>
      <c r="E1048" s="33" t="n"/>
      <c r="F1048" s="33">
        <f>E1048*0.05</f>
        <v/>
      </c>
      <c r="G1048" s="33">
        <f>E1048+F1048</f>
        <v/>
      </c>
      <c r="H1048" s="33" t="n"/>
      <c r="I1048" s="33" t="n"/>
      <c r="J1048" s="33" t="n"/>
      <c r="K1048" s="33">
        <f>L1048+M1048+N1048</f>
        <v/>
      </c>
      <c r="L1048" s="33" t="n"/>
      <c r="M1048" s="33" t="n"/>
      <c r="N1048" s="33" t="n"/>
      <c r="O1048" s="33">
        <f>P1048+Q1048</f>
        <v/>
      </c>
      <c r="P1048" s="33" t="n"/>
      <c r="Q1048" s="33" t="n"/>
      <c r="R1048" s="33">
        <f>H1048+K1048-O1048</f>
        <v/>
      </c>
      <c r="S1048" s="33" t="n"/>
      <c r="T1048" s="33" t="n"/>
      <c r="U1048" s="33" t="n"/>
      <c r="V1048" s="33" t="n"/>
      <c r="W1048" s="33" t="n"/>
      <c r="X1048" s="33" t="n"/>
      <c r="Y1048" s="33" t="n"/>
      <c r="Z1048" s="33" t="n"/>
      <c r="AA1048" s="4">
        <f>R1048-G1048</f>
        <v/>
      </c>
      <c r="AB1048" s="4">
        <f>G1048-R1048</f>
        <v/>
      </c>
      <c r="AC1048" s="33" t="n"/>
    </row>
    <row r="1049" ht="37.5" customHeight="1">
      <c r="A1049" s="35">
        <f>SUBTOTAL(103,$B$24:B1049)</f>
        <v/>
      </c>
      <c r="B1049" s="36" t="inlineStr">
        <is>
          <t>Машина для чищення картоплі QJH-X10D (151-300 кг/год)</t>
        </is>
      </c>
      <c r="C1049" s="37" t="inlineStr">
        <is>
          <t>к-т</t>
        </is>
      </c>
      <c r="D1049" s="33" t="n"/>
      <c r="E1049" s="33" t="n"/>
      <c r="F1049" s="33">
        <f>E1049*0.05</f>
        <v/>
      </c>
      <c r="G1049" s="33">
        <f>E1049+F1049</f>
        <v/>
      </c>
      <c r="H1049" s="33" t="n"/>
      <c r="I1049" s="33" t="n"/>
      <c r="J1049" s="33" t="n"/>
      <c r="K1049" s="33">
        <f>L1049+M1049+N1049</f>
        <v/>
      </c>
      <c r="L1049" s="33" t="n"/>
      <c r="M1049" s="33" t="n"/>
      <c r="N1049" s="33" t="n"/>
      <c r="O1049" s="33">
        <f>P1049+Q1049</f>
        <v/>
      </c>
      <c r="P1049" s="33" t="n"/>
      <c r="Q1049" s="33" t="n"/>
      <c r="R1049" s="33">
        <f>H1049+K1049-O1049</f>
        <v/>
      </c>
      <c r="S1049" s="33" t="n"/>
      <c r="T1049" s="33" t="n"/>
      <c r="U1049" s="33" t="n"/>
      <c r="V1049" s="33" t="n"/>
      <c r="W1049" s="33" t="n"/>
      <c r="X1049" s="33" t="n"/>
      <c r="Y1049" s="33" t="n"/>
      <c r="Z1049" s="33" t="n"/>
      <c r="AA1049" s="4">
        <f>R1049-G1049</f>
        <v/>
      </c>
      <c r="AB1049" s="4">
        <f>G1049-R1049</f>
        <v/>
      </c>
      <c r="AC1049" s="33" t="n"/>
    </row>
    <row r="1050" ht="37.5" customHeight="1">
      <c r="A1050" s="35">
        <f>SUBTOTAL(103,$B$24:B1050)</f>
        <v/>
      </c>
      <c r="B1050" s="36" t="inlineStr">
        <is>
          <t>Машина для чищення картоплі QJH-X15D (301-500 кг/год)</t>
        </is>
      </c>
      <c r="C1050" s="37" t="inlineStr">
        <is>
          <t>к-т</t>
        </is>
      </c>
      <c r="D1050" s="33" t="n"/>
      <c r="E1050" s="33" t="n"/>
      <c r="F1050" s="33">
        <f>E1050*0.05</f>
        <v/>
      </c>
      <c r="G1050" s="33">
        <f>E1050+F1050</f>
        <v/>
      </c>
      <c r="H1050" s="33" t="n"/>
      <c r="I1050" s="33" t="n"/>
      <c r="J1050" s="33" t="n"/>
      <c r="K1050" s="33">
        <f>L1050+M1050+N1050</f>
        <v/>
      </c>
      <c r="L1050" s="33" t="n"/>
      <c r="M1050" s="33" t="n"/>
      <c r="N1050" s="33" t="n"/>
      <c r="O1050" s="33">
        <f>P1050+Q1050</f>
        <v/>
      </c>
      <c r="P1050" s="33" t="n"/>
      <c r="Q1050" s="33" t="n"/>
      <c r="R1050" s="33">
        <f>H1050+K1050-O1050</f>
        <v/>
      </c>
      <c r="S1050" s="33" t="n"/>
      <c r="T1050" s="33" t="n"/>
      <c r="U1050" s="33" t="n"/>
      <c r="V1050" s="33" t="n"/>
      <c r="W1050" s="33" t="n"/>
      <c r="X1050" s="33" t="n"/>
      <c r="Y1050" s="33" t="n"/>
      <c r="Z1050" s="33" t="n"/>
      <c r="AA1050" s="4">
        <f>R1050-G1050</f>
        <v/>
      </c>
      <c r="AB1050" s="4">
        <f>G1050-R1050</f>
        <v/>
      </c>
      <c r="AC1050" s="33" t="n"/>
    </row>
    <row r="1051" ht="37.5" customHeight="1">
      <c r="A1051" s="35">
        <f>SUBTOTAL(103,$B$24:B1051)</f>
        <v/>
      </c>
      <c r="B1051" s="36" t="inlineStr">
        <is>
          <t xml:space="preserve">Машина для чищення картоплі REEDNEE </t>
        </is>
      </c>
      <c r="C1051" s="37" t="inlineStr">
        <is>
          <t>к-т</t>
        </is>
      </c>
      <c r="D1051" s="33" t="n"/>
      <c r="E1051" s="33" t="n"/>
      <c r="F1051" s="33">
        <f>E1051*0.05</f>
        <v/>
      </c>
      <c r="G1051" s="33">
        <f>E1051+F1051</f>
        <v/>
      </c>
      <c r="H1051" s="33" t="n"/>
      <c r="I1051" s="33" t="n"/>
      <c r="J1051" s="33" t="n"/>
      <c r="K1051" s="33">
        <f>L1051+M1051+N1051</f>
        <v/>
      </c>
      <c r="L1051" s="33" t="n"/>
      <c r="M1051" s="33" t="n"/>
      <c r="N1051" s="33" t="n"/>
      <c r="O1051" s="33">
        <f>P1051+Q1051</f>
        <v/>
      </c>
      <c r="P1051" s="33" t="n"/>
      <c r="Q1051" s="33" t="n"/>
      <c r="R1051" s="33">
        <f>H1051+K1051-O1051</f>
        <v/>
      </c>
      <c r="S1051" s="33" t="n"/>
      <c r="T1051" s="33" t="n"/>
      <c r="U1051" s="33" t="n"/>
      <c r="V1051" s="33" t="n"/>
      <c r="W1051" s="33" t="n"/>
      <c r="X1051" s="33" t="n"/>
      <c r="Y1051" s="33" t="n"/>
      <c r="Z1051" s="33" t="n"/>
      <c r="AA1051" s="4">
        <f>R1051-G1051</f>
        <v/>
      </c>
      <c r="AB1051" s="4">
        <f>G1051-R1051</f>
        <v/>
      </c>
      <c r="AC1051" s="33" t="n"/>
    </row>
    <row r="1052" ht="18.75" customHeight="1">
      <c r="A1052" s="35">
        <f>SUBTOTAL(103,$B$24:B1052)</f>
        <v/>
      </c>
      <c r="B1052" s="36" t="inlineStr">
        <is>
          <t>Картоплечистка BPS-10 Bogazici</t>
        </is>
      </c>
      <c r="C1052" s="37" t="inlineStr">
        <is>
          <t>к-т</t>
        </is>
      </c>
      <c r="D1052" s="33" t="n"/>
      <c r="E1052" s="33" t="n"/>
      <c r="F1052" s="33">
        <f>E1052*0.05</f>
        <v/>
      </c>
      <c r="G1052" s="33">
        <f>E1052+F1052</f>
        <v/>
      </c>
      <c r="H1052" s="33" t="n"/>
      <c r="I1052" s="33" t="n"/>
      <c r="J1052" s="33" t="n"/>
      <c r="K1052" s="33">
        <f>L1052+M1052+N1052</f>
        <v/>
      </c>
      <c r="L1052" s="33" t="n"/>
      <c r="M1052" s="33" t="n"/>
      <c r="N1052" s="33" t="n"/>
      <c r="O1052" s="33">
        <f>P1052+Q1052</f>
        <v/>
      </c>
      <c r="P1052" s="33" t="n"/>
      <c r="Q1052" s="33" t="n"/>
      <c r="R1052" s="33">
        <f>H1052+K1052-O1052</f>
        <v/>
      </c>
      <c r="S1052" s="33" t="n"/>
      <c r="T1052" s="33" t="n"/>
      <c r="U1052" s="33" t="n"/>
      <c r="V1052" s="33" t="n"/>
      <c r="W1052" s="33" t="n"/>
      <c r="X1052" s="33" t="n"/>
      <c r="Y1052" s="33" t="n"/>
      <c r="Z1052" s="33" t="n"/>
      <c r="AA1052" s="4">
        <f>R1052-G1052</f>
        <v/>
      </c>
      <c r="AB1052" s="4">
        <f>G1052-R1052</f>
        <v/>
      </c>
      <c r="AC1052" s="33" t="n"/>
    </row>
    <row r="1053" ht="18.75" customHeight="1">
      <c r="A1053" s="35">
        <f>SUBTOTAL(103,$B$24:B1053)</f>
        <v/>
      </c>
      <c r="B1053" s="36" t="inlineStr">
        <is>
          <t>Картоплечистки ОЗП-15,4</t>
        </is>
      </c>
      <c r="C1053" s="37" t="inlineStr">
        <is>
          <t>к-т</t>
        </is>
      </c>
      <c r="D1053" s="33" t="n"/>
      <c r="E1053" s="33" t="n"/>
      <c r="F1053" s="33">
        <f>E1053*0.05</f>
        <v/>
      </c>
      <c r="G1053" s="33">
        <f>E1053+F1053</f>
        <v/>
      </c>
      <c r="H1053" s="33" t="n"/>
      <c r="I1053" s="33" t="n"/>
      <c r="J1053" s="33" t="n"/>
      <c r="K1053" s="33">
        <f>L1053+M1053+N1053</f>
        <v/>
      </c>
      <c r="L1053" s="33" t="n"/>
      <c r="M1053" s="33" t="n"/>
      <c r="N1053" s="33" t="n"/>
      <c r="O1053" s="33">
        <f>P1053+Q1053</f>
        <v/>
      </c>
      <c r="P1053" s="33" t="n"/>
      <c r="Q1053" s="33" t="n"/>
      <c r="R1053" s="33">
        <f>H1053+K1053-O1053</f>
        <v/>
      </c>
      <c r="S1053" s="33" t="n"/>
      <c r="T1053" s="33" t="n"/>
      <c r="U1053" s="33" t="n"/>
      <c r="V1053" s="33" t="n"/>
      <c r="W1053" s="33" t="n"/>
      <c r="X1053" s="33" t="n"/>
      <c r="Y1053" s="33" t="n"/>
      <c r="Z1053" s="33" t="n"/>
      <c r="AA1053" s="4">
        <f>R1053-G1053</f>
        <v/>
      </c>
      <c r="AB1053" s="4">
        <f>G1053-R1053</f>
        <v/>
      </c>
      <c r="AC1053" s="33" t="n"/>
    </row>
    <row r="1054" ht="18.75" customHeight="1">
      <c r="A1054" s="35">
        <f>SUBTOTAL(103,$B$24:B1054)</f>
        <v/>
      </c>
      <c r="B1054" s="36" t="inlineStr">
        <is>
          <t>Картоплечистки ОЗП-15,1</t>
        </is>
      </c>
      <c r="C1054" s="37" t="inlineStr">
        <is>
          <t>к-т</t>
        </is>
      </c>
      <c r="D1054" s="33" t="n"/>
      <c r="E1054" s="33" t="n"/>
      <c r="F1054" s="33">
        <f>E1054*0.05</f>
        <v/>
      </c>
      <c r="G1054" s="33">
        <f>E1054+F1054</f>
        <v/>
      </c>
      <c r="H1054" s="33" t="n"/>
      <c r="I1054" s="33" t="n"/>
      <c r="J1054" s="33" t="n"/>
      <c r="K1054" s="33">
        <f>L1054+M1054+N1054</f>
        <v/>
      </c>
      <c r="L1054" s="33" t="n"/>
      <c r="M1054" s="33" t="n"/>
      <c r="N1054" s="33" t="n"/>
      <c r="O1054" s="33">
        <f>P1054+Q1054</f>
        <v/>
      </c>
      <c r="P1054" s="33" t="n"/>
      <c r="Q1054" s="33" t="n"/>
      <c r="R1054" s="33">
        <f>H1054+K1054-O1054</f>
        <v/>
      </c>
      <c r="S1054" s="33" t="n"/>
      <c r="T1054" s="33" t="n"/>
      <c r="U1054" s="33" t="n"/>
      <c r="V1054" s="33" t="n"/>
      <c r="W1054" s="33" t="n"/>
      <c r="X1054" s="33" t="n"/>
      <c r="Y1054" s="33" t="n"/>
      <c r="Z1054" s="33" t="n"/>
      <c r="AA1054" s="4">
        <f>R1054-G1054</f>
        <v/>
      </c>
      <c r="AB1054" s="4">
        <f>G1054-R1054</f>
        <v/>
      </c>
      <c r="AC1054" s="33" t="n"/>
    </row>
    <row r="1055" ht="18.75" customHeight="1">
      <c r="A1055" s="35">
        <f>SUBTOTAL(103,$B$24:B1055)</f>
        <v/>
      </c>
      <c r="B1055" s="36" t="inlineStr">
        <is>
          <t>Картоплечистки КА-48</t>
        </is>
      </c>
      <c r="C1055" s="37" t="inlineStr">
        <is>
          <t>к-т</t>
        </is>
      </c>
      <c r="D1055" s="33" t="n"/>
      <c r="E1055" s="33" t="n"/>
      <c r="F1055" s="33">
        <f>E1055*0.05</f>
        <v/>
      </c>
      <c r="G1055" s="33">
        <f>E1055+F1055</f>
        <v/>
      </c>
      <c r="H1055" s="33" t="n"/>
      <c r="I1055" s="33" t="n"/>
      <c r="J1055" s="33" t="n"/>
      <c r="K1055" s="33">
        <f>L1055+M1055+N1055</f>
        <v/>
      </c>
      <c r="L1055" s="33" t="n"/>
      <c r="M1055" s="33" t="n"/>
      <c r="N1055" s="33" t="n"/>
      <c r="O1055" s="33">
        <f>P1055+Q1055</f>
        <v/>
      </c>
      <c r="P1055" s="33" t="n"/>
      <c r="Q1055" s="33" t="n"/>
      <c r="R1055" s="33">
        <f>H1055+K1055-O1055</f>
        <v/>
      </c>
      <c r="S1055" s="33" t="n"/>
      <c r="T1055" s="33" t="n"/>
      <c r="U1055" s="33" t="n"/>
      <c r="V1055" s="33" t="n"/>
      <c r="W1055" s="33" t="n"/>
      <c r="X1055" s="33" t="n"/>
      <c r="Y1055" s="33" t="n"/>
      <c r="Z1055" s="33" t="n"/>
      <c r="AA1055" s="4">
        <f>R1055-G1055</f>
        <v/>
      </c>
      <c r="AB1055" s="4">
        <f>G1055-R1055</f>
        <v/>
      </c>
      <c r="AC1055" s="33" t="n"/>
    </row>
    <row r="1056" ht="18.75" customHeight="1">
      <c r="A1056" s="35">
        <f>SUBTOTAL(103,$B$24:B1056)</f>
        <v/>
      </c>
      <c r="B1056" s="36" t="inlineStr">
        <is>
          <t>Картоплечистки К-4В</t>
        </is>
      </c>
      <c r="C1056" s="37" t="inlineStr">
        <is>
          <t>к-т</t>
        </is>
      </c>
      <c r="D1056" s="33" t="n"/>
      <c r="E1056" s="33" t="n"/>
      <c r="F1056" s="33">
        <f>E1056*0.05</f>
        <v/>
      </c>
      <c r="G1056" s="33">
        <f>E1056+F1056</f>
        <v/>
      </c>
      <c r="H1056" s="33" t="n"/>
      <c r="I1056" s="33" t="n"/>
      <c r="J1056" s="33" t="n"/>
      <c r="K1056" s="33">
        <f>L1056+M1056+N1056</f>
        <v/>
      </c>
      <c r="L1056" s="33" t="n"/>
      <c r="M1056" s="33" t="n"/>
      <c r="N1056" s="33" t="n"/>
      <c r="O1056" s="33">
        <f>P1056+Q1056</f>
        <v/>
      </c>
      <c r="P1056" s="33" t="n"/>
      <c r="Q1056" s="33" t="n"/>
      <c r="R1056" s="33">
        <f>H1056+K1056-O1056</f>
        <v/>
      </c>
      <c r="S1056" s="33" t="n"/>
      <c r="T1056" s="33" t="n"/>
      <c r="U1056" s="33" t="n"/>
      <c r="V1056" s="33" t="n"/>
      <c r="W1056" s="33" t="n"/>
      <c r="X1056" s="33" t="n"/>
      <c r="Y1056" s="33" t="n"/>
      <c r="Z1056" s="33" t="n"/>
      <c r="AA1056" s="4">
        <f>R1056-G1056</f>
        <v/>
      </c>
      <c r="AB1056" s="4">
        <f>G1056-R1056</f>
        <v/>
      </c>
      <c r="AC1056" s="33" t="n"/>
    </row>
    <row r="1057" ht="18.75" customHeight="1">
      <c r="A1057" s="35">
        <f>SUBTOTAL(103,$B$24:B1057)</f>
        <v/>
      </c>
      <c r="B1057" s="36" t="inlineStr">
        <is>
          <t>Картоплечистки К-350</t>
        </is>
      </c>
      <c r="C1057" s="37" t="inlineStr">
        <is>
          <t>к-т</t>
        </is>
      </c>
      <c r="D1057" s="33" t="n"/>
      <c r="E1057" s="33" t="n"/>
      <c r="F1057" s="33">
        <f>E1057*0.05</f>
        <v/>
      </c>
      <c r="G1057" s="33">
        <f>E1057+F1057</f>
        <v/>
      </c>
      <c r="H1057" s="33" t="n"/>
      <c r="I1057" s="33" t="n"/>
      <c r="J1057" s="33" t="n"/>
      <c r="K1057" s="33">
        <f>L1057+M1057+N1057</f>
        <v/>
      </c>
      <c r="L1057" s="33" t="n"/>
      <c r="M1057" s="33" t="n"/>
      <c r="N1057" s="33" t="n"/>
      <c r="O1057" s="33">
        <f>P1057+Q1057</f>
        <v/>
      </c>
      <c r="P1057" s="33" t="n"/>
      <c r="Q1057" s="33" t="n"/>
      <c r="R1057" s="33">
        <f>H1057+K1057-O1057</f>
        <v/>
      </c>
      <c r="S1057" s="33" t="n"/>
      <c r="T1057" s="33" t="n"/>
      <c r="U1057" s="33" t="n"/>
      <c r="V1057" s="33" t="n"/>
      <c r="W1057" s="33" t="n"/>
      <c r="X1057" s="33" t="n"/>
      <c r="Y1057" s="33" t="n"/>
      <c r="Z1057" s="33" t="n"/>
      <c r="AA1057" s="4">
        <f>R1057-G1057</f>
        <v/>
      </c>
      <c r="AB1057" s="4">
        <f>G1057-R1057</f>
        <v/>
      </c>
      <c r="AC1057" s="33" t="n"/>
    </row>
    <row r="1058" ht="18.75" customHeight="1">
      <c r="A1058" s="35">
        <f>SUBTOTAL(103,$B$24:B1058)</f>
        <v/>
      </c>
      <c r="B1058" s="36" t="inlineStr">
        <is>
          <t>Картоплечистки "КНА-600М"</t>
        </is>
      </c>
      <c r="C1058" s="37" t="inlineStr">
        <is>
          <t>к-т</t>
        </is>
      </c>
      <c r="D1058" s="33" t="n"/>
      <c r="E1058" s="33" t="n"/>
      <c r="F1058" s="33">
        <f>E1058*0.05</f>
        <v/>
      </c>
      <c r="G1058" s="33">
        <f>E1058+F1058</f>
        <v/>
      </c>
      <c r="H1058" s="33" t="n"/>
      <c r="I1058" s="33" t="n"/>
      <c r="J1058" s="33" t="n"/>
      <c r="K1058" s="33">
        <f>L1058+M1058+N1058</f>
        <v/>
      </c>
      <c r="L1058" s="33" t="n"/>
      <c r="M1058" s="33" t="n"/>
      <c r="N1058" s="33" t="n"/>
      <c r="O1058" s="33">
        <f>P1058+Q1058</f>
        <v/>
      </c>
      <c r="P1058" s="33" t="n"/>
      <c r="Q1058" s="33" t="n"/>
      <c r="R1058" s="33">
        <f>H1058+K1058-O1058</f>
        <v/>
      </c>
      <c r="S1058" s="33" t="n"/>
      <c r="T1058" s="33" t="n"/>
      <c r="U1058" s="33" t="n"/>
      <c r="V1058" s="33" t="n"/>
      <c r="W1058" s="33" t="n"/>
      <c r="X1058" s="33" t="n"/>
      <c r="Y1058" s="33" t="n"/>
      <c r="Z1058" s="33" t="n"/>
      <c r="AA1058" s="4">
        <f>R1058-G1058</f>
        <v/>
      </c>
      <c r="AB1058" s="4">
        <f>G1058-R1058</f>
        <v/>
      </c>
      <c r="AC1058" s="33" t="n"/>
    </row>
    <row r="1059" ht="18.75" customHeight="1">
      <c r="A1059" s="35">
        <f>SUBTOTAL(103,$B$24:B1059)</f>
        <v/>
      </c>
      <c r="B1059" s="36" t="inlineStr">
        <is>
          <t>Картоплечистка ТМП-7222</t>
        </is>
      </c>
      <c r="C1059" s="37" t="inlineStr">
        <is>
          <t>к-т</t>
        </is>
      </c>
      <c r="D1059" s="33" t="n"/>
      <c r="E1059" s="33" t="n"/>
      <c r="F1059" s="33">
        <f>E1059*0.05</f>
        <v/>
      </c>
      <c r="G1059" s="33">
        <f>E1059+F1059</f>
        <v/>
      </c>
      <c r="H1059" s="33" t="n"/>
      <c r="I1059" s="33" t="n"/>
      <c r="J1059" s="33" t="n"/>
      <c r="K1059" s="33">
        <f>L1059+M1059+N1059</f>
        <v/>
      </c>
      <c r="L1059" s="33" t="n"/>
      <c r="M1059" s="33" t="n"/>
      <c r="N1059" s="33" t="n"/>
      <c r="O1059" s="33">
        <f>P1059+Q1059</f>
        <v/>
      </c>
      <c r="P1059" s="33" t="n"/>
      <c r="Q1059" s="33" t="n"/>
      <c r="R1059" s="33">
        <f>H1059+K1059-O1059</f>
        <v/>
      </c>
      <c r="S1059" s="33" t="n"/>
      <c r="T1059" s="33" t="n"/>
      <c r="U1059" s="33" t="n"/>
      <c r="V1059" s="33" t="n"/>
      <c r="W1059" s="33" t="n"/>
      <c r="X1059" s="33" t="n"/>
      <c r="Y1059" s="33" t="n"/>
      <c r="Z1059" s="33" t="n"/>
      <c r="AA1059" s="4">
        <f>R1059-G1059</f>
        <v/>
      </c>
      <c r="AB1059" s="4">
        <f>G1059-R1059</f>
        <v/>
      </c>
      <c r="AC1059" s="33" t="n"/>
    </row>
    <row r="1060" ht="18.75" customHeight="1">
      <c r="A1060" s="35">
        <f>SUBTOTAL(103,$B$24:B1060)</f>
        <v/>
      </c>
      <c r="B1060" s="36" t="inlineStr">
        <is>
          <t>Картоплечистка УВС-800</t>
        </is>
      </c>
      <c r="C1060" s="37" t="inlineStr">
        <is>
          <t>к-т</t>
        </is>
      </c>
      <c r="D1060" s="33" t="n"/>
      <c r="E1060" s="33" t="n"/>
      <c r="F1060" s="33">
        <f>E1060*0.05</f>
        <v/>
      </c>
      <c r="G1060" s="33">
        <f>E1060+F1060</f>
        <v/>
      </c>
      <c r="H1060" s="33" t="n"/>
      <c r="I1060" s="33" t="n"/>
      <c r="J1060" s="33" t="n"/>
      <c r="K1060" s="33">
        <f>L1060+M1060+N1060</f>
        <v/>
      </c>
      <c r="L1060" s="33" t="n"/>
      <c r="M1060" s="33" t="n"/>
      <c r="N1060" s="33" t="n"/>
      <c r="O1060" s="33">
        <f>P1060+Q1060</f>
        <v/>
      </c>
      <c r="P1060" s="33" t="n"/>
      <c r="Q1060" s="33" t="n"/>
      <c r="R1060" s="33">
        <f>H1060+K1060-O1060</f>
        <v/>
      </c>
      <c r="S1060" s="33" t="n"/>
      <c r="T1060" s="33" t="n"/>
      <c r="U1060" s="33" t="n"/>
      <c r="V1060" s="33" t="n"/>
      <c r="W1060" s="33" t="n"/>
      <c r="X1060" s="33" t="n"/>
      <c r="Y1060" s="33" t="n"/>
      <c r="Z1060" s="33" t="n"/>
      <c r="AA1060" s="4">
        <f>R1060-G1060</f>
        <v/>
      </c>
      <c r="AB1060" s="4">
        <f>G1060-R1060</f>
        <v/>
      </c>
      <c r="AC1060" s="33" t="n"/>
    </row>
    <row r="1061" ht="37.5" customHeight="1">
      <c r="A1061" s="35">
        <f>SUBTOTAL(103,$B$24:B1061)</f>
        <v/>
      </c>
      <c r="B1061" s="36" t="inlineStr">
        <is>
          <t>Машина для чищення коренеплодів HPL-15 Berg</t>
        </is>
      </c>
      <c r="C1061" s="37" t="n"/>
      <c r="D1061" s="33" t="n"/>
      <c r="E1061" s="33" t="n"/>
      <c r="F1061" s="33">
        <f>E1061*0.05</f>
        <v/>
      </c>
      <c r="G1061" s="33">
        <f>E1061+F1061</f>
        <v/>
      </c>
      <c r="H1061" s="33" t="n"/>
      <c r="I1061" s="33" t="n"/>
      <c r="J1061" s="33" t="n"/>
      <c r="K1061" s="33">
        <f>L1061+M1061+N1061</f>
        <v/>
      </c>
      <c r="L1061" s="33" t="n"/>
      <c r="M1061" s="33" t="n"/>
      <c r="N1061" s="33" t="n"/>
      <c r="O1061" s="33">
        <f>P1061+Q1061</f>
        <v/>
      </c>
      <c r="P1061" s="33" t="n"/>
      <c r="Q1061" s="33" t="n"/>
      <c r="R1061" s="33">
        <f>H1061+K1061-O1061</f>
        <v/>
      </c>
      <c r="S1061" s="33" t="n"/>
      <c r="T1061" s="33" t="n"/>
      <c r="U1061" s="33" t="n"/>
      <c r="V1061" s="33" t="n"/>
      <c r="W1061" s="33" t="n"/>
      <c r="X1061" s="33" t="n"/>
      <c r="Y1061" s="33" t="n"/>
      <c r="Z1061" s="33" t="n"/>
      <c r="AA1061" s="4">
        <f>R1061-G1061</f>
        <v/>
      </c>
      <c r="AB1061" s="4">
        <f>G1061-R1061</f>
        <v/>
      </c>
      <c r="AC1061" s="33" t="n"/>
    </row>
    <row r="1062" ht="18.75" customHeight="1">
      <c r="A1062" s="35">
        <f>SUBTOTAL(103,$B$24:B1062)</f>
        <v/>
      </c>
      <c r="B1062" s="36" t="inlineStr">
        <is>
          <t>Картоплечистки інші</t>
        </is>
      </c>
      <c r="C1062" s="37" t="n"/>
      <c r="D1062" s="33" t="n"/>
      <c r="E1062" s="33" t="n"/>
      <c r="F1062" s="33">
        <f>E1062*0.05</f>
        <v/>
      </c>
      <c r="G1062" s="33">
        <f>E1062+F1062</f>
        <v/>
      </c>
      <c r="H1062" s="33" t="n"/>
      <c r="I1062" s="33" t="n"/>
      <c r="J1062" s="33" t="n"/>
      <c r="K1062" s="33">
        <f>L1062+M1062+N1062</f>
        <v/>
      </c>
      <c r="L1062" s="33" t="n"/>
      <c r="M1062" s="33" t="n"/>
      <c r="N1062" s="33" t="n"/>
      <c r="O1062" s="33">
        <f>P1062+Q1062</f>
        <v/>
      </c>
      <c r="P1062" s="33" t="n"/>
      <c r="Q1062" s="33" t="n"/>
      <c r="R1062" s="33">
        <f>H1062+K1062-O1062</f>
        <v/>
      </c>
      <c r="S1062" s="33" t="n"/>
      <c r="T1062" s="33" t="n"/>
      <c r="U1062" s="33" t="n"/>
      <c r="V1062" s="33" t="n"/>
      <c r="W1062" s="33" t="n"/>
      <c r="X1062" s="33" t="n"/>
      <c r="Y1062" s="33" t="n"/>
      <c r="Z1062" s="33" t="n"/>
      <c r="AA1062" s="4">
        <f>R1062-G1062</f>
        <v/>
      </c>
      <c r="AB1062" s="4">
        <f>G1062-R1062</f>
        <v/>
      </c>
      <c r="AC1062" s="33" t="n"/>
    </row>
    <row r="1063" ht="18.75" customHeight="1">
      <c r="A1063" s="35">
        <f>SUBTOTAL(103,$B$24:B1063)</f>
        <v/>
      </c>
      <c r="B1063" s="39" t="inlineStr">
        <is>
          <t>МАШИНИ ОВОЧЕРІЗАЛЬНІ</t>
        </is>
      </c>
      <c r="C1063" s="37" t="n"/>
      <c r="D1063" s="33" t="n"/>
      <c r="E1063" s="33" t="n"/>
      <c r="F1063" s="33">
        <f>E1063*0.05</f>
        <v/>
      </c>
      <c r="G1063" s="33">
        <f>E1063+F1063</f>
        <v/>
      </c>
      <c r="H1063" s="33" t="n"/>
      <c r="I1063" s="33" t="n"/>
      <c r="J1063" s="33" t="n"/>
      <c r="K1063" s="33">
        <f>L1063+M1063+N1063</f>
        <v/>
      </c>
      <c r="L1063" s="33" t="n"/>
      <c r="M1063" s="33" t="n"/>
      <c r="N1063" s="33" t="n"/>
      <c r="O1063" s="33">
        <f>P1063+Q1063</f>
        <v/>
      </c>
      <c r="P1063" s="33" t="n"/>
      <c r="Q1063" s="33" t="n"/>
      <c r="R1063" s="33">
        <f>H1063+K1063-O1063</f>
        <v/>
      </c>
      <c r="S1063" s="33" t="n"/>
      <c r="T1063" s="33" t="n"/>
      <c r="U1063" s="33" t="n"/>
      <c r="V1063" s="33" t="n"/>
      <c r="W1063" s="33" t="n"/>
      <c r="X1063" s="33" t="n"/>
      <c r="Y1063" s="33" t="n"/>
      <c r="Z1063" s="33" t="n"/>
      <c r="AA1063" s="4">
        <f>R1063-G1063</f>
        <v/>
      </c>
      <c r="AB1063" s="4">
        <f>G1063-R1063</f>
        <v/>
      </c>
      <c r="AC1063" s="33" t="n"/>
    </row>
    <row r="1064" ht="37.5" customHeight="1">
      <c r="A1064" s="35">
        <f>SUBTOTAL(103,$B$24:B1064)</f>
        <v/>
      </c>
      <c r="B1064" s="36" t="inlineStr">
        <is>
          <t>Машина для нарізання овочів МПР-350М00</t>
        </is>
      </c>
      <c r="C1064" s="37" t="inlineStr">
        <is>
          <t>к-т</t>
        </is>
      </c>
      <c r="D1064" s="33" t="n"/>
      <c r="E1064" s="33" t="n"/>
      <c r="F1064" s="33">
        <f>E1064*0.05</f>
        <v/>
      </c>
      <c r="G1064" s="33">
        <f>E1064+F1064</f>
        <v/>
      </c>
      <c r="H1064" s="33" t="n"/>
      <c r="I1064" s="33" t="n"/>
      <c r="J1064" s="33" t="n"/>
      <c r="K1064" s="33">
        <f>L1064+M1064+N1064</f>
        <v/>
      </c>
      <c r="L1064" s="33" t="n"/>
      <c r="M1064" s="33" t="n"/>
      <c r="N1064" s="33" t="n"/>
      <c r="O1064" s="33">
        <f>P1064+Q1064</f>
        <v/>
      </c>
      <c r="P1064" s="33" t="n"/>
      <c r="Q1064" s="33" t="n"/>
      <c r="R1064" s="33">
        <f>H1064+K1064-O1064</f>
        <v/>
      </c>
      <c r="S1064" s="33" t="n"/>
      <c r="T1064" s="33" t="n"/>
      <c r="U1064" s="33" t="n"/>
      <c r="V1064" s="33" t="n"/>
      <c r="W1064" s="33" t="n"/>
      <c r="X1064" s="33" t="n"/>
      <c r="Y1064" s="33" t="n"/>
      <c r="Z1064" s="33" t="n"/>
      <c r="AA1064" s="4">
        <f>R1064-G1064</f>
        <v/>
      </c>
      <c r="AB1064" s="4">
        <f>G1064-R1064</f>
        <v/>
      </c>
      <c r="AC1064" s="33" t="n"/>
    </row>
    <row r="1065" ht="37.5" customHeight="1">
      <c r="A1065" s="35">
        <f>SUBTOTAL(103,$B$24:B1065)</f>
        <v/>
      </c>
      <c r="B1065" s="36" t="inlineStr">
        <is>
          <t>Машина для нарізання овочів МПР-350М02</t>
        </is>
      </c>
      <c r="C1065" s="37" t="inlineStr">
        <is>
          <t>к-т</t>
        </is>
      </c>
      <c r="D1065" s="33" t="n"/>
      <c r="E1065" s="33" t="n"/>
      <c r="F1065" s="33">
        <f>E1065*0.05</f>
        <v/>
      </c>
      <c r="G1065" s="33">
        <f>E1065+F1065</f>
        <v/>
      </c>
      <c r="H1065" s="33" t="n"/>
      <c r="I1065" s="33" t="n"/>
      <c r="J1065" s="33" t="n"/>
      <c r="K1065" s="33">
        <f>L1065+M1065+N1065</f>
        <v/>
      </c>
      <c r="L1065" s="33" t="n"/>
      <c r="M1065" s="33" t="n"/>
      <c r="N1065" s="33" t="n"/>
      <c r="O1065" s="33">
        <f>P1065+Q1065</f>
        <v/>
      </c>
      <c r="P1065" s="33" t="n"/>
      <c r="Q1065" s="33" t="n"/>
      <c r="R1065" s="33">
        <f>H1065+K1065-O1065</f>
        <v/>
      </c>
      <c r="S1065" s="33" t="n"/>
      <c r="T1065" s="33" t="n"/>
      <c r="U1065" s="33" t="n"/>
      <c r="V1065" s="33" t="n"/>
      <c r="W1065" s="33" t="n"/>
      <c r="X1065" s="33" t="n"/>
      <c r="Y1065" s="33" t="n"/>
      <c r="Z1065" s="33" t="n"/>
      <c r="AA1065" s="4">
        <f>R1065-G1065</f>
        <v/>
      </c>
      <c r="AB1065" s="4">
        <f>G1065-R1065</f>
        <v/>
      </c>
      <c r="AC1065" s="33" t="n"/>
    </row>
    <row r="1066" ht="18.75" customHeight="1">
      <c r="A1066" s="35">
        <f>SUBTOTAL(103,$B$24:B1066)</f>
        <v/>
      </c>
      <c r="B1066" s="36" t="inlineStr">
        <is>
          <t>Машина для нарізання овочів</t>
        </is>
      </c>
      <c r="C1066" s="37" t="inlineStr">
        <is>
          <t>к-т</t>
        </is>
      </c>
      <c r="D1066" s="33" t="n"/>
      <c r="E1066" s="33" t="n"/>
      <c r="F1066" s="33">
        <f>E1066*0.05</f>
        <v/>
      </c>
      <c r="G1066" s="33">
        <f>E1066+F1066</f>
        <v/>
      </c>
      <c r="H1066" s="33" t="n"/>
      <c r="I1066" s="33" t="n"/>
      <c r="J1066" s="33" t="n"/>
      <c r="K1066" s="33">
        <f>L1066+M1066+N1066</f>
        <v/>
      </c>
      <c r="L1066" s="33" t="n"/>
      <c r="M1066" s="33" t="n"/>
      <c r="N1066" s="33" t="n"/>
      <c r="O1066" s="33">
        <f>P1066+Q1066</f>
        <v/>
      </c>
      <c r="P1066" s="33" t="n"/>
      <c r="Q1066" s="33" t="n"/>
      <c r="R1066" s="33">
        <f>H1066+K1066-O1066</f>
        <v/>
      </c>
      <c r="S1066" s="33" t="n"/>
      <c r="T1066" s="33" t="n"/>
      <c r="U1066" s="33" t="n"/>
      <c r="V1066" s="33" t="n"/>
      <c r="W1066" s="33" t="n"/>
      <c r="X1066" s="33" t="n"/>
      <c r="Y1066" s="33" t="n"/>
      <c r="Z1066" s="33" t="n"/>
      <c r="AA1066" s="4">
        <f>R1066-G1066</f>
        <v/>
      </c>
      <c r="AB1066" s="4">
        <f>G1066-R1066</f>
        <v/>
      </c>
      <c r="AC1066" s="33" t="n"/>
    </row>
    <row r="1067" ht="18.75" customHeight="1">
      <c r="A1067" s="35">
        <f>SUBTOTAL(103,$B$24:B1067)</f>
        <v/>
      </c>
      <c r="B1067" s="36" t="inlineStr">
        <is>
          <t>Машина для нарізання овочів МРО-350</t>
        </is>
      </c>
      <c r="C1067" s="37" t="inlineStr">
        <is>
          <t>к-т</t>
        </is>
      </c>
      <c r="D1067" s="33" t="n"/>
      <c r="E1067" s="33" t="n"/>
      <c r="F1067" s="33">
        <f>E1067*0.05</f>
        <v/>
      </c>
      <c r="G1067" s="33">
        <f>E1067+F1067</f>
        <v/>
      </c>
      <c r="H1067" s="33" t="n"/>
      <c r="I1067" s="33" t="n"/>
      <c r="J1067" s="33" t="n"/>
      <c r="K1067" s="33">
        <f>L1067+M1067+N1067</f>
        <v/>
      </c>
      <c r="L1067" s="33" t="n"/>
      <c r="M1067" s="33" t="n"/>
      <c r="N1067" s="33" t="n"/>
      <c r="O1067" s="33">
        <f>P1067+Q1067</f>
        <v/>
      </c>
      <c r="P1067" s="33" t="n"/>
      <c r="Q1067" s="33" t="n"/>
      <c r="R1067" s="33">
        <f>H1067+K1067-O1067</f>
        <v/>
      </c>
      <c r="S1067" s="33" t="n"/>
      <c r="T1067" s="33" t="n"/>
      <c r="U1067" s="33" t="n"/>
      <c r="V1067" s="33" t="n"/>
      <c r="W1067" s="33" t="n"/>
      <c r="X1067" s="33" t="n"/>
      <c r="Y1067" s="33" t="n"/>
      <c r="Z1067" s="33" t="n"/>
      <c r="AA1067" s="4">
        <f>R1067-G1067</f>
        <v/>
      </c>
      <c r="AB1067" s="4">
        <f>G1067-R1067</f>
        <v/>
      </c>
      <c r="AC1067" s="33" t="n"/>
    </row>
    <row r="1068" ht="18.75" customHeight="1">
      <c r="A1068" s="35">
        <f>SUBTOTAL(103,$B$24:B1068)</f>
        <v/>
      </c>
      <c r="B1068" s="36" t="inlineStr">
        <is>
          <t>Машина для нарізання овочів МПР-350</t>
        </is>
      </c>
      <c r="C1068" s="37" t="inlineStr">
        <is>
          <t>к-т</t>
        </is>
      </c>
      <c r="D1068" s="33" t="n"/>
      <c r="E1068" s="33" t="n"/>
      <c r="F1068" s="33">
        <f>E1068*0.05</f>
        <v/>
      </c>
      <c r="G1068" s="33">
        <f>E1068+F1068</f>
        <v/>
      </c>
      <c r="H1068" s="33" t="n"/>
      <c r="I1068" s="33" t="n"/>
      <c r="J1068" s="33" t="n"/>
      <c r="K1068" s="33">
        <f>L1068+M1068+N1068</f>
        <v/>
      </c>
      <c r="L1068" s="33" t="n"/>
      <c r="M1068" s="33" t="n"/>
      <c r="N1068" s="33" t="n"/>
      <c r="O1068" s="33">
        <f>P1068+Q1068</f>
        <v/>
      </c>
      <c r="P1068" s="33" t="n"/>
      <c r="Q1068" s="33" t="n"/>
      <c r="R1068" s="33">
        <f>H1068+K1068-O1068</f>
        <v/>
      </c>
      <c r="S1068" s="33" t="n"/>
      <c r="T1068" s="33" t="n"/>
      <c r="U1068" s="33" t="n"/>
      <c r="V1068" s="33" t="n"/>
      <c r="W1068" s="33" t="n"/>
      <c r="X1068" s="33" t="n"/>
      <c r="Y1068" s="33" t="n"/>
      <c r="Z1068" s="33" t="n"/>
      <c r="AA1068" s="4">
        <f>R1068-G1068</f>
        <v/>
      </c>
      <c r="AB1068" s="4">
        <f>G1068-R1068</f>
        <v/>
      </c>
      <c r="AC1068" s="33" t="n"/>
    </row>
    <row r="1069" ht="37.5" customHeight="1">
      <c r="A1069" s="35">
        <f>SUBTOTAL(103,$B$24:B1069)</f>
        <v/>
      </c>
      <c r="B1069" s="36" t="inlineStr">
        <is>
          <t>Машина для нарізання сирих (варених) овочів 100-250 кг/час МПР-350М</t>
        </is>
      </c>
      <c r="C1069" s="37" t="n"/>
      <c r="D1069" s="33" t="n"/>
      <c r="E1069" s="33" t="n"/>
      <c r="F1069" s="33">
        <f>E1069*0.05</f>
        <v/>
      </c>
      <c r="G1069" s="33">
        <f>E1069+F1069</f>
        <v/>
      </c>
      <c r="H1069" s="33" t="n"/>
      <c r="I1069" s="33" t="n"/>
      <c r="J1069" s="33" t="n"/>
      <c r="K1069" s="33">
        <f>L1069+M1069+N1069</f>
        <v/>
      </c>
      <c r="L1069" s="33" t="n"/>
      <c r="M1069" s="33" t="n"/>
      <c r="N1069" s="33" t="n"/>
      <c r="O1069" s="33">
        <f>P1069+Q1069</f>
        <v/>
      </c>
      <c r="P1069" s="33" t="n"/>
      <c r="Q1069" s="33" t="n"/>
      <c r="R1069" s="33">
        <f>H1069+K1069-O1069</f>
        <v/>
      </c>
      <c r="S1069" s="33" t="n"/>
      <c r="T1069" s="33" t="n"/>
      <c r="U1069" s="33" t="n"/>
      <c r="V1069" s="33" t="n"/>
      <c r="W1069" s="33" t="n"/>
      <c r="X1069" s="33" t="n"/>
      <c r="Y1069" s="33" t="n"/>
      <c r="Z1069" s="33" t="n"/>
      <c r="AA1069" s="4">
        <f>R1069-G1069</f>
        <v/>
      </c>
      <c r="AB1069" s="4">
        <f>G1069-R1069</f>
        <v/>
      </c>
      <c r="AC1069" s="33" t="n"/>
    </row>
    <row r="1070" ht="37.5" customHeight="1">
      <c r="A1070" s="35">
        <f>SUBTOTAL(103,$B$24:B1070)</f>
        <v/>
      </c>
      <c r="B1070" s="36" t="inlineStr">
        <is>
          <t>Машина для нарізання сирих (варених) овочів 251-350 кг/час МПР-350М</t>
        </is>
      </c>
      <c r="C1070" s="37" t="inlineStr">
        <is>
          <t>к-т</t>
        </is>
      </c>
      <c r="D1070" s="33" t="n"/>
      <c r="E1070" s="33" t="n"/>
      <c r="F1070" s="33">
        <f>E1070*0.05</f>
        <v/>
      </c>
      <c r="G1070" s="33">
        <f>E1070+F1070</f>
        <v/>
      </c>
      <c r="H1070" s="33" t="n"/>
      <c r="I1070" s="33" t="n"/>
      <c r="J1070" s="33" t="n"/>
      <c r="K1070" s="33">
        <f>L1070+M1070+N1070</f>
        <v/>
      </c>
      <c r="L1070" s="33" t="n"/>
      <c r="M1070" s="33" t="n"/>
      <c r="N1070" s="33" t="n"/>
      <c r="O1070" s="33">
        <f>P1070+Q1070</f>
        <v/>
      </c>
      <c r="P1070" s="33" t="n"/>
      <c r="Q1070" s="33" t="n"/>
      <c r="R1070" s="33">
        <f>H1070+K1070-O1070</f>
        <v/>
      </c>
      <c r="S1070" s="33" t="n"/>
      <c r="T1070" s="33" t="n"/>
      <c r="U1070" s="33" t="n"/>
      <c r="V1070" s="33" t="n"/>
      <c r="W1070" s="33" t="n"/>
      <c r="X1070" s="33" t="n"/>
      <c r="Y1070" s="33" t="n"/>
      <c r="Z1070" s="33" t="n"/>
      <c r="AA1070" s="4">
        <f>R1070-G1070</f>
        <v/>
      </c>
      <c r="AB1070" s="4">
        <f>G1070-R1070</f>
        <v/>
      </c>
      <c r="AC1070" s="33" t="n"/>
    </row>
    <row r="1071" ht="56.25" customHeight="1">
      <c r="A1071" s="35">
        <f>SUBTOTAL(103,$B$24:B1071)</f>
        <v/>
      </c>
      <c r="B1071" s="36" t="inlineStr">
        <is>
          <t>Машина для нарізання сирих та варених овочів HURAKAN HKN-FNT-M</t>
        </is>
      </c>
      <c r="C1071" s="37" t="inlineStr">
        <is>
          <t>к-т</t>
        </is>
      </c>
      <c r="D1071" s="33" t="n"/>
      <c r="E1071" s="33" t="n"/>
      <c r="F1071" s="33">
        <f>E1071*0.05</f>
        <v/>
      </c>
      <c r="G1071" s="33">
        <f>E1071+F1071</f>
        <v/>
      </c>
      <c r="H1071" s="33" t="n"/>
      <c r="I1071" s="33" t="n"/>
      <c r="J1071" s="33" t="n"/>
      <c r="K1071" s="33">
        <f>L1071+M1071+N1071</f>
        <v/>
      </c>
      <c r="L1071" s="33" t="n"/>
      <c r="M1071" s="33" t="n"/>
      <c r="N1071" s="33" t="n"/>
      <c r="O1071" s="33">
        <f>P1071+Q1071</f>
        <v/>
      </c>
      <c r="P1071" s="33" t="n"/>
      <c r="Q1071" s="33" t="n"/>
      <c r="R1071" s="33">
        <f>H1071+K1071-O1071</f>
        <v/>
      </c>
      <c r="S1071" s="33" t="n"/>
      <c r="T1071" s="33" t="n"/>
      <c r="U1071" s="33" t="n"/>
      <c r="V1071" s="33" t="n"/>
      <c r="W1071" s="33" t="n"/>
      <c r="X1071" s="33" t="n"/>
      <c r="Y1071" s="33" t="n"/>
      <c r="Z1071" s="33" t="n"/>
      <c r="AA1071" s="4">
        <f>R1071-G1071</f>
        <v/>
      </c>
      <c r="AB1071" s="4">
        <f>G1071-R1071</f>
        <v/>
      </c>
      <c r="AC1071" s="33" t="n"/>
    </row>
    <row r="1072" ht="37.5" customHeight="1">
      <c r="A1072" s="35">
        <f>SUBTOTAL(103,$B$24:B1072)</f>
        <v/>
      </c>
      <c r="B1072" s="36" t="inlineStr">
        <is>
          <t>Машина для нарізання овочів МРО-50-200</t>
        </is>
      </c>
      <c r="C1072" s="37" t="inlineStr">
        <is>
          <t>к-т</t>
        </is>
      </c>
      <c r="D1072" s="33" t="n"/>
      <c r="E1072" s="33" t="n"/>
      <c r="F1072" s="33">
        <f>E1072*0.05</f>
        <v/>
      </c>
      <c r="G1072" s="33">
        <f>E1072+F1072</f>
        <v/>
      </c>
      <c r="H1072" s="33" t="n"/>
      <c r="I1072" s="33" t="n"/>
      <c r="J1072" s="33" t="n"/>
      <c r="K1072" s="33">
        <f>L1072+M1072+N1072</f>
        <v/>
      </c>
      <c r="L1072" s="33" t="n"/>
      <c r="M1072" s="33" t="n"/>
      <c r="N1072" s="33" t="n"/>
      <c r="O1072" s="33">
        <f>P1072+Q1072</f>
        <v/>
      </c>
      <c r="P1072" s="33" t="n"/>
      <c r="Q1072" s="33" t="n"/>
      <c r="R1072" s="33">
        <f>H1072+K1072-O1072</f>
        <v/>
      </c>
      <c r="S1072" s="33" t="n"/>
      <c r="T1072" s="33" t="n"/>
      <c r="U1072" s="33" t="n"/>
      <c r="V1072" s="33" t="n"/>
      <c r="W1072" s="33" t="n"/>
      <c r="X1072" s="33" t="n"/>
      <c r="Y1072" s="33" t="n"/>
      <c r="Z1072" s="33" t="n"/>
      <c r="AA1072" s="4">
        <f>R1072-G1072</f>
        <v/>
      </c>
      <c r="AB1072" s="4">
        <f>G1072-R1072</f>
        <v/>
      </c>
      <c r="AC1072" s="33" t="n"/>
    </row>
    <row r="1073" ht="18.75" customHeight="1">
      <c r="A1073" s="35">
        <f>SUBTOTAL(103,$B$24:B1073)</f>
        <v/>
      </c>
      <c r="B1073" s="36" t="inlineStr">
        <is>
          <t>Овочерізка Frosty HLC-300</t>
        </is>
      </c>
      <c r="C1073" s="37" t="inlineStr">
        <is>
          <t>к-т</t>
        </is>
      </c>
      <c r="D1073" s="33" t="n"/>
      <c r="E1073" s="33" t="n"/>
      <c r="F1073" s="33">
        <f>E1073*0.05</f>
        <v/>
      </c>
      <c r="G1073" s="33">
        <f>E1073+F1073</f>
        <v/>
      </c>
      <c r="H1073" s="33" t="n"/>
      <c r="I1073" s="33" t="n"/>
      <c r="J1073" s="33" t="n"/>
      <c r="K1073" s="33">
        <f>L1073+M1073+N1073</f>
        <v/>
      </c>
      <c r="L1073" s="33" t="n"/>
      <c r="M1073" s="33" t="n"/>
      <c r="N1073" s="33" t="n"/>
      <c r="O1073" s="33">
        <f>P1073+Q1073</f>
        <v/>
      </c>
      <c r="P1073" s="33" t="n"/>
      <c r="Q1073" s="33" t="n"/>
      <c r="R1073" s="33">
        <f>H1073+K1073-O1073</f>
        <v/>
      </c>
      <c r="S1073" s="33" t="n"/>
      <c r="T1073" s="33" t="n"/>
      <c r="U1073" s="33" t="n"/>
      <c r="V1073" s="33" t="n"/>
      <c r="W1073" s="33" t="n"/>
      <c r="X1073" s="33" t="n"/>
      <c r="Y1073" s="33" t="n"/>
      <c r="Z1073" s="33" t="n"/>
      <c r="AA1073" s="4">
        <f>R1073-G1073</f>
        <v/>
      </c>
      <c r="AB1073" s="4">
        <f>G1073-R1073</f>
        <v/>
      </c>
      <c r="AC1073" s="33" t="n"/>
    </row>
    <row r="1074" ht="18.75" customHeight="1">
      <c r="A1074" s="35">
        <f>SUBTOTAL(103,$B$24:B1074)</f>
        <v/>
      </c>
      <c r="B1074" s="36" t="inlineStr">
        <is>
          <t>Овочерізка REEDNEE VC65MS</t>
        </is>
      </c>
      <c r="C1074" s="37" t="inlineStr">
        <is>
          <t>к-т</t>
        </is>
      </c>
      <c r="D1074" s="33" t="n"/>
      <c r="E1074" s="33" t="n"/>
      <c r="F1074" s="33">
        <f>E1074*0.05</f>
        <v/>
      </c>
      <c r="G1074" s="33">
        <f>E1074+F1074</f>
        <v/>
      </c>
      <c r="H1074" s="33" t="n"/>
      <c r="I1074" s="33" t="n"/>
      <c r="J1074" s="33" t="n"/>
      <c r="K1074" s="33">
        <f>L1074+M1074+N1074</f>
        <v/>
      </c>
      <c r="L1074" s="33" t="n"/>
      <c r="M1074" s="33" t="n"/>
      <c r="N1074" s="33" t="n"/>
      <c r="O1074" s="33">
        <f>P1074+Q1074</f>
        <v/>
      </c>
      <c r="P1074" s="33" t="n"/>
      <c r="Q1074" s="33" t="n"/>
      <c r="R1074" s="33">
        <f>H1074+K1074-O1074</f>
        <v/>
      </c>
      <c r="S1074" s="33" t="n"/>
      <c r="T1074" s="33" t="n"/>
      <c r="U1074" s="33" t="n"/>
      <c r="V1074" s="33" t="n"/>
      <c r="W1074" s="33" t="n"/>
      <c r="X1074" s="33" t="n"/>
      <c r="Y1074" s="33" t="n"/>
      <c r="Z1074" s="33" t="n"/>
      <c r="AA1074" s="4">
        <f>R1074-G1074</f>
        <v/>
      </c>
      <c r="AB1074" s="4">
        <f>G1074-R1074</f>
        <v/>
      </c>
      <c r="AC1074" s="33" t="n"/>
    </row>
    <row r="1075" ht="18.75" customHeight="1">
      <c r="A1075" s="35">
        <f>SUBTOTAL(103,$B$24:B1075)</f>
        <v/>
      </c>
      <c r="B1075" s="36" t="inlineStr">
        <is>
          <t>Овочерізка HLC-300BERG 150кг/год</t>
        </is>
      </c>
      <c r="C1075" s="37" t="inlineStr">
        <is>
          <t>к-т</t>
        </is>
      </c>
      <c r="D1075" s="33" t="n"/>
      <c r="E1075" s="33" t="n"/>
      <c r="F1075" s="33">
        <f>E1075*0.05</f>
        <v/>
      </c>
      <c r="G1075" s="33">
        <f>E1075+F1075</f>
        <v/>
      </c>
      <c r="H1075" s="33" t="n"/>
      <c r="I1075" s="33" t="n"/>
      <c r="J1075" s="33" t="n"/>
      <c r="K1075" s="33">
        <f>L1075+M1075+N1075</f>
        <v/>
      </c>
      <c r="L1075" s="33" t="n"/>
      <c r="M1075" s="33" t="n"/>
      <c r="N1075" s="33" t="n"/>
      <c r="O1075" s="33">
        <f>P1075+Q1075</f>
        <v/>
      </c>
      <c r="P1075" s="33" t="n"/>
      <c r="Q1075" s="33" t="n"/>
      <c r="R1075" s="33">
        <f>H1075+K1075-O1075</f>
        <v/>
      </c>
      <c r="S1075" s="33" t="n"/>
      <c r="T1075" s="33" t="n"/>
      <c r="U1075" s="33" t="n"/>
      <c r="V1075" s="33" t="n"/>
      <c r="W1075" s="33" t="n"/>
      <c r="X1075" s="33" t="n"/>
      <c r="Y1075" s="33" t="n"/>
      <c r="Z1075" s="33" t="n"/>
      <c r="AA1075" s="4">
        <f>R1075-G1075</f>
        <v/>
      </c>
      <c r="AB1075" s="4">
        <f>G1075-R1075</f>
        <v/>
      </c>
      <c r="AC1075" s="33" t="n"/>
    </row>
    <row r="1076" ht="18.75" customHeight="1">
      <c r="A1076" s="35">
        <f>SUBTOTAL(103,$B$24:B1076)</f>
        <v/>
      </c>
      <c r="B1076" s="36" t="inlineStr">
        <is>
          <t>Овочерізка електрична ROBOT COUPE</t>
        </is>
      </c>
      <c r="C1076" s="37" t="inlineStr">
        <is>
          <t>к-т</t>
        </is>
      </c>
      <c r="D1076" s="33" t="n"/>
      <c r="E1076" s="33" t="n"/>
      <c r="F1076" s="33">
        <f>E1076*0.05</f>
        <v/>
      </c>
      <c r="G1076" s="33">
        <f>E1076+F1076</f>
        <v/>
      </c>
      <c r="H1076" s="33" t="n"/>
      <c r="I1076" s="33" t="n"/>
      <c r="J1076" s="33" t="n"/>
      <c r="K1076" s="33">
        <f>L1076+M1076+N1076</f>
        <v/>
      </c>
      <c r="L1076" s="33" t="n"/>
      <c r="M1076" s="33" t="n"/>
      <c r="N1076" s="33" t="n"/>
      <c r="O1076" s="33">
        <f>P1076+Q1076</f>
        <v/>
      </c>
      <c r="P1076" s="33" t="n"/>
      <c r="Q1076" s="33" t="n"/>
      <c r="R1076" s="33">
        <f>H1076+K1076-O1076</f>
        <v/>
      </c>
      <c r="S1076" s="33" t="n"/>
      <c r="T1076" s="33" t="n"/>
      <c r="U1076" s="33" t="n"/>
      <c r="V1076" s="33" t="n"/>
      <c r="W1076" s="33" t="n"/>
      <c r="X1076" s="33" t="n"/>
      <c r="Y1076" s="33" t="n"/>
      <c r="Z1076" s="33" t="n"/>
      <c r="AA1076" s="4">
        <f>R1076-G1076</f>
        <v/>
      </c>
      <c r="AB1076" s="4">
        <f>G1076-R1076</f>
        <v/>
      </c>
      <c r="AC1076" s="33" t="n"/>
    </row>
    <row r="1077" ht="18.75" customHeight="1">
      <c r="A1077" s="35">
        <f>SUBTOTAL(103,$B$24:B1077)</f>
        <v/>
      </c>
      <c r="B1077" s="36" t="inlineStr">
        <is>
          <t>Овочерізка RAUDER</t>
        </is>
      </c>
      <c r="C1077" s="37" t="inlineStr">
        <is>
          <t>к-т</t>
        </is>
      </c>
      <c r="D1077" s="33" t="n"/>
      <c r="E1077" s="33" t="n"/>
      <c r="F1077" s="33">
        <f>E1077*0.05</f>
        <v/>
      </c>
      <c r="G1077" s="33">
        <f>E1077+F1077</f>
        <v/>
      </c>
      <c r="H1077" s="33" t="n"/>
      <c r="I1077" s="33" t="n"/>
      <c r="J1077" s="33" t="n"/>
      <c r="K1077" s="33">
        <f>L1077+M1077+N1077</f>
        <v/>
      </c>
      <c r="L1077" s="33" t="n"/>
      <c r="M1077" s="33" t="n"/>
      <c r="N1077" s="33" t="n"/>
      <c r="O1077" s="33">
        <f>P1077+Q1077</f>
        <v/>
      </c>
      <c r="P1077" s="33" t="n"/>
      <c r="Q1077" s="33" t="n"/>
      <c r="R1077" s="33">
        <f>H1077+K1077-O1077</f>
        <v/>
      </c>
      <c r="S1077" s="33" t="n"/>
      <c r="T1077" s="33" t="n"/>
      <c r="U1077" s="33" t="n"/>
      <c r="V1077" s="33" t="n"/>
      <c r="W1077" s="33" t="n"/>
      <c r="X1077" s="33" t="n"/>
      <c r="Y1077" s="33" t="n"/>
      <c r="Z1077" s="33" t="n"/>
      <c r="AA1077" s="4">
        <f>R1077-G1077</f>
        <v/>
      </c>
      <c r="AB1077" s="4">
        <f>G1077-R1077</f>
        <v/>
      </c>
      <c r="AC1077" s="33" t="n"/>
    </row>
    <row r="1078" ht="18.75" customHeight="1">
      <c r="A1078" s="35">
        <f>SUBTOTAL(103,$B$24:B1078)</f>
        <v/>
      </c>
      <c r="B1078" s="36" t="inlineStr">
        <is>
          <t>Овочерізка BERG</t>
        </is>
      </c>
      <c r="C1078" s="37" t="inlineStr">
        <is>
          <t>к-т</t>
        </is>
      </c>
      <c r="D1078" s="33" t="n"/>
      <c r="E1078" s="33" t="n"/>
      <c r="F1078" s="33">
        <f>E1078*0.05</f>
        <v/>
      </c>
      <c r="G1078" s="33">
        <f>E1078+F1078</f>
        <v/>
      </c>
      <c r="H1078" s="33" t="n"/>
      <c r="I1078" s="33" t="n"/>
      <c r="J1078" s="33" t="n"/>
      <c r="K1078" s="33">
        <f>L1078+M1078+N1078</f>
        <v/>
      </c>
      <c r="L1078" s="33" t="n"/>
      <c r="M1078" s="33" t="n"/>
      <c r="N1078" s="33" t="n"/>
      <c r="O1078" s="33">
        <f>P1078+Q1078</f>
        <v/>
      </c>
      <c r="P1078" s="33" t="n"/>
      <c r="Q1078" s="33" t="n"/>
      <c r="R1078" s="33">
        <f>H1078+K1078-O1078</f>
        <v/>
      </c>
      <c r="S1078" s="33" t="n"/>
      <c r="T1078" s="33" t="n"/>
      <c r="U1078" s="33" t="n"/>
      <c r="V1078" s="33" t="n"/>
      <c r="W1078" s="33" t="n"/>
      <c r="X1078" s="33" t="n"/>
      <c r="Y1078" s="33" t="n"/>
      <c r="Z1078" s="33" t="n"/>
      <c r="AA1078" s="4">
        <f>R1078-G1078</f>
        <v/>
      </c>
      <c r="AB1078" s="4">
        <f>G1078-R1078</f>
        <v/>
      </c>
      <c r="AC1078" s="33" t="n"/>
    </row>
    <row r="1079" ht="18.75" customHeight="1">
      <c r="A1079" s="35">
        <f>SUBTOTAL(103,$B$24:B1079)</f>
        <v/>
      </c>
      <c r="B1079" s="36" t="inlineStr">
        <is>
          <t>Овочерізка SIRMAN TM SNOX</t>
        </is>
      </c>
      <c r="C1079" s="37" t="inlineStr">
        <is>
          <t>к-т</t>
        </is>
      </c>
      <c r="D1079" s="33" t="n"/>
      <c r="E1079" s="33" t="n"/>
      <c r="F1079" s="33">
        <f>E1079*0.05</f>
        <v/>
      </c>
      <c r="G1079" s="33">
        <f>E1079+F1079</f>
        <v/>
      </c>
      <c r="H1079" s="33" t="n"/>
      <c r="I1079" s="33" t="n"/>
      <c r="J1079" s="33" t="n"/>
      <c r="K1079" s="33">
        <f>L1079+M1079+N1079</f>
        <v/>
      </c>
      <c r="L1079" s="33" t="n"/>
      <c r="M1079" s="33" t="n"/>
      <c r="N1079" s="33" t="n"/>
      <c r="O1079" s="33">
        <f>P1079+Q1079</f>
        <v/>
      </c>
      <c r="P1079" s="33" t="n"/>
      <c r="Q1079" s="33" t="n"/>
      <c r="R1079" s="33">
        <f>H1079+K1079-O1079</f>
        <v/>
      </c>
      <c r="S1079" s="33" t="n"/>
      <c r="T1079" s="33" t="n"/>
      <c r="U1079" s="33" t="n"/>
      <c r="V1079" s="33" t="n"/>
      <c r="W1079" s="33" t="n"/>
      <c r="X1079" s="33" t="n"/>
      <c r="Y1079" s="33" t="n"/>
      <c r="Z1079" s="33" t="n"/>
      <c r="AA1079" s="4">
        <f>R1079-G1079</f>
        <v/>
      </c>
      <c r="AB1079" s="4">
        <f>G1079-R1079</f>
        <v/>
      </c>
      <c r="AC1079" s="33" t="n"/>
    </row>
    <row r="1080" ht="18.75" customHeight="1">
      <c r="A1080" s="35">
        <f>SUBTOTAL(103,$B$24:B1080)</f>
        <v/>
      </c>
      <c r="B1080" s="36" t="inlineStr">
        <is>
          <t>Машина для нарізання овочів Гамма 5А</t>
        </is>
      </c>
      <c r="C1080" s="37" t="inlineStr">
        <is>
          <t>к-т</t>
        </is>
      </c>
      <c r="D1080" s="33" t="n"/>
      <c r="E1080" s="33" t="n"/>
      <c r="F1080" s="33">
        <f>E1080*0.05</f>
        <v/>
      </c>
      <c r="G1080" s="33">
        <f>E1080+F1080</f>
        <v/>
      </c>
      <c r="H1080" s="33" t="n"/>
      <c r="I1080" s="33" t="n"/>
      <c r="J1080" s="33" t="n"/>
      <c r="K1080" s="33">
        <f>L1080+M1080+N1080</f>
        <v/>
      </c>
      <c r="L1080" s="33" t="n"/>
      <c r="M1080" s="33" t="n"/>
      <c r="N1080" s="33" t="n"/>
      <c r="O1080" s="33">
        <f>P1080+Q1080</f>
        <v/>
      </c>
      <c r="P1080" s="33" t="n"/>
      <c r="Q1080" s="33" t="n"/>
      <c r="R1080" s="33">
        <f>H1080+K1080-O1080</f>
        <v/>
      </c>
      <c r="S1080" s="33" t="n"/>
      <c r="T1080" s="33" t="n"/>
      <c r="U1080" s="33" t="n"/>
      <c r="V1080" s="33" t="n"/>
      <c r="W1080" s="33" t="n"/>
      <c r="X1080" s="33" t="n"/>
      <c r="Y1080" s="33" t="n"/>
      <c r="Z1080" s="33" t="n"/>
      <c r="AA1080" s="4">
        <f>R1080-G1080</f>
        <v/>
      </c>
      <c r="AB1080" s="4">
        <f>G1080-R1080</f>
        <v/>
      </c>
      <c r="AC1080" s="33" t="n"/>
    </row>
    <row r="1081" ht="18.75" customHeight="1">
      <c r="A1081" s="35">
        <f>SUBTOTAL(103,$B$24:B1081)</f>
        <v/>
      </c>
      <c r="B1081" s="36" t="inlineStr">
        <is>
          <t xml:space="preserve">Машина для нарізання овочів інші </t>
        </is>
      </c>
      <c r="C1081" s="37" t="inlineStr">
        <is>
          <t>к-т</t>
        </is>
      </c>
      <c r="D1081" s="33" t="n"/>
      <c r="E1081" s="33" t="n"/>
      <c r="F1081" s="33">
        <f>E1081*0.05</f>
        <v/>
      </c>
      <c r="G1081" s="33">
        <f>E1081+F1081</f>
        <v/>
      </c>
      <c r="H1081" s="33" t="n"/>
      <c r="I1081" s="33" t="n"/>
      <c r="J1081" s="33" t="n"/>
      <c r="K1081" s="33">
        <f>L1081+M1081+N1081</f>
        <v/>
      </c>
      <c r="L1081" s="33" t="n"/>
      <c r="M1081" s="33" t="n"/>
      <c r="N1081" s="33" t="n"/>
      <c r="O1081" s="33">
        <f>P1081+Q1081</f>
        <v/>
      </c>
      <c r="P1081" s="33" t="n"/>
      <c r="Q1081" s="33" t="n"/>
      <c r="R1081" s="33">
        <f>H1081+K1081-O1081</f>
        <v/>
      </c>
      <c r="S1081" s="33" t="n"/>
      <c r="T1081" s="33" t="n"/>
      <c r="U1081" s="33" t="n"/>
      <c r="V1081" s="33" t="n"/>
      <c r="W1081" s="33" t="n"/>
      <c r="X1081" s="33" t="n"/>
      <c r="Y1081" s="33" t="n"/>
      <c r="Z1081" s="33" t="n"/>
      <c r="AA1081" s="4">
        <f>R1081-G1081</f>
        <v/>
      </c>
      <c r="AB1081" s="4">
        <f>G1081-R1081</f>
        <v/>
      </c>
      <c r="AC1081" s="33" t="n"/>
    </row>
    <row r="1082" ht="18.75" customHeight="1">
      <c r="A1082" s="35">
        <f>SUBTOTAL(103,$B$24:B1082)</f>
        <v/>
      </c>
      <c r="B1082" s="36" t="inlineStr">
        <is>
          <t>Машина для нарізання овочів ручні</t>
        </is>
      </c>
      <c r="C1082" s="37" t="inlineStr">
        <is>
          <t>к-т</t>
        </is>
      </c>
      <c r="D1082" s="33" t="n"/>
      <c r="E1082" s="33" t="n"/>
      <c r="F1082" s="33">
        <f>E1082*0.05</f>
        <v/>
      </c>
      <c r="G1082" s="33">
        <f>E1082+F1082</f>
        <v/>
      </c>
      <c r="H1082" s="33" t="n"/>
      <c r="I1082" s="33" t="n"/>
      <c r="J1082" s="33" t="n"/>
      <c r="K1082" s="33">
        <f>L1082+M1082+N1082</f>
        <v/>
      </c>
      <c r="L1082" s="33" t="n"/>
      <c r="M1082" s="33" t="n"/>
      <c r="N1082" s="33" t="n"/>
      <c r="O1082" s="33">
        <f>P1082+Q1082</f>
        <v/>
      </c>
      <c r="P1082" s="33" t="n"/>
      <c r="Q1082" s="33" t="n"/>
      <c r="R1082" s="33">
        <f>H1082+K1082-O1082</f>
        <v/>
      </c>
      <c r="S1082" s="33" t="n"/>
      <c r="T1082" s="33" t="n"/>
      <c r="U1082" s="33" t="n"/>
      <c r="V1082" s="33" t="n"/>
      <c r="W1082" s="33" t="n"/>
      <c r="X1082" s="33" t="n"/>
      <c r="Y1082" s="33" t="n"/>
      <c r="Z1082" s="33" t="n"/>
      <c r="AA1082" s="4">
        <f>R1082-G1082</f>
        <v/>
      </c>
      <c r="AB1082" s="4">
        <f>G1082-R1082</f>
        <v/>
      </c>
      <c r="AC1082" s="33" t="n"/>
    </row>
    <row r="1083" ht="37.5" customHeight="1">
      <c r="A1083" s="35">
        <f>SUBTOTAL(103,$B$24:B1083)</f>
        <v/>
      </c>
      <c r="B1083" s="36" t="inlineStr">
        <is>
          <t>Машина для нарізання варених овочів МРОВ-160</t>
        </is>
      </c>
      <c r="C1083" s="37" t="n"/>
      <c r="D1083" s="33" t="n"/>
      <c r="E1083" s="33" t="n"/>
      <c r="F1083" s="33">
        <f>E1083*0.05</f>
        <v/>
      </c>
      <c r="G1083" s="33">
        <f>E1083+F1083</f>
        <v/>
      </c>
      <c r="H1083" s="33" t="n"/>
      <c r="I1083" s="33" t="n"/>
      <c r="J1083" s="33" t="n"/>
      <c r="K1083" s="33">
        <f>L1083+M1083+N1083</f>
        <v/>
      </c>
      <c r="L1083" s="33" t="n"/>
      <c r="M1083" s="33" t="n"/>
      <c r="N1083" s="33" t="n"/>
      <c r="O1083" s="33">
        <f>P1083+Q1083</f>
        <v/>
      </c>
      <c r="P1083" s="33" t="n"/>
      <c r="Q1083" s="33" t="n"/>
      <c r="R1083" s="33">
        <f>H1083+K1083-O1083</f>
        <v/>
      </c>
      <c r="S1083" s="33" t="n"/>
      <c r="T1083" s="33" t="n"/>
      <c r="U1083" s="33" t="n"/>
      <c r="V1083" s="33" t="n"/>
      <c r="W1083" s="33" t="n"/>
      <c r="X1083" s="33" t="n"/>
      <c r="Y1083" s="33" t="n"/>
      <c r="Z1083" s="33" t="n"/>
      <c r="AA1083" s="4">
        <f>R1083-G1083</f>
        <v/>
      </c>
      <c r="AB1083" s="4">
        <f>G1083-R1083</f>
        <v/>
      </c>
      <c r="AC1083" s="33" t="n"/>
    </row>
    <row r="1084" ht="37.5" customHeight="1">
      <c r="A1084" s="35">
        <f>SUBTOTAL(103,$B$24:B1084)</f>
        <v/>
      </c>
      <c r="B1084" s="36" t="inlineStr">
        <is>
          <t>Машина для нарізання варених овочів МПО-1 (100-250 кг)</t>
        </is>
      </c>
      <c r="C1084" s="37" t="n"/>
      <c r="D1084" s="33" t="n"/>
      <c r="E1084" s="33" t="n"/>
      <c r="F1084" s="33">
        <f>E1084*0.05</f>
        <v/>
      </c>
      <c r="G1084" s="33">
        <f>E1084+F1084</f>
        <v/>
      </c>
      <c r="H1084" s="33" t="n"/>
      <c r="I1084" s="33" t="n"/>
      <c r="J1084" s="33" t="n"/>
      <c r="K1084" s="33">
        <f>L1084+M1084+N1084</f>
        <v/>
      </c>
      <c r="L1084" s="33" t="n"/>
      <c r="M1084" s="33" t="n"/>
      <c r="N1084" s="33" t="n"/>
      <c r="O1084" s="33">
        <f>P1084+Q1084</f>
        <v/>
      </c>
      <c r="P1084" s="33" t="n"/>
      <c r="Q1084" s="33" t="n"/>
      <c r="R1084" s="33">
        <f>H1084+K1084-O1084</f>
        <v/>
      </c>
      <c r="S1084" s="33" t="n"/>
      <c r="T1084" s="33" t="n"/>
      <c r="U1084" s="33" t="n"/>
      <c r="V1084" s="33" t="n"/>
      <c r="W1084" s="33" t="n"/>
      <c r="X1084" s="33" t="n"/>
      <c r="Y1084" s="33" t="n"/>
      <c r="Z1084" s="33" t="n"/>
      <c r="AA1084" s="4">
        <f>R1084-G1084</f>
        <v/>
      </c>
      <c r="AB1084" s="4">
        <f>G1084-R1084</f>
        <v/>
      </c>
      <c r="AC1084" s="33" t="n"/>
    </row>
    <row r="1085" ht="37.5" customHeight="1">
      <c r="A1085" s="35">
        <f>SUBTOTAL(103,$B$24:B1085)</f>
        <v/>
      </c>
      <c r="B1085" s="36" t="inlineStr">
        <is>
          <t>Машина для нарізання варених овочів МПО-1-02 (251-350 кг)</t>
        </is>
      </c>
      <c r="C1085" s="37" t="n"/>
      <c r="D1085" s="33" t="n"/>
      <c r="E1085" s="33" t="n"/>
      <c r="F1085" s="33">
        <f>E1085*0.05</f>
        <v/>
      </c>
      <c r="G1085" s="33">
        <f>E1085+F1085</f>
        <v/>
      </c>
      <c r="H1085" s="33" t="n"/>
      <c r="I1085" s="33" t="n"/>
      <c r="J1085" s="33" t="n"/>
      <c r="K1085" s="33">
        <f>L1085+M1085+N1085</f>
        <v/>
      </c>
      <c r="L1085" s="33" t="n"/>
      <c r="M1085" s="33" t="n"/>
      <c r="N1085" s="33" t="n"/>
      <c r="O1085" s="33">
        <f>P1085+Q1085</f>
        <v/>
      </c>
      <c r="P1085" s="33" t="n"/>
      <c r="Q1085" s="33" t="n"/>
      <c r="R1085" s="33">
        <f>H1085+K1085-O1085</f>
        <v/>
      </c>
      <c r="S1085" s="33" t="n"/>
      <c r="T1085" s="33" t="n"/>
      <c r="U1085" s="33" t="n"/>
      <c r="V1085" s="33" t="n"/>
      <c r="W1085" s="33" t="n"/>
      <c r="X1085" s="33" t="n"/>
      <c r="Y1085" s="33" t="n"/>
      <c r="Z1085" s="33" t="n"/>
      <c r="AA1085" s="4">
        <f>R1085-G1085</f>
        <v/>
      </c>
      <c r="AB1085" s="4">
        <f>G1085-R1085</f>
        <v/>
      </c>
      <c r="AC1085" s="33" t="n"/>
    </row>
    <row r="1086" ht="18.75" customHeight="1">
      <c r="A1086" s="35">
        <f>SUBTOTAL(103,$B$24:B1086)</f>
        <v/>
      </c>
      <c r="B1086" s="39" t="inlineStr">
        <is>
          <t>МАШИНИ КУХАННІ</t>
        </is>
      </c>
      <c r="C1086" s="37" t="inlineStr">
        <is>
          <t>к-т</t>
        </is>
      </c>
      <c r="D1086" s="33" t="n"/>
      <c r="E1086" s="33" t="n"/>
      <c r="F1086" s="33">
        <f>E1086*0.05</f>
        <v/>
      </c>
      <c r="G1086" s="33">
        <f>E1086+F1086</f>
        <v/>
      </c>
      <c r="H1086" s="33" t="n"/>
      <c r="I1086" s="33" t="n"/>
      <c r="J1086" s="33" t="n"/>
      <c r="K1086" s="33">
        <f>L1086+M1086+N1086</f>
        <v/>
      </c>
      <c r="L1086" s="33" t="n"/>
      <c r="M1086" s="33" t="n"/>
      <c r="N1086" s="33" t="n"/>
      <c r="O1086" s="33">
        <f>P1086+Q1086</f>
        <v/>
      </c>
      <c r="P1086" s="33" t="n"/>
      <c r="Q1086" s="33" t="n"/>
      <c r="R1086" s="33">
        <f>H1086+K1086-O1086</f>
        <v/>
      </c>
      <c r="S1086" s="33" t="n"/>
      <c r="T1086" s="33" t="n"/>
      <c r="U1086" s="33" t="n"/>
      <c r="V1086" s="33" t="n"/>
      <c r="W1086" s="33" t="n"/>
      <c r="X1086" s="33" t="n"/>
      <c r="Y1086" s="33" t="n"/>
      <c r="Z1086" s="33" t="n"/>
      <c r="AA1086" s="4">
        <f>R1086-G1086</f>
        <v/>
      </c>
      <c r="AB1086" s="4">
        <f>G1086-R1086</f>
        <v/>
      </c>
      <c r="AC1086" s="33" t="n"/>
    </row>
    <row r="1087" ht="37.5" customHeight="1">
      <c r="A1087" s="35">
        <f>SUBTOTAL(103,$B$24:B1087)</f>
        <v/>
      </c>
      <c r="B1087" s="36" t="inlineStr">
        <is>
          <t>Машина кухонна загального призначення типу ПУ-0,6</t>
        </is>
      </c>
      <c r="C1087" s="37" t="inlineStr">
        <is>
          <t>к-т</t>
        </is>
      </c>
      <c r="D1087" s="33" t="n"/>
      <c r="E1087" s="33" t="n"/>
      <c r="F1087" s="33">
        <f>E1087*0.05</f>
        <v/>
      </c>
      <c r="G1087" s="33">
        <f>E1087+F1087</f>
        <v/>
      </c>
      <c r="H1087" s="33" t="n"/>
      <c r="I1087" s="33" t="n"/>
      <c r="J1087" s="33" t="n"/>
      <c r="K1087" s="33">
        <f>L1087+M1087+N1087</f>
        <v/>
      </c>
      <c r="L1087" s="33" t="n"/>
      <c r="M1087" s="33" t="n"/>
      <c r="N1087" s="33" t="n"/>
      <c r="O1087" s="33">
        <f>P1087+Q1087</f>
        <v/>
      </c>
      <c r="P1087" s="33" t="n"/>
      <c r="Q1087" s="33" t="n"/>
      <c r="R1087" s="33">
        <f>H1087+K1087-O1087</f>
        <v/>
      </c>
      <c r="S1087" s="33" t="n"/>
      <c r="T1087" s="33" t="n"/>
      <c r="U1087" s="33" t="n"/>
      <c r="V1087" s="33" t="n"/>
      <c r="W1087" s="33" t="n"/>
      <c r="X1087" s="33" t="n"/>
      <c r="Y1087" s="33" t="n"/>
      <c r="Z1087" s="33" t="n"/>
      <c r="AA1087" s="4">
        <f>R1087-G1087</f>
        <v/>
      </c>
      <c r="AB1087" s="4">
        <f>G1087-R1087</f>
        <v/>
      </c>
      <c r="AC1087" s="33" t="n"/>
    </row>
    <row r="1088" ht="37.5" customHeight="1">
      <c r="A1088" s="35">
        <f>SUBTOTAL(103,$B$24:B1088)</f>
        <v/>
      </c>
      <c r="B1088" s="36" t="inlineStr">
        <is>
          <t>Машина кухонна загального призначення типу УКМ-01</t>
        </is>
      </c>
      <c r="C1088" s="37" t="inlineStr">
        <is>
          <t>к-т</t>
        </is>
      </c>
      <c r="D1088" s="33" t="n"/>
      <c r="E1088" s="33" t="n"/>
      <c r="F1088" s="33">
        <f>E1088*0.05</f>
        <v/>
      </c>
      <c r="G1088" s="33">
        <f>E1088+F1088</f>
        <v/>
      </c>
      <c r="H1088" s="33" t="n"/>
      <c r="I1088" s="33" t="n"/>
      <c r="J1088" s="33" t="n"/>
      <c r="K1088" s="33">
        <f>L1088+M1088+N1088</f>
        <v/>
      </c>
      <c r="L1088" s="33" t="n"/>
      <c r="M1088" s="33" t="n"/>
      <c r="N1088" s="33" t="n"/>
      <c r="O1088" s="33">
        <f>P1088+Q1088</f>
        <v/>
      </c>
      <c r="P1088" s="33" t="n"/>
      <c r="Q1088" s="33" t="n"/>
      <c r="R1088" s="33">
        <f>H1088+K1088-O1088</f>
        <v/>
      </c>
      <c r="S1088" s="33" t="n"/>
      <c r="T1088" s="33" t="n"/>
      <c r="U1088" s="33" t="n"/>
      <c r="V1088" s="33" t="n"/>
      <c r="W1088" s="33" t="n"/>
      <c r="X1088" s="33" t="n"/>
      <c r="Y1088" s="33" t="n"/>
      <c r="Z1088" s="33" t="n"/>
      <c r="AA1088" s="4">
        <f>R1088-G1088</f>
        <v/>
      </c>
      <c r="AB1088" s="4">
        <f>G1088-R1088</f>
        <v/>
      </c>
      <c r="AC1088" s="33" t="n"/>
    </row>
    <row r="1089" ht="18.75" customHeight="1">
      <c r="A1089" s="35">
        <f>SUBTOTAL(103,$B$24:B1089)</f>
        <v/>
      </c>
      <c r="B1089" s="36" t="inlineStr">
        <is>
          <t xml:space="preserve">Машина кухонна для мясних цехів </t>
        </is>
      </c>
      <c r="C1089" s="37" t="inlineStr">
        <is>
          <t>к-т</t>
        </is>
      </c>
      <c r="D1089" s="33" t="n"/>
      <c r="E1089" s="33" t="n"/>
      <c r="F1089" s="33">
        <f>E1089*0.05</f>
        <v/>
      </c>
      <c r="G1089" s="33">
        <f>E1089+F1089</f>
        <v/>
      </c>
      <c r="H1089" s="33" t="n"/>
      <c r="I1089" s="33" t="n"/>
      <c r="J1089" s="33" t="n"/>
      <c r="K1089" s="33">
        <f>L1089+M1089+N1089</f>
        <v/>
      </c>
      <c r="L1089" s="33" t="n"/>
      <c r="M1089" s="33" t="n"/>
      <c r="N1089" s="33" t="n"/>
      <c r="O1089" s="33">
        <f>P1089+Q1089</f>
        <v/>
      </c>
      <c r="P1089" s="33" t="n"/>
      <c r="Q1089" s="33" t="n"/>
      <c r="R1089" s="33">
        <f>H1089+K1089-O1089</f>
        <v/>
      </c>
      <c r="S1089" s="33" t="n"/>
      <c r="T1089" s="33" t="n"/>
      <c r="U1089" s="33" t="n"/>
      <c r="V1089" s="33" t="n"/>
      <c r="W1089" s="33" t="n"/>
      <c r="X1089" s="33" t="n"/>
      <c r="Y1089" s="33" t="n"/>
      <c r="Z1089" s="33" t="n"/>
      <c r="AA1089" s="4">
        <f>R1089-G1089</f>
        <v/>
      </c>
      <c r="AB1089" s="4">
        <f>G1089-R1089</f>
        <v/>
      </c>
      <c r="AC1089" s="33" t="n"/>
    </row>
    <row r="1090" ht="37.5" customHeight="1">
      <c r="A1090" s="35">
        <f>SUBTOTAL(103,$B$24:B1090)</f>
        <v/>
      </c>
      <c r="B1090" s="36" t="inlineStr">
        <is>
          <t>Машина кухонна для мясних та рибних цехів</t>
        </is>
      </c>
      <c r="C1090" s="37" t="inlineStr">
        <is>
          <t>к-т</t>
        </is>
      </c>
      <c r="D1090" s="33" t="n"/>
      <c r="E1090" s="33" t="n"/>
      <c r="F1090" s="33">
        <f>E1090*0.05</f>
        <v/>
      </c>
      <c r="G1090" s="33">
        <f>E1090+F1090</f>
        <v/>
      </c>
      <c r="H1090" s="33" t="n"/>
      <c r="I1090" s="33" t="n"/>
      <c r="J1090" s="33" t="n"/>
      <c r="K1090" s="33">
        <f>L1090+M1090+N1090</f>
        <v/>
      </c>
      <c r="L1090" s="33" t="n"/>
      <c r="M1090" s="33" t="n"/>
      <c r="N1090" s="33" t="n"/>
      <c r="O1090" s="33">
        <f>P1090+Q1090</f>
        <v/>
      </c>
      <c r="P1090" s="33" t="n"/>
      <c r="Q1090" s="33" t="n"/>
      <c r="R1090" s="33">
        <f>H1090+K1090-O1090</f>
        <v/>
      </c>
      <c r="S1090" s="33" t="n"/>
      <c r="T1090" s="33" t="n"/>
      <c r="U1090" s="33" t="n"/>
      <c r="V1090" s="33" t="n"/>
      <c r="W1090" s="33" t="n"/>
      <c r="X1090" s="33" t="n"/>
      <c r="Y1090" s="33" t="n"/>
      <c r="Z1090" s="33" t="n"/>
      <c r="AA1090" s="4">
        <f>R1090-G1090</f>
        <v/>
      </c>
      <c r="AB1090" s="4">
        <f>G1090-R1090</f>
        <v/>
      </c>
      <c r="AC1090" s="33" t="n"/>
    </row>
    <row r="1091" ht="37.5" customHeight="1">
      <c r="A1091" s="35">
        <f>SUBTOTAL(103,$B$24:B1091)</f>
        <v/>
      </c>
      <c r="B1091" s="36" t="inlineStr">
        <is>
          <t>Машина універсальна для м'ясо-рибних цехів УКМ-0,8</t>
        </is>
      </c>
      <c r="C1091" s="37" t="inlineStr">
        <is>
          <t>к-т</t>
        </is>
      </c>
      <c r="D1091" s="33" t="n"/>
      <c r="E1091" s="33" t="n"/>
      <c r="F1091" s="33">
        <f>E1091*0.05</f>
        <v/>
      </c>
      <c r="G1091" s="33">
        <f>E1091+F1091</f>
        <v/>
      </c>
      <c r="H1091" s="33" t="n"/>
      <c r="I1091" s="33" t="n"/>
      <c r="J1091" s="33" t="n"/>
      <c r="K1091" s="33">
        <f>L1091+M1091+N1091</f>
        <v/>
      </c>
      <c r="L1091" s="33" t="n"/>
      <c r="M1091" s="33" t="n"/>
      <c r="N1091" s="33" t="n"/>
      <c r="O1091" s="33">
        <f>P1091+Q1091</f>
        <v/>
      </c>
      <c r="P1091" s="33" t="n"/>
      <c r="Q1091" s="33" t="n"/>
      <c r="R1091" s="33">
        <f>H1091+K1091-O1091</f>
        <v/>
      </c>
      <c r="S1091" s="33" t="n"/>
      <c r="T1091" s="33" t="n"/>
      <c r="U1091" s="33" t="n"/>
      <c r="V1091" s="33" t="n"/>
      <c r="W1091" s="33" t="n"/>
      <c r="X1091" s="33" t="n"/>
      <c r="Y1091" s="33" t="n"/>
      <c r="Z1091" s="33" t="n"/>
      <c r="AA1091" s="4">
        <f>R1091-G1091</f>
        <v/>
      </c>
      <c r="AB1091" s="4">
        <f>G1091-R1091</f>
        <v/>
      </c>
      <c r="AC1091" s="33" t="n"/>
    </row>
    <row r="1092" ht="18.75" customHeight="1">
      <c r="A1092" s="35">
        <f>SUBTOTAL(103,$B$24:B1092)</f>
        <v/>
      </c>
      <c r="B1092" s="36" t="inlineStr">
        <is>
          <t>Машина кухонна для овочевих цехів</t>
        </is>
      </c>
      <c r="C1092" s="37" t="inlineStr">
        <is>
          <t>к-т</t>
        </is>
      </c>
      <c r="D1092" s="33" t="n"/>
      <c r="E1092" s="33" t="n"/>
      <c r="F1092" s="33">
        <f>E1092*0.05</f>
        <v/>
      </c>
      <c r="G1092" s="33">
        <f>E1092+F1092</f>
        <v/>
      </c>
      <c r="H1092" s="33" t="n"/>
      <c r="I1092" s="33" t="n"/>
      <c r="J1092" s="33" t="n"/>
      <c r="K1092" s="33">
        <f>L1092+M1092+N1092</f>
        <v/>
      </c>
      <c r="L1092" s="33" t="n"/>
      <c r="M1092" s="33" t="n"/>
      <c r="N1092" s="33" t="n"/>
      <c r="O1092" s="33">
        <f>P1092+Q1092</f>
        <v/>
      </c>
      <c r="P1092" s="33" t="n"/>
      <c r="Q1092" s="33" t="n"/>
      <c r="R1092" s="33">
        <f>H1092+K1092-O1092</f>
        <v/>
      </c>
      <c r="S1092" s="33" t="n"/>
      <c r="T1092" s="33" t="n"/>
      <c r="U1092" s="33" t="n"/>
      <c r="V1092" s="33" t="n"/>
      <c r="W1092" s="33" t="n"/>
      <c r="X1092" s="33" t="n"/>
      <c r="Y1092" s="33" t="n"/>
      <c r="Z1092" s="33" t="n"/>
      <c r="AA1092" s="4">
        <f>R1092-G1092</f>
        <v/>
      </c>
      <c r="AB1092" s="4">
        <f>G1092-R1092</f>
        <v/>
      </c>
      <c r="AC1092" s="33" t="n"/>
    </row>
    <row r="1093" ht="37.5" customHeight="1">
      <c r="A1093" s="35">
        <f>SUBTOTAL(103,$B$24:B1093)</f>
        <v/>
      </c>
      <c r="B1093" s="36" t="inlineStr">
        <is>
          <t>Машина кухонна загльного призначення інші</t>
        </is>
      </c>
      <c r="C1093" s="37" t="inlineStr">
        <is>
          <t>к-т</t>
        </is>
      </c>
      <c r="D1093" s="33" t="n"/>
      <c r="E1093" s="33" t="n"/>
      <c r="F1093" s="33">
        <f>E1093*0.05</f>
        <v/>
      </c>
      <c r="G1093" s="33">
        <f>E1093+F1093</f>
        <v/>
      </c>
      <c r="H1093" s="33" t="n"/>
      <c r="I1093" s="33" t="n"/>
      <c r="J1093" s="33" t="n"/>
      <c r="K1093" s="33">
        <f>L1093+M1093+N1093</f>
        <v/>
      </c>
      <c r="L1093" s="33" t="n"/>
      <c r="M1093" s="33" t="n"/>
      <c r="N1093" s="33" t="n"/>
      <c r="O1093" s="33">
        <f>P1093+Q1093</f>
        <v/>
      </c>
      <c r="P1093" s="33" t="n"/>
      <c r="Q1093" s="33" t="n"/>
      <c r="R1093" s="33">
        <f>H1093+K1093-O1093</f>
        <v/>
      </c>
      <c r="S1093" s="33" t="n"/>
      <c r="T1093" s="33" t="n"/>
      <c r="U1093" s="33" t="n"/>
      <c r="V1093" s="33" t="n"/>
      <c r="W1093" s="33" t="n"/>
      <c r="X1093" s="33" t="n"/>
      <c r="Y1093" s="33" t="n"/>
      <c r="Z1093" s="33" t="n"/>
      <c r="AA1093" s="4">
        <f>R1093-G1093</f>
        <v/>
      </c>
      <c r="AB1093" s="4">
        <f>G1093-R1093</f>
        <v/>
      </c>
      <c r="AC1093" s="33" t="n"/>
    </row>
    <row r="1094" ht="37.5" customHeight="1">
      <c r="A1094" s="35">
        <f>SUBTOTAL(103,$B$24:B1094)</f>
        <v/>
      </c>
      <c r="B1094" s="36" t="inlineStr">
        <is>
          <t xml:space="preserve">Машина універсальна загального призначення </t>
        </is>
      </c>
      <c r="C1094" s="37" t="inlineStr">
        <is>
          <t>к-т</t>
        </is>
      </c>
      <c r="D1094" s="33" t="n"/>
      <c r="E1094" s="33" t="n"/>
      <c r="F1094" s="33">
        <f>E1094*0.05</f>
        <v/>
      </c>
      <c r="G1094" s="33">
        <f>E1094+F1094</f>
        <v/>
      </c>
      <c r="H1094" s="33" t="n"/>
      <c r="I1094" s="33" t="n"/>
      <c r="J1094" s="33" t="n"/>
      <c r="K1094" s="33">
        <f>L1094+M1094+N1094</f>
        <v/>
      </c>
      <c r="L1094" s="33" t="n"/>
      <c r="M1094" s="33" t="n"/>
      <c r="N1094" s="33" t="n"/>
      <c r="O1094" s="33">
        <f>P1094+Q1094</f>
        <v/>
      </c>
      <c r="P1094" s="33" t="n"/>
      <c r="Q1094" s="33" t="n"/>
      <c r="R1094" s="33">
        <f>H1094+K1094-O1094</f>
        <v/>
      </c>
      <c r="S1094" s="33" t="n"/>
      <c r="T1094" s="33" t="n"/>
      <c r="U1094" s="33" t="n"/>
      <c r="V1094" s="33" t="n"/>
      <c r="W1094" s="33" t="n"/>
      <c r="X1094" s="33" t="n"/>
      <c r="Y1094" s="33" t="n"/>
      <c r="Z1094" s="33" t="n"/>
      <c r="AA1094" s="4">
        <f>R1094-G1094</f>
        <v/>
      </c>
      <c r="AB1094" s="4">
        <f>G1094-R1094</f>
        <v/>
      </c>
      <c r="AC1094" s="33" t="n"/>
    </row>
    <row r="1095" ht="18.75" customHeight="1">
      <c r="A1095" s="35">
        <f>SUBTOTAL(103,$B$24:B1095)</f>
        <v/>
      </c>
      <c r="B1095" s="36" t="inlineStr">
        <is>
          <t>Кухоний комбаїн промисловий</t>
        </is>
      </c>
      <c r="C1095" s="37" t="inlineStr">
        <is>
          <t>к-т</t>
        </is>
      </c>
      <c r="D1095" s="33" t="n"/>
      <c r="E1095" s="33" t="n"/>
      <c r="F1095" s="33">
        <f>E1095*0.05</f>
        <v/>
      </c>
      <c r="G1095" s="33">
        <f>E1095+F1095</f>
        <v/>
      </c>
      <c r="H1095" s="33" t="n"/>
      <c r="I1095" s="33" t="n"/>
      <c r="J1095" s="33" t="n"/>
      <c r="K1095" s="33">
        <f>L1095+M1095+N1095</f>
        <v/>
      </c>
      <c r="L1095" s="33" t="n"/>
      <c r="M1095" s="33" t="n"/>
      <c r="N1095" s="33" t="n"/>
      <c r="O1095" s="33">
        <f>P1095+Q1095</f>
        <v/>
      </c>
      <c r="P1095" s="33" t="n"/>
      <c r="Q1095" s="33" t="n"/>
      <c r="R1095" s="33">
        <f>H1095+K1095-O1095</f>
        <v/>
      </c>
      <c r="S1095" s="33" t="n"/>
      <c r="T1095" s="33" t="n"/>
      <c r="U1095" s="33" t="n"/>
      <c r="V1095" s="33" t="n"/>
      <c r="W1095" s="33" t="n"/>
      <c r="X1095" s="33" t="n"/>
      <c r="Y1095" s="33" t="n"/>
      <c r="Z1095" s="33" t="n"/>
      <c r="AA1095" s="4">
        <f>R1095-G1095</f>
        <v/>
      </c>
      <c r="AB1095" s="4">
        <f>G1095-R1095</f>
        <v/>
      </c>
      <c r="AC1095" s="33" t="n"/>
    </row>
    <row r="1096" ht="18.75" customHeight="1">
      <c r="A1096" s="35">
        <f>SUBTOTAL(103,$B$24:B1096)</f>
        <v/>
      </c>
      <c r="B1096" s="36" t="inlineStr">
        <is>
          <t>Кухоний процесор Robot Coupe R502</t>
        </is>
      </c>
      <c r="C1096" s="37" t="inlineStr">
        <is>
          <t>к-т</t>
        </is>
      </c>
      <c r="D1096" s="33" t="n"/>
      <c r="E1096" s="33" t="n"/>
      <c r="F1096" s="33">
        <f>E1096*0.05</f>
        <v/>
      </c>
      <c r="G1096" s="33">
        <f>E1096+F1096</f>
        <v/>
      </c>
      <c r="H1096" s="33" t="n"/>
      <c r="I1096" s="33" t="n"/>
      <c r="J1096" s="33" t="n"/>
      <c r="K1096" s="33">
        <f>L1096+M1096+N1096</f>
        <v/>
      </c>
      <c r="L1096" s="33" t="n"/>
      <c r="M1096" s="33" t="n"/>
      <c r="N1096" s="33" t="n"/>
      <c r="O1096" s="33">
        <f>P1096+Q1096</f>
        <v/>
      </c>
      <c r="P1096" s="33" t="n"/>
      <c r="Q1096" s="33" t="n"/>
      <c r="R1096" s="33">
        <f>H1096+K1096-O1096</f>
        <v/>
      </c>
      <c r="S1096" s="33" t="n"/>
      <c r="T1096" s="33" t="n"/>
      <c r="U1096" s="33" t="n"/>
      <c r="V1096" s="33" t="n"/>
      <c r="W1096" s="33" t="n"/>
      <c r="X1096" s="33" t="n"/>
      <c r="Y1096" s="33" t="n"/>
      <c r="Z1096" s="33" t="n"/>
      <c r="AA1096" s="4">
        <f>R1096-G1096</f>
        <v/>
      </c>
      <c r="AB1096" s="4">
        <f>G1096-R1096</f>
        <v/>
      </c>
      <c r="AC1096" s="33" t="n"/>
    </row>
    <row r="1097" ht="18.75" customHeight="1">
      <c r="A1097" s="35">
        <f>SUBTOTAL(103,$B$24:B1097)</f>
        <v/>
      </c>
      <c r="B1097" s="36" t="inlineStr">
        <is>
          <t>Кухоний комбаїн "БРАУН"</t>
        </is>
      </c>
      <c r="C1097" s="37" t="inlineStr">
        <is>
          <t>к-т</t>
        </is>
      </c>
      <c r="D1097" s="33" t="n"/>
      <c r="E1097" s="33" t="n"/>
      <c r="F1097" s="33">
        <f>E1097*0.05</f>
        <v/>
      </c>
      <c r="G1097" s="33">
        <f>E1097+F1097</f>
        <v/>
      </c>
      <c r="H1097" s="33" t="n"/>
      <c r="I1097" s="33" t="n"/>
      <c r="J1097" s="33" t="n"/>
      <c r="K1097" s="33">
        <f>L1097+M1097+N1097</f>
        <v/>
      </c>
      <c r="L1097" s="33" t="n"/>
      <c r="M1097" s="33" t="n"/>
      <c r="N1097" s="33" t="n"/>
      <c r="O1097" s="33">
        <f>P1097+Q1097</f>
        <v/>
      </c>
      <c r="P1097" s="33" t="n"/>
      <c r="Q1097" s="33" t="n"/>
      <c r="R1097" s="33">
        <f>H1097+K1097-O1097</f>
        <v/>
      </c>
      <c r="S1097" s="33" t="n"/>
      <c r="T1097" s="33" t="n"/>
      <c r="U1097" s="33" t="n"/>
      <c r="V1097" s="33" t="n"/>
      <c r="W1097" s="33" t="n"/>
      <c r="X1097" s="33" t="n"/>
      <c r="Y1097" s="33" t="n"/>
      <c r="Z1097" s="33" t="n"/>
      <c r="AA1097" s="4">
        <f>R1097-G1097</f>
        <v/>
      </c>
      <c r="AB1097" s="4">
        <f>G1097-R1097</f>
        <v/>
      </c>
      <c r="AC1097" s="33" t="n"/>
    </row>
    <row r="1098" ht="18.75" customHeight="1">
      <c r="A1098" s="35">
        <f>SUBTOTAL(103,$B$24:B1098)</f>
        <v/>
      </c>
      <c r="B1098" s="36" t="inlineStr">
        <is>
          <t>Кухоний комбаїн Russell Hobbs</t>
        </is>
      </c>
      <c r="C1098" s="37" t="inlineStr">
        <is>
          <t>к-т</t>
        </is>
      </c>
      <c r="D1098" s="33" t="n"/>
      <c r="E1098" s="33" t="n"/>
      <c r="F1098" s="33">
        <f>E1098*0.05</f>
        <v/>
      </c>
      <c r="G1098" s="33">
        <f>E1098+F1098</f>
        <v/>
      </c>
      <c r="H1098" s="33" t="n"/>
      <c r="I1098" s="33" t="n"/>
      <c r="J1098" s="33" t="n"/>
      <c r="K1098" s="33">
        <f>L1098+M1098+N1098</f>
        <v/>
      </c>
      <c r="L1098" s="33" t="n"/>
      <c r="M1098" s="33" t="n"/>
      <c r="N1098" s="33" t="n"/>
      <c r="O1098" s="33">
        <f>P1098+Q1098</f>
        <v/>
      </c>
      <c r="P1098" s="33" t="n"/>
      <c r="Q1098" s="33" t="n"/>
      <c r="R1098" s="33">
        <f>H1098+K1098-O1098</f>
        <v/>
      </c>
      <c r="S1098" s="33" t="n"/>
      <c r="T1098" s="33" t="n"/>
      <c r="U1098" s="33" t="n"/>
      <c r="V1098" s="33" t="n"/>
      <c r="W1098" s="33" t="n"/>
      <c r="X1098" s="33" t="n"/>
      <c r="Y1098" s="33" t="n"/>
      <c r="Z1098" s="33" t="n"/>
      <c r="AA1098" s="4">
        <f>R1098-G1098</f>
        <v/>
      </c>
      <c r="AB1098" s="4">
        <f>G1098-R1098</f>
        <v/>
      </c>
      <c r="AC1098" s="33" t="n"/>
    </row>
    <row r="1099" ht="18.75" customHeight="1">
      <c r="A1099" s="35">
        <f>SUBTOTAL(103,$B$24:B1099)</f>
        <v/>
      </c>
      <c r="B1099" s="36" t="inlineStr">
        <is>
          <t>Кухоний комбаїн "Мулінекс" DFC34</t>
        </is>
      </c>
      <c r="C1099" s="37" t="inlineStr">
        <is>
          <t>к-т</t>
        </is>
      </c>
      <c r="D1099" s="33" t="n"/>
      <c r="E1099" s="33" t="n"/>
      <c r="F1099" s="33">
        <f>E1099*0.05</f>
        <v/>
      </c>
      <c r="G1099" s="33">
        <f>E1099+F1099</f>
        <v/>
      </c>
      <c r="H1099" s="33" t="n"/>
      <c r="I1099" s="33" t="n"/>
      <c r="J1099" s="33" t="n"/>
      <c r="K1099" s="33">
        <f>L1099+M1099+N1099</f>
        <v/>
      </c>
      <c r="L1099" s="33" t="n"/>
      <c r="M1099" s="33" t="n"/>
      <c r="N1099" s="33" t="n"/>
      <c r="O1099" s="33">
        <f>P1099+Q1099</f>
        <v/>
      </c>
      <c r="P1099" s="33" t="n"/>
      <c r="Q1099" s="33" t="n"/>
      <c r="R1099" s="33">
        <f>H1099+K1099-O1099</f>
        <v/>
      </c>
      <c r="S1099" s="33" t="n"/>
      <c r="T1099" s="33" t="n"/>
      <c r="U1099" s="33" t="n"/>
      <c r="V1099" s="33" t="n"/>
      <c r="W1099" s="33" t="n"/>
      <c r="X1099" s="33" t="n"/>
      <c r="Y1099" s="33" t="n"/>
      <c r="Z1099" s="33" t="n"/>
      <c r="AA1099" s="4">
        <f>R1099-G1099</f>
        <v/>
      </c>
      <c r="AB1099" s="4">
        <f>G1099-R1099</f>
        <v/>
      </c>
      <c r="AC1099" s="33" t="n"/>
    </row>
    <row r="1100" ht="18.75" customHeight="1">
      <c r="A1100" s="35">
        <f>SUBTOTAL(103,$B$24:B1100)</f>
        <v/>
      </c>
      <c r="B1100" s="36" t="inlineStr">
        <is>
          <t>Кухоний комбаїн Sencor</t>
        </is>
      </c>
      <c r="C1100" s="37" t="inlineStr">
        <is>
          <t>к-т</t>
        </is>
      </c>
      <c r="D1100" s="33" t="n"/>
      <c r="E1100" s="33" t="n"/>
      <c r="F1100" s="33">
        <f>E1100*0.05</f>
        <v/>
      </c>
      <c r="G1100" s="33">
        <f>E1100+F1100</f>
        <v/>
      </c>
      <c r="H1100" s="33" t="n"/>
      <c r="I1100" s="33" t="n"/>
      <c r="J1100" s="33" t="n"/>
      <c r="K1100" s="33">
        <f>L1100+M1100+N1100</f>
        <v/>
      </c>
      <c r="L1100" s="33" t="n"/>
      <c r="M1100" s="33" t="n"/>
      <c r="N1100" s="33" t="n"/>
      <c r="O1100" s="33">
        <f>P1100+Q1100</f>
        <v/>
      </c>
      <c r="P1100" s="33" t="n"/>
      <c r="Q1100" s="33" t="n"/>
      <c r="R1100" s="33">
        <f>H1100+K1100-O1100</f>
        <v/>
      </c>
      <c r="S1100" s="33" t="n"/>
      <c r="T1100" s="33" t="n"/>
      <c r="U1100" s="33" t="n"/>
      <c r="V1100" s="33" t="n"/>
      <c r="W1100" s="33" t="n"/>
      <c r="X1100" s="33" t="n"/>
      <c r="Y1100" s="33" t="n"/>
      <c r="Z1100" s="33" t="n"/>
      <c r="AA1100" s="4">
        <f>R1100-G1100</f>
        <v/>
      </c>
      <c r="AB1100" s="4">
        <f>G1100-R1100</f>
        <v/>
      </c>
      <c r="AC1100" s="33" t="n"/>
    </row>
    <row r="1101" ht="37.5" customHeight="1">
      <c r="A1101" s="35">
        <f>SUBTOTAL(103,$B$24:B1101)</f>
        <v/>
      </c>
      <c r="B1101" s="36" t="inlineStr">
        <is>
          <t>Кухоний комбаїн Kenwood KVL 85.004 SI</t>
        </is>
      </c>
      <c r="C1101" s="37" t="inlineStr">
        <is>
          <t>к-т</t>
        </is>
      </c>
      <c r="D1101" s="33" t="n"/>
      <c r="E1101" s="33" t="n"/>
      <c r="F1101" s="33">
        <f>E1101*0.05</f>
        <v/>
      </c>
      <c r="G1101" s="33">
        <f>E1101+F1101</f>
        <v/>
      </c>
      <c r="H1101" s="33" t="n"/>
      <c r="I1101" s="33" t="n"/>
      <c r="J1101" s="33" t="n"/>
      <c r="K1101" s="33">
        <f>L1101+M1101+N1101</f>
        <v/>
      </c>
      <c r="L1101" s="33" t="n"/>
      <c r="M1101" s="33" t="n"/>
      <c r="N1101" s="33" t="n"/>
      <c r="O1101" s="33">
        <f>P1101+Q1101</f>
        <v/>
      </c>
      <c r="P1101" s="33" t="n"/>
      <c r="Q1101" s="33" t="n"/>
      <c r="R1101" s="33">
        <f>H1101+K1101-O1101</f>
        <v/>
      </c>
      <c r="S1101" s="33" t="n"/>
      <c r="T1101" s="33" t="n"/>
      <c r="U1101" s="33" t="n"/>
      <c r="V1101" s="33" t="n"/>
      <c r="W1101" s="33" t="n"/>
      <c r="X1101" s="33" t="n"/>
      <c r="Y1101" s="33" t="n"/>
      <c r="Z1101" s="33" t="n"/>
      <c r="AA1101" s="4">
        <f>R1101-G1101</f>
        <v/>
      </c>
      <c r="AB1101" s="4">
        <f>G1101-R1101</f>
        <v/>
      </c>
      <c r="AC1101" s="33" t="n"/>
    </row>
    <row r="1102" ht="18.75" customHeight="1">
      <c r="A1102" s="35">
        <f>SUBTOTAL(103,$B$24:B1102)</f>
        <v/>
      </c>
      <c r="B1102" s="36" t="inlineStr">
        <is>
          <t>Кухонний комбайн BOSCH</t>
        </is>
      </c>
      <c r="C1102" s="37" t="inlineStr">
        <is>
          <t>к-т</t>
        </is>
      </c>
      <c r="D1102" s="33" t="n"/>
      <c r="E1102" s="33" t="n"/>
      <c r="F1102" s="33">
        <f>E1102*0.05</f>
        <v/>
      </c>
      <c r="G1102" s="33">
        <f>E1102+F1102</f>
        <v/>
      </c>
      <c r="H1102" s="33" t="n"/>
      <c r="I1102" s="33" t="n"/>
      <c r="J1102" s="33" t="n"/>
      <c r="K1102" s="33">
        <f>L1102+M1102+N1102</f>
        <v/>
      </c>
      <c r="L1102" s="33" t="n"/>
      <c r="M1102" s="33" t="n"/>
      <c r="N1102" s="33" t="n"/>
      <c r="O1102" s="33">
        <f>P1102+Q1102</f>
        <v/>
      </c>
      <c r="P1102" s="33" t="n"/>
      <c r="Q1102" s="33" t="n"/>
      <c r="R1102" s="33">
        <f>H1102+K1102-O1102</f>
        <v/>
      </c>
      <c r="S1102" s="33" t="n"/>
      <c r="T1102" s="33" t="n"/>
      <c r="U1102" s="33" t="n"/>
      <c r="V1102" s="33" t="n"/>
      <c r="W1102" s="33" t="n"/>
      <c r="X1102" s="33" t="n"/>
      <c r="Y1102" s="33" t="n"/>
      <c r="Z1102" s="33" t="n"/>
      <c r="AA1102" s="4">
        <f>R1102-G1102</f>
        <v/>
      </c>
      <c r="AB1102" s="4">
        <f>G1102-R1102</f>
        <v/>
      </c>
      <c r="AC1102" s="33" t="n"/>
    </row>
    <row r="1103" ht="18.75" customHeight="1">
      <c r="A1103" s="35">
        <f>SUBTOTAL(103,$B$24:B1103)</f>
        <v/>
      </c>
      <c r="B1103" s="36" t="inlineStr">
        <is>
          <t xml:space="preserve">Привід універсальний </t>
        </is>
      </c>
      <c r="C1103" s="37" t="inlineStr">
        <is>
          <t>к-т</t>
        </is>
      </c>
      <c r="D1103" s="33" t="n"/>
      <c r="E1103" s="33" t="n"/>
      <c r="F1103" s="33">
        <f>E1103*0.05</f>
        <v/>
      </c>
      <c r="G1103" s="33">
        <f>E1103+F1103</f>
        <v/>
      </c>
      <c r="H1103" s="33" t="n"/>
      <c r="I1103" s="33" t="n"/>
      <c r="J1103" s="33" t="n"/>
      <c r="K1103" s="33">
        <f>L1103+M1103+N1103</f>
        <v/>
      </c>
      <c r="L1103" s="33" t="n"/>
      <c r="M1103" s="33" t="n"/>
      <c r="N1103" s="33" t="n"/>
      <c r="O1103" s="33">
        <f>P1103+Q1103</f>
        <v/>
      </c>
      <c r="P1103" s="33" t="n"/>
      <c r="Q1103" s="33" t="n"/>
      <c r="R1103" s="33">
        <f>H1103+K1103-O1103</f>
        <v/>
      </c>
      <c r="S1103" s="33" t="n"/>
      <c r="T1103" s="33" t="n"/>
      <c r="U1103" s="33" t="n"/>
      <c r="V1103" s="33" t="n"/>
      <c r="W1103" s="33" t="n"/>
      <c r="X1103" s="33" t="n"/>
      <c r="Y1103" s="33" t="n"/>
      <c r="Z1103" s="33" t="n"/>
      <c r="AA1103" s="4">
        <f>R1103-G1103</f>
        <v/>
      </c>
      <c r="AB1103" s="4">
        <f>G1103-R1103</f>
        <v/>
      </c>
      <c r="AC1103" s="33" t="n"/>
    </row>
    <row r="1104" ht="18.75" customHeight="1">
      <c r="A1104" s="35">
        <f>SUBTOTAL(103,$B$24:B1104)</f>
        <v/>
      </c>
      <c r="B1104" s="36" t="inlineStr">
        <is>
          <t>Привід П-2</t>
        </is>
      </c>
      <c r="C1104" s="37" t="inlineStr">
        <is>
          <t>к-т</t>
        </is>
      </c>
      <c r="D1104" s="33" t="n"/>
      <c r="E1104" s="33" t="n"/>
      <c r="F1104" s="33">
        <f>E1104*0.05</f>
        <v/>
      </c>
      <c r="G1104" s="33">
        <f>E1104+F1104</f>
        <v/>
      </c>
      <c r="H1104" s="33" t="n"/>
      <c r="I1104" s="33" t="n"/>
      <c r="J1104" s="33" t="n"/>
      <c r="K1104" s="33">
        <f>L1104+M1104+N1104</f>
        <v/>
      </c>
      <c r="L1104" s="33" t="n"/>
      <c r="M1104" s="33" t="n"/>
      <c r="N1104" s="33" t="n"/>
      <c r="O1104" s="33">
        <f>P1104+Q1104</f>
        <v/>
      </c>
      <c r="P1104" s="33" t="n"/>
      <c r="Q1104" s="33" t="n"/>
      <c r="R1104" s="33">
        <f>H1104+K1104-O1104</f>
        <v/>
      </c>
      <c r="S1104" s="33" t="n"/>
      <c r="T1104" s="33" t="n"/>
      <c r="U1104" s="33" t="n"/>
      <c r="V1104" s="33" t="n"/>
      <c r="W1104" s="33" t="n"/>
      <c r="X1104" s="33" t="n"/>
      <c r="Y1104" s="33" t="n"/>
      <c r="Z1104" s="33" t="n"/>
      <c r="AA1104" s="4">
        <f>R1104-G1104</f>
        <v/>
      </c>
      <c r="AB1104" s="4">
        <f>G1104-R1104</f>
        <v/>
      </c>
      <c r="AC1104" s="33" t="n"/>
    </row>
    <row r="1105" ht="18.75" customHeight="1">
      <c r="A1105" s="35">
        <f>SUBTOTAL(103,$B$24:B1105)</f>
        <v/>
      </c>
      <c r="B1105" s="36" t="inlineStr">
        <is>
          <t>Привід ПМ-2</t>
        </is>
      </c>
      <c r="C1105" s="37" t="inlineStr">
        <is>
          <t>к-т</t>
        </is>
      </c>
      <c r="D1105" s="33" t="n"/>
      <c r="E1105" s="33" t="n"/>
      <c r="F1105" s="33">
        <f>E1105*0.05</f>
        <v/>
      </c>
      <c r="G1105" s="33">
        <f>E1105+F1105</f>
        <v/>
      </c>
      <c r="H1105" s="33" t="n"/>
      <c r="I1105" s="33" t="n"/>
      <c r="J1105" s="33" t="n"/>
      <c r="K1105" s="33">
        <f>L1105+M1105+N1105</f>
        <v/>
      </c>
      <c r="L1105" s="33" t="n"/>
      <c r="M1105" s="33" t="n"/>
      <c r="N1105" s="33" t="n"/>
      <c r="O1105" s="33">
        <f>P1105+Q1105</f>
        <v/>
      </c>
      <c r="P1105" s="33" t="n"/>
      <c r="Q1105" s="33" t="n"/>
      <c r="R1105" s="33">
        <f>H1105+K1105-O1105</f>
        <v/>
      </c>
      <c r="S1105" s="33" t="n"/>
      <c r="T1105" s="33" t="n"/>
      <c r="U1105" s="33" t="n"/>
      <c r="V1105" s="33" t="n"/>
      <c r="W1105" s="33" t="n"/>
      <c r="X1105" s="33" t="n"/>
      <c r="Y1105" s="33" t="n"/>
      <c r="Z1105" s="33" t="n"/>
      <c r="AA1105" s="4">
        <f>R1105-G1105</f>
        <v/>
      </c>
      <c r="AB1105" s="4">
        <f>G1105-R1105</f>
        <v/>
      </c>
      <c r="AC1105" s="33" t="n"/>
    </row>
    <row r="1106" ht="37.5" customHeight="1">
      <c r="A1106" s="35">
        <f>SUBTOTAL(103,$B$24:B1106)</f>
        <v/>
      </c>
      <c r="B1106" s="36" t="inlineStr">
        <is>
          <t>Машина для приготування картопляного пюре МКП-60</t>
        </is>
      </c>
      <c r="C1106" s="37" t="inlineStr">
        <is>
          <t>к-т</t>
        </is>
      </c>
      <c r="D1106" s="33" t="n"/>
      <c r="E1106" s="33" t="n"/>
      <c r="F1106" s="33">
        <f>E1106*0.05</f>
        <v/>
      </c>
      <c r="G1106" s="33">
        <f>E1106+F1106</f>
        <v/>
      </c>
      <c r="H1106" s="33" t="n"/>
      <c r="I1106" s="33" t="n"/>
      <c r="J1106" s="33" t="n"/>
      <c r="K1106" s="33">
        <f>L1106+M1106+N1106</f>
        <v/>
      </c>
      <c r="L1106" s="33" t="n"/>
      <c r="M1106" s="33" t="n"/>
      <c r="N1106" s="33" t="n"/>
      <c r="O1106" s="33">
        <f>P1106+Q1106</f>
        <v/>
      </c>
      <c r="P1106" s="33" t="n"/>
      <c r="Q1106" s="33" t="n"/>
      <c r="R1106" s="33">
        <f>H1106+K1106-O1106</f>
        <v/>
      </c>
      <c r="S1106" s="33" t="n"/>
      <c r="T1106" s="33" t="n"/>
      <c r="U1106" s="33" t="n"/>
      <c r="V1106" s="33" t="n"/>
      <c r="W1106" s="33" t="n"/>
      <c r="X1106" s="33" t="n"/>
      <c r="Y1106" s="33" t="n"/>
      <c r="Z1106" s="33" t="n"/>
      <c r="AA1106" s="4">
        <f>R1106-G1106</f>
        <v/>
      </c>
      <c r="AB1106" s="4">
        <f>G1106-R1106</f>
        <v/>
      </c>
      <c r="AC1106" s="33" t="n"/>
    </row>
    <row r="1107" ht="18.75" customHeight="1">
      <c r="A1107" s="35">
        <f>SUBTOTAL(103,$B$24:B1107)</f>
        <v/>
      </c>
      <c r="B1107" s="36" t="inlineStr">
        <is>
          <t>Мочкопротирочна машина "ХМ"</t>
        </is>
      </c>
      <c r="C1107" s="37" t="inlineStr">
        <is>
          <t>к-т</t>
        </is>
      </c>
      <c r="D1107" s="33" t="n"/>
      <c r="E1107" s="33" t="n"/>
      <c r="F1107" s="33">
        <f>E1107*0.05</f>
        <v/>
      </c>
      <c r="G1107" s="33">
        <f>E1107+F1107</f>
        <v/>
      </c>
      <c r="H1107" s="33" t="n"/>
      <c r="I1107" s="33" t="n"/>
      <c r="J1107" s="33" t="n"/>
      <c r="K1107" s="33">
        <f>L1107+M1107+N1107</f>
        <v/>
      </c>
      <c r="L1107" s="33" t="n"/>
      <c r="M1107" s="33" t="n"/>
      <c r="N1107" s="33" t="n"/>
      <c r="O1107" s="33">
        <f>P1107+Q1107</f>
        <v/>
      </c>
      <c r="P1107" s="33" t="n"/>
      <c r="Q1107" s="33" t="n"/>
      <c r="R1107" s="33">
        <f>H1107+K1107-O1107</f>
        <v/>
      </c>
      <c r="S1107" s="33" t="n"/>
      <c r="T1107" s="33" t="n"/>
      <c r="U1107" s="33" t="n"/>
      <c r="V1107" s="33" t="n"/>
      <c r="W1107" s="33" t="n"/>
      <c r="X1107" s="33" t="n"/>
      <c r="Y1107" s="33" t="n"/>
      <c r="Z1107" s="33" t="n"/>
      <c r="AA1107" s="4">
        <f>R1107-G1107</f>
        <v/>
      </c>
      <c r="AB1107" s="4">
        <f>G1107-R1107</f>
        <v/>
      </c>
      <c r="AC1107" s="33" t="n"/>
    </row>
    <row r="1108" ht="18.75" customHeight="1">
      <c r="A1108" s="35">
        <f>SUBTOTAL(103,$B$24:B1108)</f>
        <v/>
      </c>
      <c r="B1108" s="36" t="inlineStr">
        <is>
          <t xml:space="preserve">Машина протирочна </t>
        </is>
      </c>
      <c r="C1108" s="37" t="inlineStr">
        <is>
          <t>к-т</t>
        </is>
      </c>
      <c r="D1108" s="33" t="n"/>
      <c r="E1108" s="33" t="n"/>
      <c r="F1108" s="33">
        <f>E1108*0.05</f>
        <v/>
      </c>
      <c r="G1108" s="33">
        <f>E1108+F1108</f>
        <v/>
      </c>
      <c r="H1108" s="33" t="n"/>
      <c r="I1108" s="33" t="n"/>
      <c r="J1108" s="33" t="n"/>
      <c r="K1108" s="33">
        <f>L1108+M1108+N1108</f>
        <v/>
      </c>
      <c r="L1108" s="33" t="n"/>
      <c r="M1108" s="33" t="n"/>
      <c r="N1108" s="33" t="n"/>
      <c r="O1108" s="33">
        <f>P1108+Q1108</f>
        <v/>
      </c>
      <c r="P1108" s="33" t="n"/>
      <c r="Q1108" s="33" t="n"/>
      <c r="R1108" s="33">
        <f>H1108+K1108-O1108</f>
        <v/>
      </c>
      <c r="S1108" s="33" t="n"/>
      <c r="T1108" s="33" t="n"/>
      <c r="U1108" s="33" t="n"/>
      <c r="V1108" s="33" t="n"/>
      <c r="W1108" s="33" t="n"/>
      <c r="X1108" s="33" t="n"/>
      <c r="Y1108" s="33" t="n"/>
      <c r="Z1108" s="33" t="n"/>
      <c r="AA1108" s="4">
        <f>R1108-G1108</f>
        <v/>
      </c>
      <c r="AB1108" s="4">
        <f>G1108-R1108</f>
        <v/>
      </c>
      <c r="AC1108" s="33" t="n"/>
    </row>
    <row r="1109" ht="18.75" customHeight="1">
      <c r="A1109" s="35">
        <f>SUBTOTAL(103,$B$24:B1109)</f>
        <v/>
      </c>
      <c r="B1109" s="36" t="inlineStr">
        <is>
          <t>Машина протирочна МП-1000</t>
        </is>
      </c>
      <c r="C1109" s="37" t="inlineStr">
        <is>
          <t>к-т</t>
        </is>
      </c>
      <c r="D1109" s="33" t="n"/>
      <c r="E1109" s="33" t="n"/>
      <c r="F1109" s="33">
        <f>E1109*0.05</f>
        <v/>
      </c>
      <c r="G1109" s="33">
        <f>E1109+F1109</f>
        <v/>
      </c>
      <c r="H1109" s="33" t="n"/>
      <c r="I1109" s="33" t="n"/>
      <c r="J1109" s="33" t="n"/>
      <c r="K1109" s="33">
        <f>L1109+M1109+N1109</f>
        <v/>
      </c>
      <c r="L1109" s="33" t="n"/>
      <c r="M1109" s="33" t="n"/>
      <c r="N1109" s="33" t="n"/>
      <c r="O1109" s="33">
        <f>P1109+Q1109</f>
        <v/>
      </c>
      <c r="P1109" s="33" t="n"/>
      <c r="Q1109" s="33" t="n"/>
      <c r="R1109" s="33">
        <f>H1109+K1109-O1109</f>
        <v/>
      </c>
      <c r="S1109" s="33" t="n"/>
      <c r="T1109" s="33" t="n"/>
      <c r="U1109" s="33" t="n"/>
      <c r="V1109" s="33" t="n"/>
      <c r="W1109" s="33" t="n"/>
      <c r="X1109" s="33" t="n"/>
      <c r="Y1109" s="33" t="n"/>
      <c r="Z1109" s="33" t="n"/>
      <c r="AA1109" s="4">
        <f>R1109-G1109</f>
        <v/>
      </c>
      <c r="AB1109" s="4">
        <f>G1109-R1109</f>
        <v/>
      </c>
      <c r="AC1109" s="33" t="n"/>
    </row>
    <row r="1110" ht="18.75" customHeight="1">
      <c r="A1110" s="35">
        <f>SUBTOTAL(103,$B$24:B1110)</f>
        <v/>
      </c>
      <c r="B1110" s="36" t="inlineStr">
        <is>
          <t>Машина протирально-різальна</t>
        </is>
      </c>
      <c r="C1110" s="37" t="inlineStr">
        <is>
          <t>к-т</t>
        </is>
      </c>
      <c r="D1110" s="33" t="n"/>
      <c r="E1110" s="33" t="n"/>
      <c r="F1110" s="33">
        <f>E1110*0.05</f>
        <v/>
      </c>
      <c r="G1110" s="33">
        <f>E1110+F1110</f>
        <v/>
      </c>
      <c r="H1110" s="33" t="n"/>
      <c r="I1110" s="33" t="n"/>
      <c r="J1110" s="33" t="n"/>
      <c r="K1110" s="33">
        <f>L1110+M1110+N1110</f>
        <v/>
      </c>
      <c r="L1110" s="33" t="n"/>
      <c r="M1110" s="33" t="n"/>
      <c r="N1110" s="33" t="n"/>
      <c r="O1110" s="33">
        <f>P1110+Q1110</f>
        <v/>
      </c>
      <c r="P1110" s="33" t="n"/>
      <c r="Q1110" s="33" t="n"/>
      <c r="R1110" s="33">
        <f>H1110+K1110-O1110</f>
        <v/>
      </c>
      <c r="S1110" s="33" t="n"/>
      <c r="T1110" s="33" t="n"/>
      <c r="U1110" s="33" t="n"/>
      <c r="V1110" s="33" t="n"/>
      <c r="W1110" s="33" t="n"/>
      <c r="X1110" s="33" t="n"/>
      <c r="Y1110" s="33" t="n"/>
      <c r="Z1110" s="33" t="n"/>
      <c r="AA1110" s="4">
        <f>R1110-G1110</f>
        <v/>
      </c>
      <c r="AB1110" s="4">
        <f>G1110-R1110</f>
        <v/>
      </c>
      <c r="AC1110" s="33" t="n"/>
    </row>
    <row r="1111" ht="37.5" customHeight="1">
      <c r="A1111" s="35">
        <f>SUBTOTAL(103,$B$24:B1111)</f>
        <v/>
      </c>
      <c r="B1111" s="38" t="inlineStr">
        <is>
          <t>Машина протирочно-різальна МПР350М00</t>
        </is>
      </c>
      <c r="C1111" s="37" t="inlineStr">
        <is>
          <t>к-т</t>
        </is>
      </c>
      <c r="D1111" s="33" t="n"/>
      <c r="E1111" s="33" t="n"/>
      <c r="F1111" s="33">
        <f>E1111*0.05</f>
        <v/>
      </c>
      <c r="G1111" s="33">
        <f>E1111+F1111</f>
        <v/>
      </c>
      <c r="H1111" s="33" t="n"/>
      <c r="I1111" s="33" t="n"/>
      <c r="J1111" s="33" t="n"/>
      <c r="K1111" s="33">
        <f>L1111+M1111+N1111</f>
        <v/>
      </c>
      <c r="L1111" s="33" t="n"/>
      <c r="M1111" s="33" t="n"/>
      <c r="N1111" s="33" t="n"/>
      <c r="O1111" s="33">
        <f>P1111+Q1111</f>
        <v/>
      </c>
      <c r="P1111" s="33" t="n"/>
      <c r="Q1111" s="33" t="n"/>
      <c r="R1111" s="33">
        <f>H1111+K1111-O1111</f>
        <v/>
      </c>
      <c r="S1111" s="33" t="n"/>
      <c r="T1111" s="33" t="n"/>
      <c r="U1111" s="33" t="n"/>
      <c r="V1111" s="33" t="n"/>
      <c r="W1111" s="33" t="n"/>
      <c r="X1111" s="33" t="n"/>
      <c r="Y1111" s="33" t="n"/>
      <c r="Z1111" s="33" t="n"/>
      <c r="AA1111" s="4">
        <f>R1111-G1111</f>
        <v/>
      </c>
      <c r="AB1111" s="4">
        <f>G1111-R1111</f>
        <v/>
      </c>
      <c r="AC1111" s="33" t="n"/>
    </row>
    <row r="1112" ht="37.5" customHeight="1">
      <c r="A1112" s="35">
        <f>SUBTOTAL(103,$B$24:B1112)</f>
        <v/>
      </c>
      <c r="B1112" s="36" t="inlineStr">
        <is>
          <t>Машина протирочна-різальна ТоргмашМПР-350М (251-300 кг/год)</t>
        </is>
      </c>
      <c r="C1112" s="37" t="inlineStr">
        <is>
          <t>к-т</t>
        </is>
      </c>
      <c r="D1112" s="33" t="n"/>
      <c r="E1112" s="33" t="n"/>
      <c r="F1112" s="33">
        <f>E1112*0.05</f>
        <v/>
      </c>
      <c r="G1112" s="33">
        <f>E1112+F1112</f>
        <v/>
      </c>
      <c r="H1112" s="33" t="n"/>
      <c r="I1112" s="33" t="n"/>
      <c r="J1112" s="33" t="n"/>
      <c r="K1112" s="33">
        <f>L1112+M1112+N1112</f>
        <v/>
      </c>
      <c r="L1112" s="33" t="n"/>
      <c r="M1112" s="33" t="n"/>
      <c r="N1112" s="33" t="n"/>
      <c r="O1112" s="33">
        <f>P1112+Q1112</f>
        <v/>
      </c>
      <c r="P1112" s="33" t="n"/>
      <c r="Q1112" s="33" t="n"/>
      <c r="R1112" s="33">
        <f>H1112+K1112-O1112</f>
        <v/>
      </c>
      <c r="S1112" s="33" t="n"/>
      <c r="T1112" s="33" t="n"/>
      <c r="U1112" s="33" t="n"/>
      <c r="V1112" s="33" t="n"/>
      <c r="W1112" s="33" t="n"/>
      <c r="X1112" s="33" t="n"/>
      <c r="Y1112" s="33" t="n"/>
      <c r="Z1112" s="33" t="n"/>
      <c r="AA1112" s="4">
        <f>R1112-G1112</f>
        <v/>
      </c>
      <c r="AB1112" s="4">
        <f>G1112-R1112</f>
        <v/>
      </c>
      <c r="AC1112" s="33" t="n"/>
    </row>
    <row r="1113" ht="18.75" customHeight="1">
      <c r="A1113" s="35">
        <f>SUBTOTAL(103,$B$24:B1113)</f>
        <v/>
      </c>
      <c r="B1113" s="36" t="inlineStr">
        <is>
          <t>Машини багатоопераційні</t>
        </is>
      </c>
      <c r="C1113" s="37" t="inlineStr">
        <is>
          <t>к-т</t>
        </is>
      </c>
      <c r="D1113" s="33" t="n"/>
      <c r="E1113" s="33" t="n"/>
      <c r="F1113" s="33">
        <f>E1113*0.05</f>
        <v/>
      </c>
      <c r="G1113" s="33">
        <f>E1113+F1113</f>
        <v/>
      </c>
      <c r="H1113" s="33" t="n"/>
      <c r="I1113" s="33" t="n"/>
      <c r="J1113" s="33" t="n"/>
      <c r="K1113" s="33">
        <f>L1113+M1113+N1113</f>
        <v/>
      </c>
      <c r="L1113" s="33" t="n"/>
      <c r="M1113" s="33" t="n"/>
      <c r="N1113" s="33" t="n"/>
      <c r="O1113" s="33">
        <f>P1113+Q1113</f>
        <v/>
      </c>
      <c r="P1113" s="33" t="n"/>
      <c r="Q1113" s="33" t="n"/>
      <c r="R1113" s="33">
        <f>H1113+K1113-O1113</f>
        <v/>
      </c>
      <c r="S1113" s="33" t="n"/>
      <c r="T1113" s="33" t="n"/>
      <c r="U1113" s="33" t="n"/>
      <c r="V1113" s="33" t="n"/>
      <c r="W1113" s="33" t="n"/>
      <c r="X1113" s="33" t="n"/>
      <c r="Y1113" s="33" t="n"/>
      <c r="Z1113" s="33" t="n"/>
      <c r="AA1113" s="4">
        <f>R1113-G1113</f>
        <v/>
      </c>
      <c r="AB1113" s="4">
        <f>G1113-R1113</f>
        <v/>
      </c>
      <c r="AC1113" s="33" t="n"/>
    </row>
    <row r="1114" ht="18.75" customHeight="1">
      <c r="A1114" s="35">
        <f>SUBTOTAL(103,$B$24:B1114)</f>
        <v/>
      </c>
      <c r="B1114" s="39" t="inlineStr">
        <is>
          <t>МАШИНИ ШИНКУВАЛЬНІ</t>
        </is>
      </c>
      <c r="C1114" s="37" t="n"/>
      <c r="D1114" s="33" t="n"/>
      <c r="E1114" s="33" t="n"/>
      <c r="F1114" s="33">
        <f>E1114*0.05</f>
        <v/>
      </c>
      <c r="G1114" s="33">
        <f>E1114+F1114</f>
        <v/>
      </c>
      <c r="H1114" s="33" t="n"/>
      <c r="I1114" s="33" t="n"/>
      <c r="J1114" s="33" t="n"/>
      <c r="K1114" s="33">
        <f>L1114+M1114+N1114</f>
        <v/>
      </c>
      <c r="L1114" s="33" t="n"/>
      <c r="M1114" s="33" t="n"/>
      <c r="N1114" s="33" t="n"/>
      <c r="O1114" s="33">
        <f>P1114+Q1114</f>
        <v/>
      </c>
      <c r="P1114" s="33" t="n"/>
      <c r="Q1114" s="33" t="n"/>
      <c r="R1114" s="33">
        <f>H1114+K1114-O1114</f>
        <v/>
      </c>
      <c r="S1114" s="33" t="n"/>
      <c r="T1114" s="33" t="n"/>
      <c r="U1114" s="33" t="n"/>
      <c r="V1114" s="33" t="n"/>
      <c r="W1114" s="33" t="n"/>
      <c r="X1114" s="33" t="n"/>
      <c r="Y1114" s="33" t="n"/>
      <c r="Z1114" s="33" t="n"/>
      <c r="AA1114" s="4">
        <f>R1114-G1114</f>
        <v/>
      </c>
      <c r="AB1114" s="4">
        <f>G1114-R1114</f>
        <v/>
      </c>
      <c r="AC1114" s="33" t="n"/>
    </row>
    <row r="1115" ht="18.75" customHeight="1">
      <c r="A1115" s="35">
        <f>SUBTOTAL(103,$B$24:B1115)</f>
        <v/>
      </c>
      <c r="B1115" s="36" t="inlineStr">
        <is>
          <t>Машина шинкувальна МШ-1000</t>
        </is>
      </c>
      <c r="C1115" s="37" t="inlineStr">
        <is>
          <t>к-т</t>
        </is>
      </c>
      <c r="D1115" s="33" t="n"/>
      <c r="E1115" s="33" t="n"/>
      <c r="F1115" s="33">
        <f>E1115*0.05</f>
        <v/>
      </c>
      <c r="G1115" s="33">
        <f>E1115+F1115</f>
        <v/>
      </c>
      <c r="H1115" s="33" t="n"/>
      <c r="I1115" s="33" t="n"/>
      <c r="J1115" s="33" t="n"/>
      <c r="K1115" s="33">
        <f>L1115+M1115+N1115</f>
        <v/>
      </c>
      <c r="L1115" s="33" t="n"/>
      <c r="M1115" s="33" t="n"/>
      <c r="N1115" s="33" t="n"/>
      <c r="O1115" s="33">
        <f>P1115+Q1115</f>
        <v/>
      </c>
      <c r="P1115" s="33" t="n"/>
      <c r="Q1115" s="33" t="n"/>
      <c r="R1115" s="33">
        <f>H1115+K1115-O1115</f>
        <v/>
      </c>
      <c r="S1115" s="33" t="n"/>
      <c r="T1115" s="33" t="n"/>
      <c r="U1115" s="33" t="n"/>
      <c r="V1115" s="33" t="n"/>
      <c r="W1115" s="33" t="n"/>
      <c r="X1115" s="33" t="n"/>
      <c r="Y1115" s="33" t="n"/>
      <c r="Z1115" s="33" t="n"/>
      <c r="AA1115" s="4">
        <f>R1115-G1115</f>
        <v/>
      </c>
      <c r="AB1115" s="4">
        <f>G1115-R1115</f>
        <v/>
      </c>
      <c r="AC1115" s="33" t="n"/>
    </row>
    <row r="1116" ht="18.75" customHeight="1">
      <c r="A1116" s="35">
        <f>SUBTOTAL(103,$B$24:B1116)</f>
        <v/>
      </c>
      <c r="B1116" s="36" t="inlineStr">
        <is>
          <t>Машини шинкувальні інші</t>
        </is>
      </c>
      <c r="C1116" s="37" t="inlineStr">
        <is>
          <t>к-т</t>
        </is>
      </c>
      <c r="D1116" s="33" t="n"/>
      <c r="E1116" s="33" t="n"/>
      <c r="F1116" s="33">
        <f>E1116*0.05</f>
        <v/>
      </c>
      <c r="G1116" s="33">
        <f>E1116+F1116</f>
        <v/>
      </c>
      <c r="H1116" s="33" t="n"/>
      <c r="I1116" s="33" t="n"/>
      <c r="J1116" s="33" t="n"/>
      <c r="K1116" s="33">
        <f>L1116+M1116+N1116</f>
        <v/>
      </c>
      <c r="L1116" s="33" t="n"/>
      <c r="M1116" s="33" t="n"/>
      <c r="N1116" s="33" t="n"/>
      <c r="O1116" s="33">
        <f>P1116+Q1116</f>
        <v/>
      </c>
      <c r="P1116" s="33" t="n"/>
      <c r="Q1116" s="33" t="n"/>
      <c r="R1116" s="33">
        <f>H1116+K1116-O1116</f>
        <v/>
      </c>
      <c r="S1116" s="33" t="n"/>
      <c r="T1116" s="33" t="n"/>
      <c r="U1116" s="33" t="n"/>
      <c r="V1116" s="33" t="n"/>
      <c r="W1116" s="33" t="n"/>
      <c r="X1116" s="33" t="n"/>
      <c r="Y1116" s="33" t="n"/>
      <c r="Z1116" s="33" t="n"/>
      <c r="AA1116" s="4">
        <f>R1116-G1116</f>
        <v/>
      </c>
      <c r="AB1116" s="4">
        <f>G1116-R1116</f>
        <v/>
      </c>
      <c r="AC1116" s="33" t="n"/>
    </row>
    <row r="1117" ht="18.75" customHeight="1">
      <c r="A1117" s="35">
        <f>SUBTOTAL(103,$B$24:B1117)</f>
        <v/>
      </c>
      <c r="B1117" s="39" t="inlineStr">
        <is>
          <t>ХЛІБОРІЗКА МЕХАНІЧНА</t>
        </is>
      </c>
      <c r="C1117" s="37" t="inlineStr">
        <is>
          <t>к-т</t>
        </is>
      </c>
      <c r="D1117" s="33" t="n"/>
      <c r="E1117" s="33" t="n"/>
      <c r="F1117" s="33">
        <f>E1117*0.05</f>
        <v/>
      </c>
      <c r="G1117" s="33">
        <f>E1117+F1117</f>
        <v/>
      </c>
      <c r="H1117" s="33" t="n"/>
      <c r="I1117" s="33" t="n"/>
      <c r="J1117" s="33" t="n"/>
      <c r="K1117" s="33">
        <f>L1117+M1117+N1117</f>
        <v/>
      </c>
      <c r="L1117" s="33" t="n"/>
      <c r="M1117" s="33" t="n"/>
      <c r="N1117" s="33" t="n"/>
      <c r="O1117" s="33">
        <f>P1117+Q1117</f>
        <v/>
      </c>
      <c r="P1117" s="33" t="n"/>
      <c r="Q1117" s="33" t="n"/>
      <c r="R1117" s="33">
        <f>H1117+K1117-O1117</f>
        <v/>
      </c>
      <c r="S1117" s="33" t="n"/>
      <c r="T1117" s="33" t="n"/>
      <c r="U1117" s="33" t="n"/>
      <c r="V1117" s="33" t="n"/>
      <c r="W1117" s="33" t="n"/>
      <c r="X1117" s="33" t="n"/>
      <c r="Y1117" s="33" t="n"/>
      <c r="Z1117" s="33" t="n"/>
      <c r="AA1117" s="4">
        <f>R1117-G1117</f>
        <v/>
      </c>
      <c r="AB1117" s="4">
        <f>G1117-R1117</f>
        <v/>
      </c>
      <c r="AC1117" s="33" t="n"/>
    </row>
    <row r="1118" ht="37.5" customHeight="1">
      <c r="A1118" s="35">
        <f>SUBTOTAL(103,$B$24:B1118)</f>
        <v/>
      </c>
      <c r="B1118" s="36" t="inlineStr">
        <is>
          <t>Хліборізка механічна 200-300 нар/год (TR-31)</t>
        </is>
      </c>
      <c r="C1118" s="37" t="inlineStr">
        <is>
          <t>к-т</t>
        </is>
      </c>
      <c r="D1118" s="33" t="n"/>
      <c r="E1118" s="33" t="n"/>
      <c r="F1118" s="33">
        <f>E1118*0.05</f>
        <v/>
      </c>
      <c r="G1118" s="33">
        <f>E1118+F1118</f>
        <v/>
      </c>
      <c r="H1118" s="33" t="n"/>
      <c r="I1118" s="33" t="n"/>
      <c r="J1118" s="33" t="n"/>
      <c r="K1118" s="33">
        <f>L1118+M1118+N1118</f>
        <v/>
      </c>
      <c r="L1118" s="33" t="n"/>
      <c r="M1118" s="33" t="n"/>
      <c r="N1118" s="33" t="n"/>
      <c r="O1118" s="33">
        <f>P1118+Q1118</f>
        <v/>
      </c>
      <c r="P1118" s="33" t="n"/>
      <c r="Q1118" s="33" t="n"/>
      <c r="R1118" s="33">
        <f>H1118+K1118-O1118</f>
        <v/>
      </c>
      <c r="S1118" s="33" t="n"/>
      <c r="T1118" s="33" t="n"/>
      <c r="U1118" s="33" t="n"/>
      <c r="V1118" s="33" t="n"/>
      <c r="W1118" s="33" t="n"/>
      <c r="X1118" s="33" t="n"/>
      <c r="Y1118" s="33" t="n"/>
      <c r="Z1118" s="33" t="n"/>
      <c r="AA1118" s="4">
        <f>R1118-G1118</f>
        <v/>
      </c>
      <c r="AB1118" s="4">
        <f>G1118-R1118</f>
        <v/>
      </c>
      <c r="AC1118" s="33" t="n"/>
    </row>
    <row r="1119" ht="18.75" customHeight="1">
      <c r="A1119" s="35">
        <f>SUBTOTAL(103,$B$24:B1119)</f>
        <v/>
      </c>
      <c r="B1119" s="36" t="inlineStr">
        <is>
          <t>Хліборізка механічна 500 кг/год</t>
        </is>
      </c>
      <c r="C1119" s="37" t="inlineStr">
        <is>
          <t>к-т</t>
        </is>
      </c>
      <c r="D1119" s="33" t="n"/>
      <c r="E1119" s="33" t="n"/>
      <c r="F1119" s="33">
        <f>E1119*0.05</f>
        <v/>
      </c>
      <c r="G1119" s="33">
        <f>E1119+F1119</f>
        <v/>
      </c>
      <c r="H1119" s="33" t="n"/>
      <c r="I1119" s="33" t="n"/>
      <c r="J1119" s="33" t="n"/>
      <c r="K1119" s="33">
        <f>L1119+M1119+N1119</f>
        <v/>
      </c>
      <c r="L1119" s="33" t="n"/>
      <c r="M1119" s="33" t="n"/>
      <c r="N1119" s="33" t="n"/>
      <c r="O1119" s="33">
        <f>P1119+Q1119</f>
        <v/>
      </c>
      <c r="P1119" s="33" t="n"/>
      <c r="Q1119" s="33" t="n"/>
      <c r="R1119" s="33">
        <f>H1119+K1119-O1119</f>
        <v/>
      </c>
      <c r="S1119" s="33" t="n"/>
      <c r="T1119" s="33" t="n"/>
      <c r="U1119" s="33" t="n"/>
      <c r="V1119" s="33" t="n"/>
      <c r="W1119" s="33" t="n"/>
      <c r="X1119" s="33" t="n"/>
      <c r="Y1119" s="33" t="n"/>
      <c r="Z1119" s="33" t="n"/>
      <c r="AA1119" s="4">
        <f>R1119-G1119</f>
        <v/>
      </c>
      <c r="AB1119" s="4">
        <f>G1119-R1119</f>
        <v/>
      </c>
      <c r="AC1119" s="33" t="n"/>
    </row>
    <row r="1120" ht="37.5" customHeight="1">
      <c r="A1120" s="35">
        <f>SUBTOTAL(103,$B$24:B1120)</f>
        <v/>
      </c>
      <c r="B1120" s="36" t="inlineStr">
        <is>
          <t>Хліборізка механічна 301-500 нар/год (Empero EMP.3001)</t>
        </is>
      </c>
      <c r="C1120" s="37" t="inlineStr">
        <is>
          <t>к-т</t>
        </is>
      </c>
      <c r="D1120" s="33" t="n"/>
      <c r="E1120" s="33" t="n"/>
      <c r="F1120" s="33">
        <f>E1120*0.05</f>
        <v/>
      </c>
      <c r="G1120" s="33">
        <f>E1120+F1120</f>
        <v/>
      </c>
      <c r="H1120" s="33" t="n"/>
      <c r="I1120" s="33" t="n"/>
      <c r="J1120" s="33" t="n"/>
      <c r="K1120" s="33">
        <f>L1120+M1120+N1120</f>
        <v/>
      </c>
      <c r="L1120" s="33" t="n"/>
      <c r="M1120" s="33" t="n"/>
      <c r="N1120" s="33" t="n"/>
      <c r="O1120" s="33">
        <f>P1120+Q1120</f>
        <v/>
      </c>
      <c r="P1120" s="33" t="n"/>
      <c r="Q1120" s="33" t="n"/>
      <c r="R1120" s="33">
        <f>H1120+K1120-O1120</f>
        <v/>
      </c>
      <c r="S1120" s="33" t="n"/>
      <c r="T1120" s="33" t="n"/>
      <c r="U1120" s="33" t="n"/>
      <c r="V1120" s="33" t="n"/>
      <c r="W1120" s="33" t="n"/>
      <c r="X1120" s="33" t="n"/>
      <c r="Y1120" s="33" t="n"/>
      <c r="Z1120" s="33" t="n"/>
      <c r="AA1120" s="4">
        <f>R1120-G1120</f>
        <v/>
      </c>
      <c r="AB1120" s="4">
        <f>G1120-R1120</f>
        <v/>
      </c>
      <c r="AC1120" s="33" t="n"/>
    </row>
    <row r="1121" ht="37.5" customHeight="1">
      <c r="A1121" s="35">
        <f>SUBTOTAL(103,$B$24:B1121)</f>
        <v/>
      </c>
      <c r="B1121" s="36" t="inlineStr">
        <is>
          <t>Хліборізка механічна 501-1000 нар/год (Empero EMP.3001)</t>
        </is>
      </c>
      <c r="C1121" s="37" t="inlineStr">
        <is>
          <t>к-т</t>
        </is>
      </c>
      <c r="D1121" s="33" t="n"/>
      <c r="E1121" s="33" t="n"/>
      <c r="F1121" s="33">
        <f>E1121*0.05</f>
        <v/>
      </c>
      <c r="G1121" s="33">
        <f>E1121+F1121</f>
        <v/>
      </c>
      <c r="H1121" s="33" t="n"/>
      <c r="I1121" s="33" t="n"/>
      <c r="J1121" s="33" t="n"/>
      <c r="K1121" s="33">
        <f>L1121+M1121+N1121</f>
        <v/>
      </c>
      <c r="L1121" s="33" t="n"/>
      <c r="M1121" s="33" t="n"/>
      <c r="N1121" s="33" t="n"/>
      <c r="O1121" s="33">
        <f>P1121+Q1121</f>
        <v/>
      </c>
      <c r="P1121" s="33" t="n"/>
      <c r="Q1121" s="33" t="n"/>
      <c r="R1121" s="33">
        <f>H1121+K1121-O1121</f>
        <v/>
      </c>
      <c r="S1121" s="33" t="n"/>
      <c r="T1121" s="33" t="n"/>
      <c r="U1121" s="33" t="n"/>
      <c r="V1121" s="33" t="n"/>
      <c r="W1121" s="33" t="n"/>
      <c r="X1121" s="33" t="n"/>
      <c r="Y1121" s="33" t="n"/>
      <c r="Z1121" s="33" t="n"/>
      <c r="AA1121" s="4">
        <f>R1121-G1121</f>
        <v/>
      </c>
      <c r="AB1121" s="4">
        <f>G1121-R1121</f>
        <v/>
      </c>
      <c r="AC1121" s="33" t="n"/>
    </row>
    <row r="1122" ht="37.5" customHeight="1">
      <c r="A1122" s="35">
        <f>SUBTOTAL(103,$B$24:B1122)</f>
        <v/>
      </c>
      <c r="B1122" s="36" t="inlineStr">
        <is>
          <t>Хліборізка механічна 501-1000 нар/год (DLM740M)</t>
        </is>
      </c>
      <c r="C1122" s="37" t="inlineStr">
        <is>
          <t>к-т</t>
        </is>
      </c>
      <c r="D1122" s="33" t="n"/>
      <c r="E1122" s="33" t="n"/>
      <c r="F1122" s="33">
        <f>E1122*0.05</f>
        <v/>
      </c>
      <c r="G1122" s="33">
        <f>E1122+F1122</f>
        <v/>
      </c>
      <c r="H1122" s="33" t="n"/>
      <c r="I1122" s="33" t="n"/>
      <c r="J1122" s="33" t="n"/>
      <c r="K1122" s="33">
        <f>L1122+M1122+N1122</f>
        <v/>
      </c>
      <c r="L1122" s="33" t="n"/>
      <c r="M1122" s="33" t="n"/>
      <c r="N1122" s="33" t="n"/>
      <c r="O1122" s="33">
        <f>P1122+Q1122</f>
        <v/>
      </c>
      <c r="P1122" s="33" t="n"/>
      <c r="Q1122" s="33" t="n"/>
      <c r="R1122" s="33">
        <f>H1122+K1122-O1122</f>
        <v/>
      </c>
      <c r="S1122" s="33" t="n"/>
      <c r="T1122" s="33" t="n"/>
      <c r="U1122" s="33" t="n"/>
      <c r="V1122" s="33" t="n"/>
      <c r="W1122" s="33" t="n"/>
      <c r="X1122" s="33" t="n"/>
      <c r="Y1122" s="33" t="n"/>
      <c r="Z1122" s="33" t="n"/>
      <c r="AA1122" s="4">
        <f>R1122-G1122</f>
        <v/>
      </c>
      <c r="AB1122" s="4">
        <f>G1122-R1122</f>
        <v/>
      </c>
      <c r="AC1122" s="33" t="n"/>
    </row>
    <row r="1123" ht="18.75" customHeight="1">
      <c r="A1123" s="35">
        <f>SUBTOTAL(103,$B$24:B1123)</f>
        <v/>
      </c>
      <c r="B1123" s="36" t="inlineStr">
        <is>
          <t>Хліборізка механічна АХМ-300</t>
        </is>
      </c>
      <c r="C1123" s="37" t="inlineStr">
        <is>
          <t>к-т</t>
        </is>
      </c>
      <c r="D1123" s="33" t="n"/>
      <c r="E1123" s="33" t="n"/>
      <c r="F1123" s="33">
        <f>E1123*0.05</f>
        <v/>
      </c>
      <c r="G1123" s="33">
        <f>E1123+F1123</f>
        <v/>
      </c>
      <c r="H1123" s="33" t="n"/>
      <c r="I1123" s="33" t="n"/>
      <c r="J1123" s="33" t="n"/>
      <c r="K1123" s="33">
        <f>L1123+M1123+N1123</f>
        <v/>
      </c>
      <c r="L1123" s="33" t="n"/>
      <c r="M1123" s="33" t="n"/>
      <c r="N1123" s="33" t="n"/>
      <c r="O1123" s="33">
        <f>P1123+Q1123</f>
        <v/>
      </c>
      <c r="P1123" s="33" t="n"/>
      <c r="Q1123" s="33" t="n"/>
      <c r="R1123" s="33">
        <f>H1123+K1123-O1123</f>
        <v/>
      </c>
      <c r="S1123" s="33" t="n"/>
      <c r="T1123" s="33" t="n"/>
      <c r="U1123" s="33" t="n"/>
      <c r="V1123" s="33" t="n"/>
      <c r="W1123" s="33" t="n"/>
      <c r="X1123" s="33" t="n"/>
      <c r="Y1123" s="33" t="n"/>
      <c r="Z1123" s="33" t="n"/>
      <c r="AA1123" s="4">
        <f>R1123-G1123</f>
        <v/>
      </c>
      <c r="AB1123" s="4">
        <f>G1123-R1123</f>
        <v/>
      </c>
      <c r="AC1123" s="33" t="n"/>
    </row>
    <row r="1124" ht="18.75" customHeight="1">
      <c r="A1124" s="35">
        <f>SUBTOTAL(103,$B$24:B1124)</f>
        <v/>
      </c>
      <c r="B1124" s="36" t="inlineStr">
        <is>
          <t>Хліборізка механічна АХМ-200</t>
        </is>
      </c>
      <c r="C1124" s="37" t="inlineStr">
        <is>
          <t>к-т</t>
        </is>
      </c>
      <c r="D1124" s="33" t="n"/>
      <c r="E1124" s="33" t="n"/>
      <c r="F1124" s="33">
        <f>E1124*0.05</f>
        <v/>
      </c>
      <c r="G1124" s="33">
        <f>E1124+F1124</f>
        <v/>
      </c>
      <c r="H1124" s="33" t="n"/>
      <c r="I1124" s="33" t="n"/>
      <c r="J1124" s="33" t="n"/>
      <c r="K1124" s="33">
        <f>L1124+M1124+N1124</f>
        <v/>
      </c>
      <c r="L1124" s="33" t="n"/>
      <c r="M1124" s="33" t="n"/>
      <c r="N1124" s="33" t="n"/>
      <c r="O1124" s="33">
        <f>P1124+Q1124</f>
        <v/>
      </c>
      <c r="P1124" s="33" t="n"/>
      <c r="Q1124" s="33" t="n"/>
      <c r="R1124" s="33">
        <f>H1124+K1124-O1124</f>
        <v/>
      </c>
      <c r="S1124" s="33" t="n"/>
      <c r="T1124" s="33" t="n"/>
      <c r="U1124" s="33" t="n"/>
      <c r="V1124" s="33" t="n"/>
      <c r="W1124" s="33" t="n"/>
      <c r="X1124" s="33" t="n"/>
      <c r="Y1124" s="33" t="n"/>
      <c r="Z1124" s="33" t="n"/>
      <c r="AA1124" s="4">
        <f>R1124-G1124</f>
        <v/>
      </c>
      <c r="AB1124" s="4">
        <f>G1124-R1124</f>
        <v/>
      </c>
      <c r="AC1124" s="33" t="n"/>
    </row>
    <row r="1125" ht="18.75" customHeight="1">
      <c r="A1125" s="35">
        <f>SUBTOTAL(103,$B$24:B1125)</f>
        <v/>
      </c>
      <c r="B1125" s="36" t="inlineStr">
        <is>
          <t>Хліборізка механічна Empero EMP.3001</t>
        </is>
      </c>
      <c r="C1125" s="37" t="inlineStr">
        <is>
          <t>к-т</t>
        </is>
      </c>
      <c r="D1125" s="33" t="n"/>
      <c r="E1125" s="33" t="n"/>
      <c r="F1125" s="33">
        <f>E1125*0.05</f>
        <v/>
      </c>
      <c r="G1125" s="33">
        <f>E1125+F1125</f>
        <v/>
      </c>
      <c r="H1125" s="33" t="n"/>
      <c r="I1125" s="33" t="n"/>
      <c r="J1125" s="33" t="n"/>
      <c r="K1125" s="33">
        <f>L1125+M1125+N1125</f>
        <v/>
      </c>
      <c r="L1125" s="33" t="n"/>
      <c r="M1125" s="33" t="n"/>
      <c r="N1125" s="33" t="n"/>
      <c r="O1125" s="33">
        <f>P1125+Q1125</f>
        <v/>
      </c>
      <c r="P1125" s="33" t="n"/>
      <c r="Q1125" s="33" t="n"/>
      <c r="R1125" s="33">
        <f>H1125+K1125-O1125</f>
        <v/>
      </c>
      <c r="S1125" s="33" t="n"/>
      <c r="T1125" s="33" t="n"/>
      <c r="U1125" s="33" t="n"/>
      <c r="V1125" s="33" t="n"/>
      <c r="W1125" s="33" t="n"/>
      <c r="X1125" s="33" t="n"/>
      <c r="Y1125" s="33" t="n"/>
      <c r="Z1125" s="33" t="n"/>
      <c r="AA1125" s="4">
        <f>R1125-G1125</f>
        <v/>
      </c>
      <c r="AB1125" s="4">
        <f>G1125-R1125</f>
        <v/>
      </c>
      <c r="AC1125" s="33" t="n"/>
    </row>
    <row r="1126" ht="18.75" customHeight="1">
      <c r="A1126" s="35">
        <f>SUBTOTAL(103,$B$24:B1126)</f>
        <v/>
      </c>
      <c r="B1126" s="36" t="inlineStr">
        <is>
          <t>Хліборізка механічна МХР-180</t>
        </is>
      </c>
      <c r="C1126" s="37" t="inlineStr">
        <is>
          <t>к-т</t>
        </is>
      </c>
      <c r="D1126" s="33" t="n"/>
      <c r="E1126" s="33" t="n"/>
      <c r="F1126" s="33">
        <f>E1126*0.05</f>
        <v/>
      </c>
      <c r="G1126" s="33">
        <f>E1126+F1126</f>
        <v/>
      </c>
      <c r="H1126" s="33" t="n"/>
      <c r="I1126" s="33" t="n"/>
      <c r="J1126" s="33" t="n"/>
      <c r="K1126" s="33">
        <f>L1126+M1126+N1126</f>
        <v/>
      </c>
      <c r="L1126" s="33" t="n"/>
      <c r="M1126" s="33" t="n"/>
      <c r="N1126" s="33" t="n"/>
      <c r="O1126" s="33">
        <f>P1126+Q1126</f>
        <v/>
      </c>
      <c r="P1126" s="33" t="n"/>
      <c r="Q1126" s="33" t="n"/>
      <c r="R1126" s="33">
        <f>H1126+K1126-O1126</f>
        <v/>
      </c>
      <c r="S1126" s="33" t="n"/>
      <c r="T1126" s="33" t="n"/>
      <c r="U1126" s="33" t="n"/>
      <c r="V1126" s="33" t="n"/>
      <c r="W1126" s="33" t="n"/>
      <c r="X1126" s="33" t="n"/>
      <c r="Y1126" s="33" t="n"/>
      <c r="Z1126" s="33" t="n"/>
      <c r="AA1126" s="4">
        <f>R1126-G1126</f>
        <v/>
      </c>
      <c r="AB1126" s="4">
        <f>G1126-R1126</f>
        <v/>
      </c>
      <c r="AC1126" s="33" t="n"/>
    </row>
    <row r="1127" ht="18.75" customHeight="1">
      <c r="A1127" s="35">
        <f>SUBTOTAL(103,$B$24:B1127)</f>
        <v/>
      </c>
      <c r="B1127" s="36" t="inlineStr">
        <is>
          <t>Хліборізка механічна МХР-200</t>
        </is>
      </c>
      <c r="C1127" s="37" t="inlineStr">
        <is>
          <t>к-т</t>
        </is>
      </c>
      <c r="D1127" s="33" t="n"/>
      <c r="E1127" s="33" t="n"/>
      <c r="F1127" s="33">
        <f>E1127*0.05</f>
        <v/>
      </c>
      <c r="G1127" s="33">
        <f>E1127+F1127</f>
        <v/>
      </c>
      <c r="H1127" s="33" t="n"/>
      <c r="I1127" s="33" t="n"/>
      <c r="J1127" s="33" t="n"/>
      <c r="K1127" s="33">
        <f>L1127+M1127+N1127</f>
        <v/>
      </c>
      <c r="L1127" s="33" t="n"/>
      <c r="M1127" s="33" t="n"/>
      <c r="N1127" s="33" t="n"/>
      <c r="O1127" s="33">
        <f>P1127+Q1127</f>
        <v/>
      </c>
      <c r="P1127" s="33" t="n"/>
      <c r="Q1127" s="33" t="n"/>
      <c r="R1127" s="33">
        <f>H1127+K1127-O1127</f>
        <v/>
      </c>
      <c r="S1127" s="33" t="n"/>
      <c r="T1127" s="33" t="n"/>
      <c r="U1127" s="33" t="n"/>
      <c r="V1127" s="33" t="n"/>
      <c r="W1127" s="33" t="n"/>
      <c r="X1127" s="33" t="n"/>
      <c r="Y1127" s="33" t="n"/>
      <c r="Z1127" s="33" t="n"/>
      <c r="AA1127" s="4">
        <f>R1127-G1127</f>
        <v/>
      </c>
      <c r="AB1127" s="4">
        <f>G1127-R1127</f>
        <v/>
      </c>
      <c r="AC1127" s="33" t="n"/>
    </row>
    <row r="1128" ht="37.5" customHeight="1">
      <c r="A1128" s="35">
        <f>SUBTOTAL(103,$B$24:B1128)</f>
        <v/>
      </c>
      <c r="B1128" s="36" t="inlineStr">
        <is>
          <t>Хліборізка механічна 301-500 нар/год GoodFood BS12T31</t>
        </is>
      </c>
      <c r="C1128" s="37" t="inlineStr">
        <is>
          <t>к-т</t>
        </is>
      </c>
      <c r="D1128" s="33" t="n"/>
      <c r="E1128" s="33" t="n"/>
      <c r="F1128" s="33">
        <f>E1128*0.05</f>
        <v/>
      </c>
      <c r="G1128" s="33">
        <f>E1128+F1128</f>
        <v/>
      </c>
      <c r="H1128" s="33" t="n"/>
      <c r="I1128" s="33" t="n"/>
      <c r="J1128" s="33" t="n"/>
      <c r="K1128" s="33">
        <f>L1128+M1128+N1128</f>
        <v/>
      </c>
      <c r="L1128" s="33" t="n"/>
      <c r="M1128" s="33" t="n"/>
      <c r="N1128" s="33" t="n"/>
      <c r="O1128" s="33">
        <f>P1128+Q1128</f>
        <v/>
      </c>
      <c r="P1128" s="33" t="n"/>
      <c r="Q1128" s="33" t="n"/>
      <c r="R1128" s="33">
        <f>H1128+K1128-O1128</f>
        <v/>
      </c>
      <c r="S1128" s="33" t="n"/>
      <c r="T1128" s="33" t="n"/>
      <c r="U1128" s="33" t="n"/>
      <c r="V1128" s="33" t="n"/>
      <c r="W1128" s="33" t="n"/>
      <c r="X1128" s="33" t="n"/>
      <c r="Y1128" s="33" t="n"/>
      <c r="Z1128" s="33" t="n"/>
      <c r="AA1128" s="4">
        <f>R1128-G1128</f>
        <v/>
      </c>
      <c r="AB1128" s="4">
        <f>G1128-R1128</f>
        <v/>
      </c>
      <c r="AC1128" s="33" t="n"/>
    </row>
    <row r="1129" ht="18.75" customHeight="1">
      <c r="A1129" s="35">
        <f>SUBTOTAL(103,$B$24:B1129)</f>
        <v/>
      </c>
      <c r="B1129" s="36" t="inlineStr">
        <is>
          <t>Хліборізка механічна інші</t>
        </is>
      </c>
      <c r="C1129" s="37" t="inlineStr">
        <is>
          <t>к-т</t>
        </is>
      </c>
      <c r="D1129" s="33" t="n"/>
      <c r="E1129" s="33" t="n"/>
      <c r="F1129" s="33">
        <f>E1129*0.05</f>
        <v/>
      </c>
      <c r="G1129" s="33">
        <f>E1129+F1129</f>
        <v/>
      </c>
      <c r="H1129" s="33" t="n"/>
      <c r="I1129" s="33" t="n"/>
      <c r="J1129" s="33" t="n"/>
      <c r="K1129" s="33">
        <f>L1129+M1129+N1129</f>
        <v/>
      </c>
      <c r="L1129" s="33" t="n"/>
      <c r="M1129" s="33" t="n"/>
      <c r="N1129" s="33" t="n"/>
      <c r="O1129" s="33">
        <f>P1129+Q1129</f>
        <v/>
      </c>
      <c r="P1129" s="33" t="n"/>
      <c r="Q1129" s="33" t="n"/>
      <c r="R1129" s="33">
        <f>H1129+K1129-O1129</f>
        <v/>
      </c>
      <c r="S1129" s="33" t="n"/>
      <c r="T1129" s="33" t="n"/>
      <c r="U1129" s="33" t="n"/>
      <c r="V1129" s="33" t="n"/>
      <c r="W1129" s="33" t="n"/>
      <c r="X1129" s="33" t="n"/>
      <c r="Y1129" s="33" t="n"/>
      <c r="Z1129" s="33" t="n"/>
      <c r="AA1129" s="4">
        <f>R1129-G1129</f>
        <v/>
      </c>
      <c r="AB1129" s="4">
        <f>G1129-R1129</f>
        <v/>
      </c>
      <c r="AC1129" s="33" t="n"/>
    </row>
    <row r="1130" ht="18.75" customHeight="1">
      <c r="A1130" s="35">
        <f>SUBTOTAL(103,$B$24:B1130)</f>
        <v/>
      </c>
      <c r="B1130" s="36" t="inlineStr">
        <is>
          <t xml:space="preserve">Хліборізка ручна </t>
        </is>
      </c>
      <c r="C1130" s="37" t="n"/>
      <c r="D1130" s="33" t="n"/>
      <c r="E1130" s="33" t="n"/>
      <c r="F1130" s="33">
        <f>E1130*0.05</f>
        <v/>
      </c>
      <c r="G1130" s="33">
        <f>E1130+F1130</f>
        <v/>
      </c>
      <c r="H1130" s="33" t="n"/>
      <c r="I1130" s="33" t="n"/>
      <c r="J1130" s="33" t="n"/>
      <c r="K1130" s="33">
        <f>L1130+M1130+N1130</f>
        <v/>
      </c>
      <c r="L1130" s="33" t="n"/>
      <c r="M1130" s="33" t="n"/>
      <c r="N1130" s="33" t="n"/>
      <c r="O1130" s="33">
        <f>P1130+Q1130</f>
        <v/>
      </c>
      <c r="P1130" s="33" t="n"/>
      <c r="Q1130" s="33" t="n"/>
      <c r="R1130" s="33">
        <f>H1130+K1130-O1130</f>
        <v/>
      </c>
      <c r="S1130" s="33" t="n"/>
      <c r="T1130" s="33" t="n"/>
      <c r="U1130" s="33" t="n"/>
      <c r="V1130" s="33" t="n"/>
      <c r="W1130" s="33" t="n"/>
      <c r="X1130" s="33" t="n"/>
      <c r="Y1130" s="33" t="n"/>
      <c r="Z1130" s="33" t="n"/>
      <c r="AA1130" s="4">
        <f>R1130-G1130</f>
        <v/>
      </c>
      <c r="AB1130" s="4">
        <f>G1130-R1130</f>
        <v/>
      </c>
      <c r="AC1130" s="33" t="n"/>
    </row>
    <row r="1131" ht="37.5" customHeight="1">
      <c r="A1131" s="35">
        <f>SUBTOTAL(103,$B$24:B1131)</f>
        <v/>
      </c>
      <c r="B1131" s="39" t="inlineStr">
        <is>
          <t>МАШИНИ ГАСТРОНОМІЧНІ (СЛАЙСЕР)</t>
        </is>
      </c>
      <c r="C1131" s="37" t="n"/>
      <c r="D1131" s="33" t="n"/>
      <c r="E1131" s="33" t="n"/>
      <c r="F1131" s="33">
        <f>E1131*0.05</f>
        <v/>
      </c>
      <c r="G1131" s="33">
        <f>E1131+F1131</f>
        <v/>
      </c>
      <c r="H1131" s="33" t="n"/>
      <c r="I1131" s="33" t="n"/>
      <c r="J1131" s="33" t="n"/>
      <c r="K1131" s="33">
        <f>L1131+M1131+N1131</f>
        <v/>
      </c>
      <c r="L1131" s="33" t="n"/>
      <c r="M1131" s="33" t="n"/>
      <c r="N1131" s="33" t="n"/>
      <c r="O1131" s="33">
        <f>P1131+Q1131</f>
        <v/>
      </c>
      <c r="P1131" s="33" t="n"/>
      <c r="Q1131" s="33" t="n"/>
      <c r="R1131" s="33">
        <f>H1131+K1131-O1131</f>
        <v/>
      </c>
      <c r="S1131" s="33" t="n"/>
      <c r="T1131" s="33" t="n"/>
      <c r="U1131" s="33" t="n"/>
      <c r="V1131" s="33" t="n"/>
      <c r="W1131" s="33" t="n"/>
      <c r="X1131" s="33" t="n"/>
      <c r="Y1131" s="33" t="n"/>
      <c r="Z1131" s="33" t="n"/>
      <c r="AA1131" s="4">
        <f>R1131-G1131</f>
        <v/>
      </c>
      <c r="AB1131" s="4">
        <f>G1131-R1131</f>
        <v/>
      </c>
      <c r="AC1131" s="33" t="n"/>
    </row>
    <row r="1132" ht="37.5" customHeight="1">
      <c r="A1132" s="35">
        <f>SUBTOTAL(103,$B$24:B1132)</f>
        <v/>
      </c>
      <c r="B1132" s="36" t="inlineStr">
        <is>
          <t>Машина гастрономічна слайсер EWT INOX VS300A</t>
        </is>
      </c>
      <c r="C1132" s="37" t="inlineStr">
        <is>
          <t>к-т</t>
        </is>
      </c>
      <c r="D1132" s="33" t="n"/>
      <c r="E1132" s="33" t="n"/>
      <c r="F1132" s="33">
        <f>E1132*0.05</f>
        <v/>
      </c>
      <c r="G1132" s="33">
        <f>E1132+F1132</f>
        <v/>
      </c>
      <c r="H1132" s="33" t="n"/>
      <c r="I1132" s="33" t="n"/>
      <c r="J1132" s="33" t="n"/>
      <c r="K1132" s="33">
        <f>L1132+M1132+N1132</f>
        <v/>
      </c>
      <c r="L1132" s="33" t="n"/>
      <c r="M1132" s="33" t="n"/>
      <c r="N1132" s="33" t="n"/>
      <c r="O1132" s="33">
        <f>P1132+Q1132</f>
        <v/>
      </c>
      <c r="P1132" s="33" t="n"/>
      <c r="Q1132" s="33" t="n"/>
      <c r="R1132" s="33">
        <f>H1132+K1132-O1132</f>
        <v/>
      </c>
      <c r="S1132" s="33" t="n"/>
      <c r="T1132" s="33" t="n"/>
      <c r="U1132" s="33" t="n"/>
      <c r="V1132" s="33" t="n"/>
      <c r="W1132" s="33" t="n"/>
      <c r="X1132" s="33" t="n"/>
      <c r="Y1132" s="33" t="n"/>
      <c r="Z1132" s="33" t="n"/>
      <c r="AA1132" s="4">
        <f>R1132-G1132</f>
        <v/>
      </c>
      <c r="AB1132" s="4">
        <f>G1132-R1132</f>
        <v/>
      </c>
      <c r="AC1132" s="33" t="n"/>
    </row>
    <row r="1133" ht="18.75" customHeight="1">
      <c r="A1133" s="35">
        <f>SUBTOTAL(103,$B$24:B1133)</f>
        <v/>
      </c>
      <c r="B1133" s="36" t="inlineStr">
        <is>
          <t>Слайсер HURARAKAN HKN-HM220</t>
        </is>
      </c>
      <c r="C1133" s="37" t="inlineStr">
        <is>
          <t>к-т</t>
        </is>
      </c>
      <c r="D1133" s="33" t="n"/>
      <c r="E1133" s="33" t="n"/>
      <c r="F1133" s="33">
        <f>E1133*0.05</f>
        <v/>
      </c>
      <c r="G1133" s="33">
        <f>E1133+F1133</f>
        <v/>
      </c>
      <c r="H1133" s="33" t="n"/>
      <c r="I1133" s="33" t="n"/>
      <c r="J1133" s="33" t="n"/>
      <c r="K1133" s="33">
        <f>L1133+M1133+N1133</f>
        <v/>
      </c>
      <c r="L1133" s="33" t="n"/>
      <c r="M1133" s="33" t="n"/>
      <c r="N1133" s="33" t="n"/>
      <c r="O1133" s="33">
        <f>P1133+Q1133</f>
        <v/>
      </c>
      <c r="P1133" s="33" t="n"/>
      <c r="Q1133" s="33" t="n"/>
      <c r="R1133" s="33">
        <f>H1133+K1133-O1133</f>
        <v/>
      </c>
      <c r="S1133" s="33" t="n"/>
      <c r="T1133" s="33" t="n"/>
      <c r="U1133" s="33" t="n"/>
      <c r="V1133" s="33" t="n"/>
      <c r="W1133" s="33" t="n"/>
      <c r="X1133" s="33" t="n"/>
      <c r="Y1133" s="33" t="n"/>
      <c r="Z1133" s="33" t="n"/>
      <c r="AA1133" s="4">
        <f>R1133-G1133</f>
        <v/>
      </c>
      <c r="AB1133" s="4">
        <f>G1133-R1133</f>
        <v/>
      </c>
      <c r="AC1133" s="33" t="n"/>
    </row>
    <row r="1134" ht="18.75" customHeight="1">
      <c r="A1134" s="35">
        <f>SUBTOTAL(103,$B$24:B1134)</f>
        <v/>
      </c>
      <c r="B1134" s="36" t="inlineStr">
        <is>
          <t>Слайсер HURARAKAN HKN-HM250</t>
        </is>
      </c>
      <c r="C1134" s="37" t="inlineStr">
        <is>
          <t>к-т</t>
        </is>
      </c>
      <c r="D1134" s="33" t="n"/>
      <c r="E1134" s="33" t="n"/>
      <c r="F1134" s="33">
        <f>E1134*0.05</f>
        <v/>
      </c>
      <c r="G1134" s="33">
        <f>E1134+F1134</f>
        <v/>
      </c>
      <c r="H1134" s="33" t="n"/>
      <c r="I1134" s="33" t="n"/>
      <c r="J1134" s="33" t="n"/>
      <c r="K1134" s="33">
        <f>L1134+M1134+N1134</f>
        <v/>
      </c>
      <c r="L1134" s="33" t="n"/>
      <c r="M1134" s="33" t="n"/>
      <c r="N1134" s="33" t="n"/>
      <c r="O1134" s="33">
        <f>P1134+Q1134</f>
        <v/>
      </c>
      <c r="P1134" s="33" t="n"/>
      <c r="Q1134" s="33" t="n"/>
      <c r="R1134" s="33">
        <f>H1134+K1134-O1134</f>
        <v/>
      </c>
      <c r="S1134" s="33" t="n"/>
      <c r="T1134" s="33" t="n"/>
      <c r="U1134" s="33" t="n"/>
      <c r="V1134" s="33" t="n"/>
      <c r="W1134" s="33" t="n"/>
      <c r="X1134" s="33" t="n"/>
      <c r="Y1134" s="33" t="n"/>
      <c r="Z1134" s="33" t="n"/>
      <c r="AA1134" s="4">
        <f>R1134-G1134</f>
        <v/>
      </c>
      <c r="AB1134" s="4">
        <f>G1134-R1134</f>
        <v/>
      </c>
      <c r="AC1134" s="33" t="n"/>
    </row>
    <row r="1135" ht="18.75" customHeight="1">
      <c r="A1135" s="35">
        <f>SUBTOTAL(103,$B$24:B1135)</f>
        <v/>
      </c>
      <c r="B1135" s="36" t="inlineStr">
        <is>
          <t>Слайсер "Крупс" F-3727510</t>
        </is>
      </c>
      <c r="C1135" s="37" t="inlineStr">
        <is>
          <t>к-т</t>
        </is>
      </c>
      <c r="D1135" s="33" t="n"/>
      <c r="E1135" s="33" t="n"/>
      <c r="F1135" s="33">
        <f>E1135*0.05</f>
        <v/>
      </c>
      <c r="G1135" s="33">
        <f>E1135+F1135</f>
        <v/>
      </c>
      <c r="H1135" s="33" t="n"/>
      <c r="I1135" s="33" t="n"/>
      <c r="J1135" s="33" t="n"/>
      <c r="K1135" s="33">
        <f>L1135+M1135+N1135</f>
        <v/>
      </c>
      <c r="L1135" s="33" t="n"/>
      <c r="M1135" s="33" t="n"/>
      <c r="N1135" s="33" t="n"/>
      <c r="O1135" s="33">
        <f>P1135+Q1135</f>
        <v/>
      </c>
      <c r="P1135" s="33" t="n"/>
      <c r="Q1135" s="33" t="n"/>
      <c r="R1135" s="33">
        <f>H1135+K1135-O1135</f>
        <v/>
      </c>
      <c r="S1135" s="33" t="n"/>
      <c r="T1135" s="33" t="n"/>
      <c r="U1135" s="33" t="n"/>
      <c r="V1135" s="33" t="n"/>
      <c r="W1135" s="33" t="n"/>
      <c r="X1135" s="33" t="n"/>
      <c r="Y1135" s="33" t="n"/>
      <c r="Z1135" s="33" t="n"/>
      <c r="AA1135" s="4">
        <f>R1135-G1135</f>
        <v/>
      </c>
      <c r="AB1135" s="4">
        <f>G1135-R1135</f>
        <v/>
      </c>
      <c r="AC1135" s="33" t="n"/>
    </row>
    <row r="1136" ht="18.75" customHeight="1">
      <c r="A1136" s="35">
        <f>SUBTOTAL(103,$B$24:B1136)</f>
        <v/>
      </c>
      <c r="B1136" s="36" t="inlineStr">
        <is>
          <t>Слайсер AIRHOT</t>
        </is>
      </c>
      <c r="C1136" s="37" t="inlineStr">
        <is>
          <t>к-т</t>
        </is>
      </c>
      <c r="D1136" s="33" t="n"/>
      <c r="E1136" s="33" t="n"/>
      <c r="F1136" s="33">
        <f>E1136*0.05</f>
        <v/>
      </c>
      <c r="G1136" s="33">
        <f>E1136+F1136</f>
        <v/>
      </c>
      <c r="H1136" s="33" t="n"/>
      <c r="I1136" s="33" t="n"/>
      <c r="J1136" s="33" t="n"/>
      <c r="K1136" s="33">
        <f>L1136+M1136+N1136</f>
        <v/>
      </c>
      <c r="L1136" s="33" t="n"/>
      <c r="M1136" s="33" t="n"/>
      <c r="N1136" s="33" t="n"/>
      <c r="O1136" s="33">
        <f>P1136+Q1136</f>
        <v/>
      </c>
      <c r="P1136" s="33" t="n"/>
      <c r="Q1136" s="33" t="n"/>
      <c r="R1136" s="33">
        <f>H1136+K1136-O1136</f>
        <v/>
      </c>
      <c r="S1136" s="33" t="n"/>
      <c r="T1136" s="33" t="n"/>
      <c r="U1136" s="33" t="n"/>
      <c r="V1136" s="33" t="n"/>
      <c r="W1136" s="33" t="n"/>
      <c r="X1136" s="33" t="n"/>
      <c r="Y1136" s="33" t="n"/>
      <c r="Z1136" s="33" t="n"/>
      <c r="AA1136" s="4">
        <f>R1136-G1136</f>
        <v/>
      </c>
      <c r="AB1136" s="4">
        <f>G1136-R1136</f>
        <v/>
      </c>
      <c r="AC1136" s="33" t="n"/>
    </row>
    <row r="1137" ht="18.75" customHeight="1">
      <c r="A1137" s="35">
        <f>SUBTOTAL(103,$B$24:B1137)</f>
        <v/>
      </c>
      <c r="B1137" s="36" t="inlineStr">
        <is>
          <t>Слайсер FROSTY</t>
        </is>
      </c>
      <c r="C1137" s="37" t="inlineStr">
        <is>
          <t>к-т</t>
        </is>
      </c>
      <c r="D1137" s="33" t="n"/>
      <c r="E1137" s="33" t="n"/>
      <c r="F1137" s="33">
        <f>E1137*0.05</f>
        <v/>
      </c>
      <c r="G1137" s="33">
        <f>E1137+F1137</f>
        <v/>
      </c>
      <c r="H1137" s="33" t="n"/>
      <c r="I1137" s="33" t="n"/>
      <c r="J1137" s="33" t="n"/>
      <c r="K1137" s="33">
        <f>L1137+M1137+N1137</f>
        <v/>
      </c>
      <c r="L1137" s="33" t="n"/>
      <c r="M1137" s="33" t="n"/>
      <c r="N1137" s="33" t="n"/>
      <c r="O1137" s="33">
        <f>P1137+Q1137</f>
        <v/>
      </c>
      <c r="P1137" s="33" t="n"/>
      <c r="Q1137" s="33" t="n"/>
      <c r="R1137" s="33">
        <f>H1137+K1137-O1137</f>
        <v/>
      </c>
      <c r="S1137" s="33" t="n"/>
      <c r="T1137" s="33" t="n"/>
      <c r="U1137" s="33" t="n"/>
      <c r="V1137" s="33" t="n"/>
      <c r="W1137" s="33" t="n"/>
      <c r="X1137" s="33" t="n"/>
      <c r="Y1137" s="33" t="n"/>
      <c r="Z1137" s="33" t="n"/>
      <c r="AA1137" s="4">
        <f>R1137-G1137</f>
        <v/>
      </c>
      <c r="AB1137" s="4">
        <f>G1137-R1137</f>
        <v/>
      </c>
      <c r="AC1137" s="33" t="n"/>
    </row>
    <row r="1138" ht="37.5" customHeight="1">
      <c r="A1138" s="35">
        <f>SUBTOTAL(103,$B$24:B1138)</f>
        <v/>
      </c>
      <c r="B1138" s="36" t="inlineStr">
        <is>
          <t>Машина для нарізання продуктів (слайсер GoodFood LUSSO GS195JS</t>
        </is>
      </c>
      <c r="C1138" s="37" t="inlineStr">
        <is>
          <t>к-т</t>
        </is>
      </c>
      <c r="D1138" s="33" t="n"/>
      <c r="E1138" s="33" t="n"/>
      <c r="F1138" s="33">
        <f>E1138*0.05</f>
        <v/>
      </c>
      <c r="G1138" s="33">
        <f>E1138+F1138</f>
        <v/>
      </c>
      <c r="H1138" s="33" t="n"/>
      <c r="I1138" s="33" t="n"/>
      <c r="J1138" s="33" t="n"/>
      <c r="K1138" s="33">
        <f>L1138+M1138+N1138</f>
        <v/>
      </c>
      <c r="L1138" s="33" t="n"/>
      <c r="M1138" s="33" t="n"/>
      <c r="N1138" s="33" t="n"/>
      <c r="O1138" s="33">
        <f>P1138+Q1138</f>
        <v/>
      </c>
      <c r="P1138" s="33" t="n"/>
      <c r="Q1138" s="33" t="n"/>
      <c r="R1138" s="33">
        <f>H1138+K1138-O1138</f>
        <v/>
      </c>
      <c r="S1138" s="33" t="n"/>
      <c r="T1138" s="33" t="n"/>
      <c r="U1138" s="33" t="n"/>
      <c r="V1138" s="33" t="n"/>
      <c r="W1138" s="33" t="n"/>
      <c r="X1138" s="33" t="n"/>
      <c r="Y1138" s="33" t="n"/>
      <c r="Z1138" s="33" t="n"/>
      <c r="AA1138" s="4">
        <f>R1138-G1138</f>
        <v/>
      </c>
      <c r="AB1138" s="4">
        <f>G1138-R1138</f>
        <v/>
      </c>
      <c r="AC1138" s="33" t="n"/>
    </row>
    <row r="1139" ht="37.5" customHeight="1">
      <c r="A1139" s="35">
        <f>SUBTOTAL(103,$B$24:B1139)</f>
        <v/>
      </c>
      <c r="B1139" s="36" t="inlineStr">
        <is>
          <t>Машина для нарізання продуктів харчування (слайсер) ЛР-300</t>
        </is>
      </c>
      <c r="C1139" s="37" t="inlineStr">
        <is>
          <t>к-т</t>
        </is>
      </c>
      <c r="D1139" s="33" t="n"/>
      <c r="E1139" s="33" t="n"/>
      <c r="F1139" s="33">
        <f>E1139*0.05</f>
        <v/>
      </c>
      <c r="G1139" s="33">
        <f>E1139+F1139</f>
        <v/>
      </c>
      <c r="H1139" s="33" t="n"/>
      <c r="I1139" s="33" t="n"/>
      <c r="J1139" s="33" t="n"/>
      <c r="K1139" s="33">
        <f>L1139+M1139+N1139</f>
        <v/>
      </c>
      <c r="L1139" s="33" t="n"/>
      <c r="M1139" s="33" t="n"/>
      <c r="N1139" s="33" t="n"/>
      <c r="O1139" s="33">
        <f>P1139+Q1139</f>
        <v/>
      </c>
      <c r="P1139" s="33" t="n"/>
      <c r="Q1139" s="33" t="n"/>
      <c r="R1139" s="33">
        <f>H1139+K1139-O1139</f>
        <v/>
      </c>
      <c r="S1139" s="33" t="n"/>
      <c r="T1139" s="33" t="n"/>
      <c r="U1139" s="33" t="n"/>
      <c r="V1139" s="33" t="n"/>
      <c r="W1139" s="33" t="n"/>
      <c r="X1139" s="33" t="n"/>
      <c r="Y1139" s="33" t="n"/>
      <c r="Z1139" s="33" t="n"/>
      <c r="AA1139" s="4">
        <f>R1139-G1139</f>
        <v/>
      </c>
      <c r="AB1139" s="4">
        <f>G1139-R1139</f>
        <v/>
      </c>
      <c r="AC1139" s="33" t="n"/>
    </row>
    <row r="1140" ht="56.25" customHeight="1">
      <c r="A1140" s="35">
        <f>SUBTOTAL(103,$B$24:B1140)</f>
        <v/>
      </c>
      <c r="B1140" s="36" t="inlineStr">
        <is>
          <t>Машина для нарізання продуктів харчування (слайсер) RGV Lusso SL-300</t>
        </is>
      </c>
      <c r="C1140" s="37" t="inlineStr">
        <is>
          <t>к-т</t>
        </is>
      </c>
      <c r="D1140" s="33" t="n"/>
      <c r="E1140" s="33" t="n"/>
      <c r="F1140" s="33">
        <f>E1140*0.05</f>
        <v/>
      </c>
      <c r="G1140" s="33">
        <f>E1140+F1140</f>
        <v/>
      </c>
      <c r="H1140" s="33" t="n"/>
      <c r="I1140" s="33" t="n"/>
      <c r="J1140" s="33" t="n"/>
      <c r="K1140" s="33">
        <f>L1140+M1140+N1140</f>
        <v/>
      </c>
      <c r="L1140" s="33" t="n"/>
      <c r="M1140" s="33" t="n"/>
      <c r="N1140" s="33" t="n"/>
      <c r="O1140" s="33">
        <f>P1140+Q1140</f>
        <v/>
      </c>
      <c r="P1140" s="33" t="n"/>
      <c r="Q1140" s="33" t="n"/>
      <c r="R1140" s="33">
        <f>H1140+K1140-O1140</f>
        <v/>
      </c>
      <c r="S1140" s="33" t="n"/>
      <c r="T1140" s="33" t="n"/>
      <c r="U1140" s="33" t="n"/>
      <c r="V1140" s="33" t="n"/>
      <c r="W1140" s="33" t="n"/>
      <c r="X1140" s="33" t="n"/>
      <c r="Y1140" s="33" t="n"/>
      <c r="Z1140" s="33" t="n"/>
      <c r="AA1140" s="4">
        <f>R1140-G1140</f>
        <v/>
      </c>
      <c r="AB1140" s="4">
        <f>G1140-R1140</f>
        <v/>
      </c>
      <c r="AC1140" s="33" t="n"/>
    </row>
    <row r="1141" ht="37.5" customHeight="1">
      <c r="A1141" s="35">
        <f>SUBTOTAL(103,$B$24:B1141)</f>
        <v/>
      </c>
      <c r="B1141" s="36" t="inlineStr">
        <is>
          <t>Машина для нарізання продуктів харчування (слайсер)</t>
        </is>
      </c>
      <c r="C1141" s="37" t="inlineStr">
        <is>
          <t>к-т</t>
        </is>
      </c>
      <c r="D1141" s="33" t="n"/>
      <c r="E1141" s="33" t="n"/>
      <c r="F1141" s="33">
        <f>E1141*0.05</f>
        <v/>
      </c>
      <c r="G1141" s="33">
        <f>E1141+F1141</f>
        <v/>
      </c>
      <c r="H1141" s="33" t="n"/>
      <c r="I1141" s="33" t="n"/>
      <c r="J1141" s="33" t="n"/>
      <c r="K1141" s="33">
        <f>L1141+M1141+N1141</f>
        <v/>
      </c>
      <c r="L1141" s="33" t="n"/>
      <c r="M1141" s="33" t="n"/>
      <c r="N1141" s="33" t="n"/>
      <c r="O1141" s="33">
        <f>P1141+Q1141</f>
        <v/>
      </c>
      <c r="P1141" s="33" t="n"/>
      <c r="Q1141" s="33" t="n"/>
      <c r="R1141" s="33">
        <f>H1141+K1141-O1141</f>
        <v/>
      </c>
      <c r="S1141" s="33" t="n"/>
      <c r="T1141" s="33" t="n"/>
      <c r="U1141" s="33" t="n"/>
      <c r="V1141" s="33" t="n"/>
      <c r="W1141" s="33" t="n"/>
      <c r="X1141" s="33" t="n"/>
      <c r="Y1141" s="33" t="n"/>
      <c r="Z1141" s="33" t="n"/>
      <c r="AA1141" s="4">
        <f>R1141-G1141</f>
        <v/>
      </c>
      <c r="AB1141" s="4">
        <f>G1141-R1141</f>
        <v/>
      </c>
      <c r="AC1141" s="33" t="n"/>
    </row>
    <row r="1142" ht="18.75" customHeight="1">
      <c r="A1142" s="35">
        <f>SUBTOTAL(103,$B$24:B1142)</f>
        <v/>
      </c>
      <c r="B1142" s="39" t="inlineStr">
        <is>
          <t>МЯСОРУБКИ</t>
        </is>
      </c>
      <c r="C1142" s="37" t="n"/>
      <c r="D1142" s="33" t="n"/>
      <c r="E1142" s="33" t="n"/>
      <c r="F1142" s="33">
        <f>E1142*0.05</f>
        <v/>
      </c>
      <c r="G1142" s="33">
        <f>E1142+F1142</f>
        <v/>
      </c>
      <c r="H1142" s="33" t="n"/>
      <c r="I1142" s="33" t="n"/>
      <c r="J1142" s="33" t="n"/>
      <c r="K1142" s="33">
        <f>L1142+M1142+N1142</f>
        <v/>
      </c>
      <c r="L1142" s="33" t="n"/>
      <c r="M1142" s="33" t="n"/>
      <c r="N1142" s="33" t="n"/>
      <c r="O1142" s="33">
        <f>P1142+Q1142</f>
        <v/>
      </c>
      <c r="P1142" s="33" t="n"/>
      <c r="Q1142" s="33" t="n"/>
      <c r="R1142" s="33">
        <f>H1142+K1142-O1142</f>
        <v/>
      </c>
      <c r="S1142" s="33" t="n"/>
      <c r="T1142" s="33" t="n"/>
      <c r="U1142" s="33" t="n"/>
      <c r="V1142" s="33" t="n"/>
      <c r="W1142" s="33" t="n"/>
      <c r="X1142" s="33" t="n"/>
      <c r="Y1142" s="33" t="n"/>
      <c r="Z1142" s="33" t="n"/>
      <c r="AA1142" s="4">
        <f>R1142-G1142</f>
        <v/>
      </c>
      <c r="AB1142" s="4">
        <f>G1142-R1142</f>
        <v/>
      </c>
      <c r="AC1142" s="33" t="n"/>
    </row>
    <row r="1143" ht="37.5" customHeight="1">
      <c r="A1143" s="35">
        <f>SUBTOTAL(103,$B$24:B1143)</f>
        <v/>
      </c>
      <c r="B1143" s="36" t="inlineStr">
        <is>
          <t>Мясорубка механічна 50-150 кг/год (Торгмаш ТМ-12М)</t>
        </is>
      </c>
      <c r="C1143" s="37" t="inlineStr">
        <is>
          <t>к-т</t>
        </is>
      </c>
      <c r="D1143" s="33" t="n"/>
      <c r="E1143" s="33" t="n"/>
      <c r="F1143" s="33">
        <f>E1143*0.05</f>
        <v/>
      </c>
      <c r="G1143" s="33">
        <f>E1143+F1143</f>
        <v/>
      </c>
      <c r="H1143" s="33" t="n"/>
      <c r="I1143" s="33" t="n"/>
      <c r="J1143" s="33" t="n"/>
      <c r="K1143" s="33">
        <f>L1143+M1143+N1143</f>
        <v/>
      </c>
      <c r="L1143" s="33" t="n"/>
      <c r="M1143" s="33" t="n"/>
      <c r="N1143" s="33" t="n"/>
      <c r="O1143" s="33">
        <f>P1143+Q1143</f>
        <v/>
      </c>
      <c r="P1143" s="33" t="n"/>
      <c r="Q1143" s="33" t="n"/>
      <c r="R1143" s="33">
        <f>H1143+K1143-O1143</f>
        <v/>
      </c>
      <c r="S1143" s="33" t="n"/>
      <c r="T1143" s="33" t="n"/>
      <c r="U1143" s="33" t="n"/>
      <c r="V1143" s="33" t="n"/>
      <c r="W1143" s="33" t="n"/>
      <c r="X1143" s="33" t="n"/>
      <c r="Y1143" s="33" t="n"/>
      <c r="Z1143" s="33" t="n"/>
      <c r="AA1143" s="4">
        <f>R1143-G1143</f>
        <v/>
      </c>
      <c r="AB1143" s="4">
        <f>G1143-R1143</f>
        <v/>
      </c>
      <c r="AC1143" s="33" t="n"/>
    </row>
    <row r="1144" ht="37.5" customHeight="1">
      <c r="A1144" s="35">
        <f>SUBTOTAL(103,$B$24:B1144)</f>
        <v/>
      </c>
      <c r="B1144" s="36" t="inlineStr">
        <is>
          <t>Мясорубка механічна 50-150кг/год ТК-12</t>
        </is>
      </c>
      <c r="C1144" s="37" t="n"/>
      <c r="D1144" s="33" t="n"/>
      <c r="E1144" s="33" t="n"/>
      <c r="F1144" s="33">
        <f>E1144*0.05</f>
        <v/>
      </c>
      <c r="G1144" s="33">
        <f>E1144+F1144</f>
        <v/>
      </c>
      <c r="H1144" s="33" t="n"/>
      <c r="I1144" s="33" t="n"/>
      <c r="J1144" s="33" t="n"/>
      <c r="K1144" s="33">
        <f>L1144+M1144+N1144</f>
        <v/>
      </c>
      <c r="L1144" s="33" t="n"/>
      <c r="M1144" s="33" t="n"/>
      <c r="N1144" s="33" t="n"/>
      <c r="O1144" s="33">
        <f>P1144+Q1144</f>
        <v/>
      </c>
      <c r="P1144" s="33" t="n"/>
      <c r="Q1144" s="33" t="n"/>
      <c r="R1144" s="33">
        <f>H1144+K1144-O1144</f>
        <v/>
      </c>
      <c r="S1144" s="33" t="n"/>
      <c r="T1144" s="33" t="n"/>
      <c r="U1144" s="33" t="n"/>
      <c r="V1144" s="33" t="n"/>
      <c r="W1144" s="33" t="n"/>
      <c r="X1144" s="33" t="n"/>
      <c r="Y1144" s="33" t="n"/>
      <c r="Z1144" s="33" t="n"/>
      <c r="AA1144" s="4">
        <f>R1144-G1144</f>
        <v/>
      </c>
      <c r="AB1144" s="4">
        <f>G1144-R1144</f>
        <v/>
      </c>
      <c r="AC1144" s="33" t="n"/>
    </row>
    <row r="1145" ht="18.75" customHeight="1">
      <c r="A1145" s="35">
        <f>SUBTOTAL(103,$B$24:B1145)</f>
        <v/>
      </c>
      <c r="B1145" s="36" t="inlineStr">
        <is>
          <t>Мясорубка механічна 151-300 кг/год</t>
        </is>
      </c>
      <c r="C1145" s="37" t="inlineStr">
        <is>
          <t>к-т</t>
        </is>
      </c>
      <c r="D1145" s="33" t="n"/>
      <c r="E1145" s="33" t="n"/>
      <c r="F1145" s="33">
        <f>E1145*0.05</f>
        <v/>
      </c>
      <c r="G1145" s="33">
        <f>E1145+F1145</f>
        <v/>
      </c>
      <c r="H1145" s="33" t="n"/>
      <c r="I1145" s="33" t="n"/>
      <c r="J1145" s="33" t="n"/>
      <c r="K1145" s="33">
        <f>L1145+M1145+N1145</f>
        <v/>
      </c>
      <c r="L1145" s="33" t="n"/>
      <c r="M1145" s="33" t="n"/>
      <c r="N1145" s="33" t="n"/>
      <c r="O1145" s="33">
        <f>P1145+Q1145</f>
        <v/>
      </c>
      <c r="P1145" s="33" t="n"/>
      <c r="Q1145" s="33" t="n"/>
      <c r="R1145" s="33">
        <f>H1145+K1145-O1145</f>
        <v/>
      </c>
      <c r="S1145" s="33" t="n"/>
      <c r="T1145" s="33" t="n"/>
      <c r="U1145" s="33" t="n"/>
      <c r="V1145" s="33" t="n"/>
      <c r="W1145" s="33" t="n"/>
      <c r="X1145" s="33" t="n"/>
      <c r="Y1145" s="33" t="n"/>
      <c r="Z1145" s="33" t="n"/>
      <c r="AA1145" s="4">
        <f>R1145-G1145</f>
        <v/>
      </c>
      <c r="AB1145" s="4">
        <f>G1145-R1145</f>
        <v/>
      </c>
      <c r="AC1145" s="33" t="n"/>
    </row>
    <row r="1146" ht="18.75" customHeight="1">
      <c r="A1146" s="35">
        <f>SUBTOTAL(103,$B$24:B1146)</f>
        <v/>
      </c>
      <c r="B1146" s="36" t="inlineStr">
        <is>
          <t>Мясорубка механічна 301-500 кг/год</t>
        </is>
      </c>
      <c r="C1146" s="37" t="inlineStr">
        <is>
          <t>к-т</t>
        </is>
      </c>
      <c r="D1146" s="33" t="n"/>
      <c r="E1146" s="33" t="n"/>
      <c r="F1146" s="33">
        <f>E1146*0.05</f>
        <v/>
      </c>
      <c r="G1146" s="33">
        <f>E1146+F1146</f>
        <v/>
      </c>
      <c r="H1146" s="33" t="n"/>
      <c r="I1146" s="33" t="n"/>
      <c r="J1146" s="33" t="n"/>
      <c r="K1146" s="33">
        <f>L1146+M1146+N1146</f>
        <v/>
      </c>
      <c r="L1146" s="33" t="n"/>
      <c r="M1146" s="33" t="n"/>
      <c r="N1146" s="33" t="n"/>
      <c r="O1146" s="33">
        <f>P1146+Q1146</f>
        <v/>
      </c>
      <c r="P1146" s="33" t="n"/>
      <c r="Q1146" s="33" t="n"/>
      <c r="R1146" s="33">
        <f>H1146+K1146-O1146</f>
        <v/>
      </c>
      <c r="S1146" s="33" t="n"/>
      <c r="T1146" s="33" t="n"/>
      <c r="U1146" s="33" t="n"/>
      <c r="V1146" s="33" t="n"/>
      <c r="W1146" s="33" t="n"/>
      <c r="X1146" s="33" t="n"/>
      <c r="Y1146" s="33" t="n"/>
      <c r="Z1146" s="33" t="n"/>
      <c r="AA1146" s="4">
        <f>R1146-G1146</f>
        <v/>
      </c>
      <c r="AB1146" s="4">
        <f>G1146-R1146</f>
        <v/>
      </c>
      <c r="AC1146" s="33" t="n"/>
    </row>
    <row r="1147" ht="18.75" customHeight="1">
      <c r="A1147" s="35">
        <f>SUBTOTAL(103,$B$24:B1147)</f>
        <v/>
      </c>
      <c r="B1147" s="36" t="inlineStr">
        <is>
          <t>Мясорубки механічні 100 кг/г</t>
        </is>
      </c>
      <c r="C1147" s="37" t="inlineStr">
        <is>
          <t>к-т</t>
        </is>
      </c>
      <c r="D1147" s="33" t="n"/>
      <c r="E1147" s="33" t="n"/>
      <c r="F1147" s="33">
        <f>E1147*0.05</f>
        <v/>
      </c>
      <c r="G1147" s="33">
        <f>E1147+F1147</f>
        <v/>
      </c>
      <c r="H1147" s="33" t="n"/>
      <c r="I1147" s="33" t="n"/>
      <c r="J1147" s="33" t="n"/>
      <c r="K1147" s="33">
        <f>L1147+M1147+N1147</f>
        <v/>
      </c>
      <c r="L1147" s="33" t="n"/>
      <c r="M1147" s="33" t="n"/>
      <c r="N1147" s="33" t="n"/>
      <c r="O1147" s="33">
        <f>P1147+Q1147</f>
        <v/>
      </c>
      <c r="P1147" s="33" t="n"/>
      <c r="Q1147" s="33" t="n"/>
      <c r="R1147" s="33">
        <f>H1147+K1147-O1147</f>
        <v/>
      </c>
      <c r="S1147" s="33" t="n"/>
      <c r="T1147" s="33" t="n"/>
      <c r="U1147" s="33" t="n"/>
      <c r="V1147" s="33" t="n"/>
      <c r="W1147" s="33" t="n"/>
      <c r="X1147" s="33" t="n"/>
      <c r="Y1147" s="33" t="n"/>
      <c r="Z1147" s="33" t="n"/>
      <c r="AA1147" s="4">
        <f>R1147-G1147</f>
        <v/>
      </c>
      <c r="AB1147" s="4">
        <f>G1147-R1147</f>
        <v/>
      </c>
      <c r="AC1147" s="33" t="n"/>
    </row>
    <row r="1148" ht="18.75" customHeight="1">
      <c r="A1148" s="35">
        <f>SUBTOTAL(103,$B$24:B1148)</f>
        <v/>
      </c>
      <c r="B1148" s="36" t="inlineStr">
        <is>
          <t>Мясорубки механічні 200 кг/г</t>
        </is>
      </c>
      <c r="C1148" s="37" t="inlineStr">
        <is>
          <t>к-т</t>
        </is>
      </c>
      <c r="D1148" s="33" t="n"/>
      <c r="E1148" s="33" t="n"/>
      <c r="F1148" s="33">
        <f>E1148*0.05</f>
        <v/>
      </c>
      <c r="G1148" s="33">
        <f>E1148+F1148</f>
        <v/>
      </c>
      <c r="H1148" s="33" t="n"/>
      <c r="I1148" s="33" t="n"/>
      <c r="J1148" s="33" t="n"/>
      <c r="K1148" s="33">
        <f>L1148+M1148+N1148</f>
        <v/>
      </c>
      <c r="L1148" s="33" t="n"/>
      <c r="M1148" s="33" t="n"/>
      <c r="N1148" s="33" t="n"/>
      <c r="O1148" s="33">
        <f>P1148+Q1148</f>
        <v/>
      </c>
      <c r="P1148" s="33" t="n"/>
      <c r="Q1148" s="33" t="n"/>
      <c r="R1148" s="33">
        <f>H1148+K1148-O1148</f>
        <v/>
      </c>
      <c r="S1148" s="33" t="n"/>
      <c r="T1148" s="33" t="n"/>
      <c r="U1148" s="33" t="n"/>
      <c r="V1148" s="33" t="n"/>
      <c r="W1148" s="33" t="n"/>
      <c r="X1148" s="33" t="n"/>
      <c r="Y1148" s="33" t="n"/>
      <c r="Z1148" s="33" t="n"/>
      <c r="AA1148" s="4">
        <f>R1148-G1148</f>
        <v/>
      </c>
      <c r="AB1148" s="4">
        <f>G1148-R1148</f>
        <v/>
      </c>
      <c r="AC1148" s="33" t="n"/>
    </row>
    <row r="1149" ht="18.75" customHeight="1">
      <c r="A1149" s="35">
        <f>SUBTOTAL(103,$B$24:B1149)</f>
        <v/>
      </c>
      <c r="B1149" s="36" t="inlineStr">
        <is>
          <t>Мясорубки механічні 250 кг/г</t>
        </is>
      </c>
      <c r="C1149" s="37" t="inlineStr">
        <is>
          <t>к-т</t>
        </is>
      </c>
      <c r="D1149" s="33" t="n"/>
      <c r="E1149" s="33" t="n"/>
      <c r="F1149" s="33">
        <f>E1149*0.05</f>
        <v/>
      </c>
      <c r="G1149" s="33">
        <f>E1149+F1149</f>
        <v/>
      </c>
      <c r="H1149" s="33" t="n"/>
      <c r="I1149" s="33" t="n"/>
      <c r="J1149" s="33" t="n"/>
      <c r="K1149" s="33">
        <f>L1149+M1149+N1149</f>
        <v/>
      </c>
      <c r="L1149" s="33" t="n"/>
      <c r="M1149" s="33" t="n"/>
      <c r="N1149" s="33" t="n"/>
      <c r="O1149" s="33">
        <f>P1149+Q1149</f>
        <v/>
      </c>
      <c r="P1149" s="33" t="n"/>
      <c r="Q1149" s="33" t="n"/>
      <c r="R1149" s="33">
        <f>H1149+K1149-O1149</f>
        <v/>
      </c>
      <c r="S1149" s="33" t="n"/>
      <c r="T1149" s="33" t="n"/>
      <c r="U1149" s="33" t="n"/>
      <c r="V1149" s="33" t="n"/>
      <c r="W1149" s="33" t="n"/>
      <c r="X1149" s="33" t="n"/>
      <c r="Y1149" s="33" t="n"/>
      <c r="Z1149" s="33" t="n"/>
      <c r="AA1149" s="4">
        <f>R1149-G1149</f>
        <v/>
      </c>
      <c r="AB1149" s="4">
        <f>G1149-R1149</f>
        <v/>
      </c>
      <c r="AC1149" s="33" t="n"/>
    </row>
    <row r="1150" ht="18.75" customHeight="1">
      <c r="A1150" s="35">
        <f>SUBTOTAL(103,$B$24:B1150)</f>
        <v/>
      </c>
      <c r="B1150" s="36" t="inlineStr">
        <is>
          <t>Мясорубки механічні 300 кг/г</t>
        </is>
      </c>
      <c r="C1150" s="37" t="inlineStr">
        <is>
          <t>к-т</t>
        </is>
      </c>
      <c r="D1150" s="33" t="n"/>
      <c r="E1150" s="33" t="n"/>
      <c r="F1150" s="33">
        <f>E1150*0.05</f>
        <v/>
      </c>
      <c r="G1150" s="33">
        <f>E1150+F1150</f>
        <v/>
      </c>
      <c r="H1150" s="33" t="n"/>
      <c r="I1150" s="33" t="n"/>
      <c r="J1150" s="33" t="n"/>
      <c r="K1150" s="33">
        <f>L1150+M1150+N1150</f>
        <v/>
      </c>
      <c r="L1150" s="33" t="n"/>
      <c r="M1150" s="33" t="n"/>
      <c r="N1150" s="33" t="n"/>
      <c r="O1150" s="33">
        <f>P1150+Q1150</f>
        <v/>
      </c>
      <c r="P1150" s="33" t="n"/>
      <c r="Q1150" s="33" t="n"/>
      <c r="R1150" s="33">
        <f>H1150+K1150-O1150</f>
        <v/>
      </c>
      <c r="S1150" s="33" t="n"/>
      <c r="T1150" s="33" t="n"/>
      <c r="U1150" s="33" t="n"/>
      <c r="V1150" s="33" t="n"/>
      <c r="W1150" s="33" t="n"/>
      <c r="X1150" s="33" t="n"/>
      <c r="Y1150" s="33" t="n"/>
      <c r="Z1150" s="33" t="n"/>
      <c r="AA1150" s="4">
        <f>R1150-G1150</f>
        <v/>
      </c>
      <c r="AB1150" s="4">
        <f>G1150-R1150</f>
        <v/>
      </c>
      <c r="AC1150" s="33" t="n"/>
    </row>
    <row r="1151" ht="18.75" customHeight="1">
      <c r="A1151" s="35">
        <f>SUBTOTAL(103,$B$24:B1151)</f>
        <v/>
      </c>
      <c r="B1151" s="36" t="inlineStr">
        <is>
          <t>Мясорубки механічні 400 кг/г</t>
        </is>
      </c>
      <c r="C1151" s="37" t="inlineStr">
        <is>
          <t>к-т</t>
        </is>
      </c>
      <c r="D1151" s="33" t="n"/>
      <c r="E1151" s="33" t="n"/>
      <c r="F1151" s="33">
        <f>E1151*0.05</f>
        <v/>
      </c>
      <c r="G1151" s="33">
        <f>E1151+F1151</f>
        <v/>
      </c>
      <c r="H1151" s="33" t="n"/>
      <c r="I1151" s="33" t="n"/>
      <c r="J1151" s="33" t="n"/>
      <c r="K1151" s="33">
        <f>L1151+M1151+N1151</f>
        <v/>
      </c>
      <c r="L1151" s="33" t="n"/>
      <c r="M1151" s="33" t="n"/>
      <c r="N1151" s="33" t="n"/>
      <c r="O1151" s="33">
        <f>P1151+Q1151</f>
        <v/>
      </c>
      <c r="P1151" s="33" t="n"/>
      <c r="Q1151" s="33" t="n"/>
      <c r="R1151" s="33">
        <f>H1151+K1151-O1151</f>
        <v/>
      </c>
      <c r="S1151" s="33" t="n"/>
      <c r="T1151" s="33" t="n"/>
      <c r="U1151" s="33" t="n"/>
      <c r="V1151" s="33" t="n"/>
      <c r="W1151" s="33" t="n"/>
      <c r="X1151" s="33" t="n"/>
      <c r="Y1151" s="33" t="n"/>
      <c r="Z1151" s="33" t="n"/>
      <c r="AA1151" s="4">
        <f>R1151-G1151</f>
        <v/>
      </c>
      <c r="AB1151" s="4">
        <f>G1151-R1151</f>
        <v/>
      </c>
      <c r="AC1151" s="33" t="n"/>
    </row>
    <row r="1152" ht="18.75" customHeight="1">
      <c r="A1152" s="35">
        <f>SUBTOTAL(103,$B$24:B1152)</f>
        <v/>
      </c>
      <c r="B1152" s="36" t="inlineStr">
        <is>
          <t>Мясорубки механічні 500 кг/г</t>
        </is>
      </c>
      <c r="C1152" s="37" t="inlineStr">
        <is>
          <t>к-т</t>
        </is>
      </c>
      <c r="D1152" s="33" t="n"/>
      <c r="E1152" s="33" t="n"/>
      <c r="F1152" s="33">
        <f>E1152*0.05</f>
        <v/>
      </c>
      <c r="G1152" s="33">
        <f>E1152+F1152</f>
        <v/>
      </c>
      <c r="H1152" s="33" t="n"/>
      <c r="I1152" s="33" t="n"/>
      <c r="J1152" s="33" t="n"/>
      <c r="K1152" s="33">
        <f>L1152+M1152+N1152</f>
        <v/>
      </c>
      <c r="L1152" s="33" t="n"/>
      <c r="M1152" s="33" t="n"/>
      <c r="N1152" s="33" t="n"/>
      <c r="O1152" s="33">
        <f>P1152+Q1152</f>
        <v/>
      </c>
      <c r="P1152" s="33" t="n"/>
      <c r="Q1152" s="33" t="n"/>
      <c r="R1152" s="33">
        <f>H1152+K1152-O1152</f>
        <v/>
      </c>
      <c r="S1152" s="33" t="n"/>
      <c r="T1152" s="33" t="n"/>
      <c r="U1152" s="33" t="n"/>
      <c r="V1152" s="33" t="n"/>
      <c r="W1152" s="33" t="n"/>
      <c r="X1152" s="33" t="n"/>
      <c r="Y1152" s="33" t="n"/>
      <c r="Z1152" s="33" t="n"/>
      <c r="AA1152" s="4">
        <f>R1152-G1152</f>
        <v/>
      </c>
      <c r="AB1152" s="4">
        <f>G1152-R1152</f>
        <v/>
      </c>
      <c r="AC1152" s="33" t="n"/>
    </row>
    <row r="1153" ht="18.75" customHeight="1">
      <c r="A1153" s="35">
        <f>SUBTOTAL(103,$B$24:B1153)</f>
        <v/>
      </c>
      <c r="B1153" s="36" t="inlineStr">
        <is>
          <t>Мясорубки механічні Л-5ФМІ</t>
        </is>
      </c>
      <c r="C1153" s="37" t="inlineStr">
        <is>
          <t>к-т</t>
        </is>
      </c>
      <c r="D1153" s="33" t="n"/>
      <c r="E1153" s="33" t="n"/>
      <c r="F1153" s="33">
        <f>E1153*0.05</f>
        <v/>
      </c>
      <c r="G1153" s="33">
        <f>E1153+F1153</f>
        <v/>
      </c>
      <c r="H1153" s="33" t="n"/>
      <c r="I1153" s="33" t="n"/>
      <c r="J1153" s="33" t="n"/>
      <c r="K1153" s="33">
        <f>L1153+M1153+N1153</f>
        <v/>
      </c>
      <c r="L1153" s="33" t="n"/>
      <c r="M1153" s="33" t="n"/>
      <c r="N1153" s="33" t="n"/>
      <c r="O1153" s="33">
        <f>P1153+Q1153</f>
        <v/>
      </c>
      <c r="P1153" s="33" t="n"/>
      <c r="Q1153" s="33" t="n"/>
      <c r="R1153" s="33">
        <f>H1153+K1153-O1153</f>
        <v/>
      </c>
      <c r="S1153" s="33" t="n"/>
      <c r="T1153" s="33" t="n"/>
      <c r="U1153" s="33" t="n"/>
      <c r="V1153" s="33" t="n"/>
      <c r="W1153" s="33" t="n"/>
      <c r="X1153" s="33" t="n"/>
      <c r="Y1153" s="33" t="n"/>
      <c r="Z1153" s="33" t="n"/>
      <c r="AA1153" s="4">
        <f>R1153-G1153</f>
        <v/>
      </c>
      <c r="AB1153" s="4">
        <f>G1153-R1153</f>
        <v/>
      </c>
      <c r="AC1153" s="33" t="n"/>
    </row>
    <row r="1154" ht="18.75" customHeight="1">
      <c r="A1154" s="35">
        <f>SUBTOTAL(103,$B$24:B1154)</f>
        <v/>
      </c>
      <c r="B1154" s="36" t="inlineStr">
        <is>
          <t>Мясорубки механічні М 764</t>
        </is>
      </c>
      <c r="C1154" s="37" t="inlineStr">
        <is>
          <t>к-т</t>
        </is>
      </c>
      <c r="D1154" s="33" t="n"/>
      <c r="E1154" s="33" t="n"/>
      <c r="F1154" s="33">
        <f>E1154*0.05</f>
        <v/>
      </c>
      <c r="G1154" s="33">
        <f>E1154+F1154</f>
        <v/>
      </c>
      <c r="H1154" s="33" t="n"/>
      <c r="I1154" s="33" t="n"/>
      <c r="J1154" s="33" t="n"/>
      <c r="K1154" s="33">
        <f>L1154+M1154+N1154</f>
        <v/>
      </c>
      <c r="L1154" s="33" t="n"/>
      <c r="M1154" s="33" t="n"/>
      <c r="N1154" s="33" t="n"/>
      <c r="O1154" s="33">
        <f>P1154+Q1154</f>
        <v/>
      </c>
      <c r="P1154" s="33" t="n"/>
      <c r="Q1154" s="33" t="n"/>
      <c r="R1154" s="33">
        <f>H1154+K1154-O1154</f>
        <v/>
      </c>
      <c r="S1154" s="33" t="n"/>
      <c r="T1154" s="33" t="n"/>
      <c r="U1154" s="33" t="n"/>
      <c r="V1154" s="33" t="n"/>
      <c r="W1154" s="33" t="n"/>
      <c r="X1154" s="33" t="n"/>
      <c r="Y1154" s="33" t="n"/>
      <c r="Z1154" s="33" t="n"/>
      <c r="AA1154" s="4">
        <f>R1154-G1154</f>
        <v/>
      </c>
      <c r="AB1154" s="4">
        <f>G1154-R1154</f>
        <v/>
      </c>
      <c r="AC1154" s="33" t="n"/>
    </row>
    <row r="1155" ht="37.5" customHeight="1">
      <c r="A1155" s="35">
        <f>SUBTOTAL(103,$B$24:B1155)</f>
        <v/>
      </c>
      <c r="B1155" s="36" t="inlineStr">
        <is>
          <t>М'ясорубка механічна HURAKAN HKN-12SS</t>
        </is>
      </c>
      <c r="C1155" s="37" t="inlineStr">
        <is>
          <t>к-т</t>
        </is>
      </c>
      <c r="D1155" s="33" t="n"/>
      <c r="E1155" s="33" t="n"/>
      <c r="F1155" s="33">
        <f>E1155*0.05</f>
        <v/>
      </c>
      <c r="G1155" s="33">
        <f>E1155+F1155</f>
        <v/>
      </c>
      <c r="H1155" s="33" t="n"/>
      <c r="I1155" s="33" t="n"/>
      <c r="J1155" s="33" t="n"/>
      <c r="K1155" s="33">
        <f>L1155+M1155+N1155</f>
        <v/>
      </c>
      <c r="L1155" s="33" t="n"/>
      <c r="M1155" s="33" t="n"/>
      <c r="N1155" s="33" t="n"/>
      <c r="O1155" s="33">
        <f>P1155+Q1155</f>
        <v/>
      </c>
      <c r="P1155" s="33" t="n"/>
      <c r="Q1155" s="33" t="n"/>
      <c r="R1155" s="33">
        <f>H1155+K1155-O1155</f>
        <v/>
      </c>
      <c r="S1155" s="33" t="n"/>
      <c r="T1155" s="33" t="n"/>
      <c r="U1155" s="33" t="n"/>
      <c r="V1155" s="33" t="n"/>
      <c r="W1155" s="33" t="n"/>
      <c r="X1155" s="33" t="n"/>
      <c r="Y1155" s="33" t="n"/>
      <c r="Z1155" s="33" t="n"/>
      <c r="AA1155" s="4">
        <f>R1155-G1155</f>
        <v/>
      </c>
      <c r="AB1155" s="4">
        <f>G1155-R1155</f>
        <v/>
      </c>
      <c r="AC1155" s="33" t="n"/>
    </row>
    <row r="1156" ht="37.5" customHeight="1">
      <c r="A1156" s="35">
        <f>SUBTOTAL(103,$B$24:B1156)</f>
        <v/>
      </c>
      <c r="B1156" s="36" t="inlineStr">
        <is>
          <t>М'ясорубка механічна APACH ATS 22 UT (150-300 кг/год)</t>
        </is>
      </c>
      <c r="C1156" s="37" t="inlineStr">
        <is>
          <t>к-т</t>
        </is>
      </c>
      <c r="D1156" s="33" t="n"/>
      <c r="E1156" s="33" t="n"/>
      <c r="F1156" s="33">
        <f>E1156*0.05</f>
        <v/>
      </c>
      <c r="G1156" s="33">
        <f>E1156+F1156</f>
        <v/>
      </c>
      <c r="H1156" s="33" t="n"/>
      <c r="I1156" s="33" t="n"/>
      <c r="J1156" s="33" t="n"/>
      <c r="K1156" s="33">
        <f>L1156+M1156+N1156</f>
        <v/>
      </c>
      <c r="L1156" s="33" t="n"/>
      <c r="M1156" s="33" t="n"/>
      <c r="N1156" s="33" t="n"/>
      <c r="O1156" s="33">
        <f>P1156+Q1156</f>
        <v/>
      </c>
      <c r="P1156" s="33" t="n"/>
      <c r="Q1156" s="33" t="n"/>
      <c r="R1156" s="33">
        <f>H1156+K1156-O1156</f>
        <v/>
      </c>
      <c r="S1156" s="33" t="n"/>
      <c r="T1156" s="33" t="n"/>
      <c r="U1156" s="33" t="n"/>
      <c r="V1156" s="33" t="n"/>
      <c r="W1156" s="33" t="n"/>
      <c r="X1156" s="33" t="n"/>
      <c r="Y1156" s="33" t="n"/>
      <c r="Z1156" s="33" t="n"/>
      <c r="AA1156" s="4">
        <f>R1156-G1156</f>
        <v/>
      </c>
      <c r="AB1156" s="4">
        <f>G1156-R1156</f>
        <v/>
      </c>
      <c r="AC1156" s="33" t="n"/>
    </row>
    <row r="1157" ht="18.75" customHeight="1">
      <c r="A1157" s="35">
        <f>SUBTOTAL(103,$B$24:B1157)</f>
        <v/>
      </c>
      <c r="B1157" s="36" t="inlineStr">
        <is>
          <t>Мясорубка EVEREST</t>
        </is>
      </c>
      <c r="C1157" s="37" t="inlineStr">
        <is>
          <t>к-т</t>
        </is>
      </c>
      <c r="D1157" s="33" t="n"/>
      <c r="E1157" s="33" t="n"/>
      <c r="F1157" s="33">
        <f>E1157*0.05</f>
        <v/>
      </c>
      <c r="G1157" s="33">
        <f>E1157+F1157</f>
        <v/>
      </c>
      <c r="H1157" s="33" t="n"/>
      <c r="I1157" s="33" t="n"/>
      <c r="J1157" s="33" t="n"/>
      <c r="K1157" s="33">
        <f>L1157+M1157+N1157</f>
        <v/>
      </c>
      <c r="L1157" s="33" t="n"/>
      <c r="M1157" s="33" t="n"/>
      <c r="N1157" s="33" t="n"/>
      <c r="O1157" s="33">
        <f>P1157+Q1157</f>
        <v/>
      </c>
      <c r="P1157" s="33" t="n"/>
      <c r="Q1157" s="33" t="n"/>
      <c r="R1157" s="33">
        <f>H1157+K1157-O1157</f>
        <v/>
      </c>
      <c r="S1157" s="33" t="n"/>
      <c r="T1157" s="33" t="n"/>
      <c r="U1157" s="33" t="n"/>
      <c r="V1157" s="33" t="n"/>
      <c r="W1157" s="33" t="n"/>
      <c r="X1157" s="33" t="n"/>
      <c r="Y1157" s="33" t="n"/>
      <c r="Z1157" s="33" t="n"/>
      <c r="AA1157" s="4">
        <f>R1157-G1157</f>
        <v/>
      </c>
      <c r="AB1157" s="4">
        <f>G1157-R1157</f>
        <v/>
      </c>
      <c r="AC1157" s="33" t="n"/>
    </row>
    <row r="1158" ht="18.75" customHeight="1">
      <c r="A1158" s="35">
        <f>SUBTOTAL(103,$B$24:B1158)</f>
        <v/>
      </c>
      <c r="B1158" s="36" t="inlineStr">
        <is>
          <t>Мясорубка FIMAR</t>
        </is>
      </c>
      <c r="C1158" s="37" t="inlineStr">
        <is>
          <t>к-т</t>
        </is>
      </c>
      <c r="D1158" s="33" t="n"/>
      <c r="E1158" s="33" t="n"/>
      <c r="F1158" s="33">
        <f>E1158*0.05</f>
        <v/>
      </c>
      <c r="G1158" s="33">
        <f>E1158+F1158</f>
        <v/>
      </c>
      <c r="H1158" s="33" t="n"/>
      <c r="I1158" s="33" t="n"/>
      <c r="J1158" s="33" t="n"/>
      <c r="K1158" s="33">
        <f>L1158+M1158+N1158</f>
        <v/>
      </c>
      <c r="L1158" s="33" t="n"/>
      <c r="M1158" s="33" t="n"/>
      <c r="N1158" s="33" t="n"/>
      <c r="O1158" s="33">
        <f>P1158+Q1158</f>
        <v/>
      </c>
      <c r="P1158" s="33" t="n"/>
      <c r="Q1158" s="33" t="n"/>
      <c r="R1158" s="33">
        <f>H1158+K1158-O1158</f>
        <v/>
      </c>
      <c r="S1158" s="33" t="n"/>
      <c r="T1158" s="33" t="n"/>
      <c r="U1158" s="33" t="n"/>
      <c r="V1158" s="33" t="n"/>
      <c r="W1158" s="33" t="n"/>
      <c r="X1158" s="33" t="n"/>
      <c r="Y1158" s="33" t="n"/>
      <c r="Z1158" s="33" t="n"/>
      <c r="AA1158" s="4">
        <f>R1158-G1158</f>
        <v/>
      </c>
      <c r="AB1158" s="4">
        <f>G1158-R1158</f>
        <v/>
      </c>
      <c r="AC1158" s="33" t="n"/>
    </row>
    <row r="1159" ht="18.75" customHeight="1">
      <c r="A1159" s="35">
        <f>SUBTOTAL(103,$B$24:B1159)</f>
        <v/>
      </c>
      <c r="B1159" s="36" t="inlineStr">
        <is>
          <t>Мясорубка Moulinex</t>
        </is>
      </c>
      <c r="C1159" s="37" t="inlineStr">
        <is>
          <t>к-т</t>
        </is>
      </c>
      <c r="D1159" s="33" t="n"/>
      <c r="E1159" s="33" t="n"/>
      <c r="F1159" s="33">
        <f>E1159*0.05</f>
        <v/>
      </c>
      <c r="G1159" s="33">
        <f>E1159+F1159</f>
        <v/>
      </c>
      <c r="H1159" s="33" t="n"/>
      <c r="I1159" s="33" t="n"/>
      <c r="J1159" s="33" t="n"/>
      <c r="K1159" s="33">
        <f>L1159+M1159+N1159</f>
        <v/>
      </c>
      <c r="L1159" s="33" t="n"/>
      <c r="M1159" s="33" t="n"/>
      <c r="N1159" s="33" t="n"/>
      <c r="O1159" s="33">
        <f>P1159+Q1159</f>
        <v/>
      </c>
      <c r="P1159" s="33" t="n"/>
      <c r="Q1159" s="33" t="n"/>
      <c r="R1159" s="33">
        <f>H1159+K1159-O1159</f>
        <v/>
      </c>
      <c r="S1159" s="33" t="n"/>
      <c r="T1159" s="33" t="n"/>
      <c r="U1159" s="33" t="n"/>
      <c r="V1159" s="33" t="n"/>
      <c r="W1159" s="33" t="n"/>
      <c r="X1159" s="33" t="n"/>
      <c r="Y1159" s="33" t="n"/>
      <c r="Z1159" s="33" t="n"/>
      <c r="AA1159" s="4">
        <f>R1159-G1159</f>
        <v/>
      </c>
      <c r="AB1159" s="4">
        <f>G1159-R1159</f>
        <v/>
      </c>
      <c r="AC1159" s="33" t="n"/>
    </row>
    <row r="1160" ht="18.75" customHeight="1">
      <c r="A1160" s="35">
        <f>SUBTOTAL(103,$B$24:B1160)</f>
        <v/>
      </c>
      <c r="B1160" s="36" t="inlineStr">
        <is>
          <t>Мясорубки механічні інші</t>
        </is>
      </c>
      <c r="C1160" s="37" t="inlineStr">
        <is>
          <t>к-т</t>
        </is>
      </c>
      <c r="D1160" s="33" t="n"/>
      <c r="E1160" s="33" t="n"/>
      <c r="F1160" s="33">
        <f>E1160*0.05</f>
        <v/>
      </c>
      <c r="G1160" s="33">
        <f>E1160+F1160</f>
        <v/>
      </c>
      <c r="H1160" s="33" t="n"/>
      <c r="I1160" s="33" t="n"/>
      <c r="J1160" s="33" t="n"/>
      <c r="K1160" s="33">
        <f>L1160+M1160+N1160</f>
        <v/>
      </c>
      <c r="L1160" s="33" t="n"/>
      <c r="M1160" s="33" t="n"/>
      <c r="N1160" s="33" t="n"/>
      <c r="O1160" s="33">
        <f>P1160+Q1160</f>
        <v/>
      </c>
      <c r="P1160" s="33" t="n"/>
      <c r="Q1160" s="33" t="n"/>
      <c r="R1160" s="33">
        <f>H1160+K1160-O1160</f>
        <v/>
      </c>
      <c r="S1160" s="33" t="n"/>
      <c r="T1160" s="33" t="n"/>
      <c r="U1160" s="33" t="n"/>
      <c r="V1160" s="33" t="n"/>
      <c r="W1160" s="33" t="n"/>
      <c r="X1160" s="33" t="n"/>
      <c r="Y1160" s="33" t="n"/>
      <c r="Z1160" s="33" t="n"/>
      <c r="AA1160" s="4">
        <f>R1160-G1160</f>
        <v/>
      </c>
      <c r="AB1160" s="4">
        <f>G1160-R1160</f>
        <v/>
      </c>
      <c r="AC1160" s="33" t="n"/>
    </row>
    <row r="1161" ht="18.75" customHeight="1">
      <c r="A1161" s="35">
        <f>SUBTOTAL(103,$B$24:B1161)</f>
        <v/>
      </c>
      <c r="B1161" s="36" t="inlineStr">
        <is>
          <t>Мясорубка механічна МІМ-150</t>
        </is>
      </c>
      <c r="C1161" s="37" t="inlineStr">
        <is>
          <t>к-т</t>
        </is>
      </c>
      <c r="D1161" s="33" t="n"/>
      <c r="E1161" s="33" t="n"/>
      <c r="F1161" s="33">
        <f>E1161*0.05</f>
        <v/>
      </c>
      <c r="G1161" s="33">
        <f>E1161+F1161</f>
        <v/>
      </c>
      <c r="H1161" s="33" t="n"/>
      <c r="I1161" s="33" t="n"/>
      <c r="J1161" s="33" t="n"/>
      <c r="K1161" s="33">
        <f>L1161+M1161+N1161</f>
        <v/>
      </c>
      <c r="L1161" s="33" t="n"/>
      <c r="M1161" s="33" t="n"/>
      <c r="N1161" s="33" t="n"/>
      <c r="O1161" s="33">
        <f>P1161+Q1161</f>
        <v/>
      </c>
      <c r="P1161" s="33" t="n"/>
      <c r="Q1161" s="33" t="n"/>
      <c r="R1161" s="33">
        <f>H1161+K1161-O1161</f>
        <v/>
      </c>
      <c r="S1161" s="33" t="n"/>
      <c r="T1161" s="33" t="n"/>
      <c r="U1161" s="33" t="n"/>
      <c r="V1161" s="33" t="n"/>
      <c r="W1161" s="33" t="n"/>
      <c r="X1161" s="33" t="n"/>
      <c r="Y1161" s="33" t="n"/>
      <c r="Z1161" s="33" t="n"/>
      <c r="AA1161" s="4">
        <f>R1161-G1161</f>
        <v/>
      </c>
      <c r="AB1161" s="4">
        <f>G1161-R1161</f>
        <v/>
      </c>
      <c r="AC1161" s="33" t="n"/>
    </row>
    <row r="1162" ht="37.5" customHeight="1">
      <c r="A1162" s="35">
        <f>SUBTOTAL(103,$B$24:B1162)</f>
        <v/>
      </c>
      <c r="B1162" s="36" t="inlineStr">
        <is>
          <t>Мясорубка механічна МІМ-250 (151-300 кг/год)</t>
        </is>
      </c>
      <c r="C1162" s="37" t="inlineStr">
        <is>
          <t>к-т</t>
        </is>
      </c>
      <c r="D1162" s="33" t="n"/>
      <c r="E1162" s="33" t="n"/>
      <c r="F1162" s="33">
        <f>E1162*0.05</f>
        <v/>
      </c>
      <c r="G1162" s="33">
        <f>E1162+F1162</f>
        <v/>
      </c>
      <c r="H1162" s="33" t="n"/>
      <c r="I1162" s="33" t="n"/>
      <c r="J1162" s="33" t="n"/>
      <c r="K1162" s="33">
        <f>L1162+M1162+N1162</f>
        <v/>
      </c>
      <c r="L1162" s="33" t="n"/>
      <c r="M1162" s="33" t="n"/>
      <c r="N1162" s="33" t="n"/>
      <c r="O1162" s="33">
        <f>P1162+Q1162</f>
        <v/>
      </c>
      <c r="P1162" s="33" t="n"/>
      <c r="Q1162" s="33" t="n"/>
      <c r="R1162" s="33">
        <f>H1162+K1162-O1162</f>
        <v/>
      </c>
      <c r="S1162" s="33" t="n"/>
      <c r="T1162" s="33" t="n"/>
      <c r="U1162" s="33" t="n"/>
      <c r="V1162" s="33" t="n"/>
      <c r="W1162" s="33" t="n"/>
      <c r="X1162" s="33" t="n"/>
      <c r="Y1162" s="33" t="n"/>
      <c r="Z1162" s="33" t="n"/>
      <c r="AA1162" s="4">
        <f>R1162-G1162</f>
        <v/>
      </c>
      <c r="AB1162" s="4">
        <f>G1162-R1162</f>
        <v/>
      </c>
      <c r="AC1162" s="33" t="n"/>
    </row>
    <row r="1163" ht="37.5" customHeight="1">
      <c r="A1163" s="35">
        <f>SUBTOTAL(103,$B$24:B1163)</f>
        <v/>
      </c>
      <c r="B1163" s="36" t="inlineStr">
        <is>
          <t>Мясорубка механічна МІМ-320 (301-500 кг/год)</t>
        </is>
      </c>
      <c r="C1163" s="37" t="inlineStr">
        <is>
          <t>к-т</t>
        </is>
      </c>
      <c r="D1163" s="33" t="n"/>
      <c r="E1163" s="33" t="n"/>
      <c r="F1163" s="33">
        <f>E1163*0.05</f>
        <v/>
      </c>
      <c r="G1163" s="33">
        <f>E1163+F1163</f>
        <v/>
      </c>
      <c r="H1163" s="33" t="n"/>
      <c r="I1163" s="33" t="n"/>
      <c r="J1163" s="33" t="n"/>
      <c r="K1163" s="33">
        <f>L1163+M1163+N1163</f>
        <v/>
      </c>
      <c r="L1163" s="33" t="n"/>
      <c r="M1163" s="33" t="n"/>
      <c r="N1163" s="33" t="n"/>
      <c r="O1163" s="33">
        <f>P1163+Q1163</f>
        <v/>
      </c>
      <c r="P1163" s="33" t="n"/>
      <c r="Q1163" s="33" t="n"/>
      <c r="R1163" s="33">
        <f>H1163+K1163-O1163</f>
        <v/>
      </c>
      <c r="S1163" s="33" t="n"/>
      <c r="T1163" s="33" t="n"/>
      <c r="U1163" s="33" t="n"/>
      <c r="V1163" s="33" t="n"/>
      <c r="W1163" s="33" t="n"/>
      <c r="X1163" s="33" t="n"/>
      <c r="Y1163" s="33" t="n"/>
      <c r="Z1163" s="33" t="n"/>
      <c r="AA1163" s="4">
        <f>R1163-G1163</f>
        <v/>
      </c>
      <c r="AB1163" s="4">
        <f>G1163-R1163</f>
        <v/>
      </c>
      <c r="AC1163" s="33" t="n"/>
    </row>
    <row r="1164" ht="18.75" customHeight="1">
      <c r="A1164" s="35">
        <f>SUBTOTAL(103,$B$24:B1164)</f>
        <v/>
      </c>
      <c r="B1164" s="36" t="inlineStr">
        <is>
          <t>Мясорубка механічна МІМ-300</t>
        </is>
      </c>
      <c r="C1164" s="37" t="inlineStr">
        <is>
          <t>к-т</t>
        </is>
      </c>
      <c r="D1164" s="33" t="n"/>
      <c r="E1164" s="33" t="n"/>
      <c r="F1164" s="33">
        <f>E1164*0.05</f>
        <v/>
      </c>
      <c r="G1164" s="33">
        <f>E1164+F1164</f>
        <v/>
      </c>
      <c r="H1164" s="33" t="n"/>
      <c r="I1164" s="33" t="n"/>
      <c r="J1164" s="33" t="n"/>
      <c r="K1164" s="33">
        <f>L1164+M1164+N1164</f>
        <v/>
      </c>
      <c r="L1164" s="33" t="n"/>
      <c r="M1164" s="33" t="n"/>
      <c r="N1164" s="33" t="n"/>
      <c r="O1164" s="33">
        <f>P1164+Q1164</f>
        <v/>
      </c>
      <c r="P1164" s="33" t="n"/>
      <c r="Q1164" s="33" t="n"/>
      <c r="R1164" s="33">
        <f>H1164+K1164-O1164</f>
        <v/>
      </c>
      <c r="S1164" s="33" t="n"/>
      <c r="T1164" s="33" t="n"/>
      <c r="U1164" s="33" t="n"/>
      <c r="V1164" s="33" t="n"/>
      <c r="W1164" s="33" t="n"/>
      <c r="X1164" s="33" t="n"/>
      <c r="Y1164" s="33" t="n"/>
      <c r="Z1164" s="33" t="n"/>
      <c r="AA1164" s="4">
        <f>R1164-G1164</f>
        <v/>
      </c>
      <c r="AB1164" s="4">
        <f>G1164-R1164</f>
        <v/>
      </c>
      <c r="AC1164" s="33" t="n"/>
    </row>
    <row r="1165" ht="18.75" customHeight="1">
      <c r="A1165" s="35">
        <f>SUBTOTAL(103,$B$24:B1165)</f>
        <v/>
      </c>
      <c r="B1165" s="36" t="inlineStr">
        <is>
          <t>Мясорубка механічна МІМ-400</t>
        </is>
      </c>
      <c r="C1165" s="37" t="inlineStr">
        <is>
          <t>к-т</t>
        </is>
      </c>
      <c r="D1165" s="33" t="n"/>
      <c r="E1165" s="33" t="n"/>
      <c r="F1165" s="33">
        <f>E1165*0.05</f>
        <v/>
      </c>
      <c r="G1165" s="33">
        <f>E1165+F1165</f>
        <v/>
      </c>
      <c r="H1165" s="33" t="n"/>
      <c r="I1165" s="33" t="n"/>
      <c r="J1165" s="33" t="n"/>
      <c r="K1165" s="33">
        <f>L1165+M1165+N1165</f>
        <v/>
      </c>
      <c r="L1165" s="33" t="n"/>
      <c r="M1165" s="33" t="n"/>
      <c r="N1165" s="33" t="n"/>
      <c r="O1165" s="33">
        <f>P1165+Q1165</f>
        <v/>
      </c>
      <c r="P1165" s="33" t="n"/>
      <c r="Q1165" s="33" t="n"/>
      <c r="R1165" s="33">
        <f>H1165+K1165-O1165</f>
        <v/>
      </c>
      <c r="S1165" s="33" t="n"/>
      <c r="T1165" s="33" t="n"/>
      <c r="U1165" s="33" t="n"/>
      <c r="V1165" s="33" t="n"/>
      <c r="W1165" s="33" t="n"/>
      <c r="X1165" s="33" t="n"/>
      <c r="Y1165" s="33" t="n"/>
      <c r="Z1165" s="33" t="n"/>
      <c r="AA1165" s="4">
        <f>R1165-G1165</f>
        <v/>
      </c>
      <c r="AB1165" s="4">
        <f>G1165-R1165</f>
        <v/>
      </c>
      <c r="AC1165" s="33" t="n"/>
    </row>
    <row r="1166" ht="18.75" customHeight="1">
      <c r="A1166" s="35">
        <f>SUBTOTAL(103,$B$24:B1166)</f>
        <v/>
      </c>
      <c r="B1166" s="36" t="inlineStr">
        <is>
          <t>Мясорубка механічна МІМ-600</t>
        </is>
      </c>
      <c r="C1166" s="37" t="inlineStr">
        <is>
          <t>к-т</t>
        </is>
      </c>
      <c r="D1166" s="33" t="n"/>
      <c r="E1166" s="33" t="n"/>
      <c r="F1166" s="33">
        <f>E1166*0.05</f>
        <v/>
      </c>
      <c r="G1166" s="33">
        <f>E1166+F1166</f>
        <v/>
      </c>
      <c r="H1166" s="33" t="n"/>
      <c r="I1166" s="33" t="n"/>
      <c r="J1166" s="33" t="n"/>
      <c r="K1166" s="33">
        <f>L1166+M1166+N1166</f>
        <v/>
      </c>
      <c r="L1166" s="33" t="n"/>
      <c r="M1166" s="33" t="n"/>
      <c r="N1166" s="33" t="n"/>
      <c r="O1166" s="33">
        <f>P1166+Q1166</f>
        <v/>
      </c>
      <c r="P1166" s="33" t="n"/>
      <c r="Q1166" s="33" t="n"/>
      <c r="R1166" s="33">
        <f>H1166+K1166-O1166</f>
        <v/>
      </c>
      <c r="S1166" s="33" t="n"/>
      <c r="T1166" s="33" t="n"/>
      <c r="U1166" s="33" t="n"/>
      <c r="V1166" s="33" t="n"/>
      <c r="W1166" s="33" t="n"/>
      <c r="X1166" s="33" t="n"/>
      <c r="Y1166" s="33" t="n"/>
      <c r="Z1166" s="33" t="n"/>
      <c r="AA1166" s="4">
        <f>R1166-G1166</f>
        <v/>
      </c>
      <c r="AB1166" s="4">
        <f>G1166-R1166</f>
        <v/>
      </c>
      <c r="AC1166" s="33" t="n"/>
    </row>
    <row r="1167" ht="18.75" customHeight="1">
      <c r="A1167" s="35">
        <f>SUBTOTAL(103,$B$24:B1167)</f>
        <v/>
      </c>
      <c r="B1167" s="36" t="inlineStr">
        <is>
          <t>Мясорубка механічна Good Food MG-8</t>
        </is>
      </c>
      <c r="C1167" s="37" t="inlineStr">
        <is>
          <t>к-т</t>
        </is>
      </c>
      <c r="D1167" s="33" t="n"/>
      <c r="E1167" s="33" t="n"/>
      <c r="F1167" s="33">
        <f>E1167*0.05</f>
        <v/>
      </c>
      <c r="G1167" s="33">
        <f>E1167+F1167</f>
        <v/>
      </c>
      <c r="H1167" s="33" t="n"/>
      <c r="I1167" s="33" t="n"/>
      <c r="J1167" s="33" t="n"/>
      <c r="K1167" s="33">
        <f>L1167+M1167+N1167</f>
        <v/>
      </c>
      <c r="L1167" s="33" t="n"/>
      <c r="M1167" s="33" t="n"/>
      <c r="N1167" s="33" t="n"/>
      <c r="O1167" s="33">
        <f>P1167+Q1167</f>
        <v/>
      </c>
      <c r="P1167" s="33" t="n"/>
      <c r="Q1167" s="33" t="n"/>
      <c r="R1167" s="33">
        <f>H1167+K1167-O1167</f>
        <v/>
      </c>
      <c r="S1167" s="33" t="n"/>
      <c r="T1167" s="33" t="n"/>
      <c r="U1167" s="33" t="n"/>
      <c r="V1167" s="33" t="n"/>
      <c r="W1167" s="33" t="n"/>
      <c r="X1167" s="33" t="n"/>
      <c r="Y1167" s="33" t="n"/>
      <c r="Z1167" s="33" t="n"/>
      <c r="AA1167" s="4">
        <f>R1167-G1167</f>
        <v/>
      </c>
      <c r="AB1167" s="4">
        <f>G1167-R1167</f>
        <v/>
      </c>
      <c r="AC1167" s="33" t="n"/>
    </row>
    <row r="1168" ht="18.75" customHeight="1">
      <c r="A1168" s="35">
        <f>SUBTOTAL(103,$B$24:B1168)</f>
        <v/>
      </c>
      <c r="B1168" s="36" t="inlineStr">
        <is>
          <t>М'ясорубка GOOD FOOD MG-12</t>
        </is>
      </c>
      <c r="C1168" s="37" t="inlineStr">
        <is>
          <t>к-т</t>
        </is>
      </c>
      <c r="D1168" s="33" t="n"/>
      <c r="E1168" s="33" t="n"/>
      <c r="F1168" s="33">
        <f>E1168*0.05</f>
        <v/>
      </c>
      <c r="G1168" s="33">
        <f>E1168+F1168</f>
        <v/>
      </c>
      <c r="H1168" s="33" t="n"/>
      <c r="I1168" s="33" t="n"/>
      <c r="J1168" s="33" t="n"/>
      <c r="K1168" s="33">
        <f>L1168+M1168+N1168</f>
        <v/>
      </c>
      <c r="L1168" s="33" t="n"/>
      <c r="M1168" s="33" t="n"/>
      <c r="N1168" s="33" t="n"/>
      <c r="O1168" s="33">
        <f>P1168+Q1168</f>
        <v/>
      </c>
      <c r="P1168" s="33" t="n"/>
      <c r="Q1168" s="33" t="n"/>
      <c r="R1168" s="33">
        <f>H1168+K1168-O1168</f>
        <v/>
      </c>
      <c r="S1168" s="33" t="n"/>
      <c r="T1168" s="33" t="n"/>
      <c r="U1168" s="33" t="n"/>
      <c r="V1168" s="33" t="n"/>
      <c r="W1168" s="33" t="n"/>
      <c r="X1168" s="33" t="n"/>
      <c r="Y1168" s="33" t="n"/>
      <c r="Z1168" s="33" t="n"/>
      <c r="AA1168" s="4">
        <f>R1168-G1168</f>
        <v/>
      </c>
      <c r="AB1168" s="4">
        <f>G1168-R1168</f>
        <v/>
      </c>
      <c r="AC1168" s="33" t="n"/>
    </row>
    <row r="1169" ht="18.75" customHeight="1">
      <c r="A1169" s="35">
        <f>SUBTOTAL(103,$B$24:B1169)</f>
        <v/>
      </c>
      <c r="B1169" s="36" t="inlineStr">
        <is>
          <t>Мясорубка Zelmer</t>
        </is>
      </c>
      <c r="C1169" s="37" t="inlineStr">
        <is>
          <t>к-т</t>
        </is>
      </c>
      <c r="D1169" s="33" t="n"/>
      <c r="E1169" s="33" t="n"/>
      <c r="F1169" s="33">
        <f>E1169*0.05</f>
        <v/>
      </c>
      <c r="G1169" s="33">
        <f>E1169+F1169</f>
        <v/>
      </c>
      <c r="H1169" s="33" t="n"/>
      <c r="I1169" s="33" t="n"/>
      <c r="J1169" s="33" t="n"/>
      <c r="K1169" s="33">
        <f>L1169+M1169+N1169</f>
        <v/>
      </c>
      <c r="L1169" s="33" t="n"/>
      <c r="M1169" s="33" t="n"/>
      <c r="N1169" s="33" t="n"/>
      <c r="O1169" s="33">
        <f>P1169+Q1169</f>
        <v/>
      </c>
      <c r="P1169" s="33" t="n"/>
      <c r="Q1169" s="33" t="n"/>
      <c r="R1169" s="33">
        <f>H1169+K1169-O1169</f>
        <v/>
      </c>
      <c r="S1169" s="33" t="n"/>
      <c r="T1169" s="33" t="n"/>
      <c r="U1169" s="33" t="n"/>
      <c r="V1169" s="33" t="n"/>
      <c r="W1169" s="33" t="n"/>
      <c r="X1169" s="33" t="n"/>
      <c r="Y1169" s="33" t="n"/>
      <c r="Z1169" s="33" t="n"/>
      <c r="AA1169" s="4">
        <f>R1169-G1169</f>
        <v/>
      </c>
      <c r="AB1169" s="4">
        <f>G1169-R1169</f>
        <v/>
      </c>
      <c r="AC1169" s="33" t="n"/>
    </row>
    <row r="1170" ht="18.75" customHeight="1">
      <c r="A1170" s="35">
        <f>SUBTOTAL(103,$B$24:B1170)</f>
        <v/>
      </c>
      <c r="B1170" s="36" t="inlineStr">
        <is>
          <t>Мясорубка Gorenje</t>
        </is>
      </c>
      <c r="C1170" s="37" t="inlineStr">
        <is>
          <t>к-т</t>
        </is>
      </c>
      <c r="D1170" s="33" t="n"/>
      <c r="E1170" s="33" t="n"/>
      <c r="F1170" s="33">
        <f>E1170*0.05</f>
        <v/>
      </c>
      <c r="G1170" s="33">
        <f>E1170+F1170</f>
        <v/>
      </c>
      <c r="H1170" s="33" t="n"/>
      <c r="I1170" s="33" t="n"/>
      <c r="J1170" s="33" t="n"/>
      <c r="K1170" s="33">
        <f>L1170+M1170+N1170</f>
        <v/>
      </c>
      <c r="L1170" s="33" t="n"/>
      <c r="M1170" s="33" t="n"/>
      <c r="N1170" s="33" t="n"/>
      <c r="O1170" s="33">
        <f>P1170+Q1170</f>
        <v/>
      </c>
      <c r="P1170" s="33" t="n"/>
      <c r="Q1170" s="33" t="n"/>
      <c r="R1170" s="33">
        <f>H1170+K1170-O1170</f>
        <v/>
      </c>
      <c r="S1170" s="33" t="n"/>
      <c r="T1170" s="33" t="n"/>
      <c r="U1170" s="33" t="n"/>
      <c r="V1170" s="33" t="n"/>
      <c r="W1170" s="33" t="n"/>
      <c r="X1170" s="33" t="n"/>
      <c r="Y1170" s="33" t="n"/>
      <c r="Z1170" s="33" t="n"/>
      <c r="AA1170" s="4">
        <f>R1170-G1170</f>
        <v/>
      </c>
      <c r="AB1170" s="4">
        <f>G1170-R1170</f>
        <v/>
      </c>
      <c r="AC1170" s="33" t="n"/>
    </row>
    <row r="1171" ht="18.75" customHeight="1">
      <c r="A1171" s="35">
        <f>SUBTOTAL(103,$B$24:B1171)</f>
        <v/>
      </c>
      <c r="B1171" s="36" t="inlineStr">
        <is>
          <t>Мясорубка механічна KENWOOD</t>
        </is>
      </c>
      <c r="C1171" s="37" t="inlineStr">
        <is>
          <t>к-т</t>
        </is>
      </c>
      <c r="D1171" s="33" t="n"/>
      <c r="E1171" s="33" t="n"/>
      <c r="F1171" s="33">
        <f>E1171*0.05</f>
        <v/>
      </c>
      <c r="G1171" s="33">
        <f>E1171+F1171</f>
        <v/>
      </c>
      <c r="H1171" s="33" t="n"/>
      <c r="I1171" s="33" t="n"/>
      <c r="J1171" s="33" t="n"/>
      <c r="K1171" s="33">
        <f>L1171+M1171+N1171</f>
        <v/>
      </c>
      <c r="L1171" s="33" t="n"/>
      <c r="M1171" s="33" t="n"/>
      <c r="N1171" s="33" t="n"/>
      <c r="O1171" s="33">
        <f>P1171+Q1171</f>
        <v/>
      </c>
      <c r="P1171" s="33" t="n"/>
      <c r="Q1171" s="33" t="n"/>
      <c r="R1171" s="33">
        <f>H1171+K1171-O1171</f>
        <v/>
      </c>
      <c r="S1171" s="33" t="n"/>
      <c r="T1171" s="33" t="n"/>
      <c r="U1171" s="33" t="n"/>
      <c r="V1171" s="33" t="n"/>
      <c r="W1171" s="33" t="n"/>
      <c r="X1171" s="33" t="n"/>
      <c r="Y1171" s="33" t="n"/>
      <c r="Z1171" s="33" t="n"/>
      <c r="AA1171" s="4">
        <f>R1171-G1171</f>
        <v/>
      </c>
      <c r="AB1171" s="4">
        <f>G1171-R1171</f>
        <v/>
      </c>
      <c r="AC1171" s="33" t="n"/>
    </row>
    <row r="1172" ht="18.75" customHeight="1">
      <c r="A1172" s="35">
        <f>SUBTOTAL(103,$B$24:B1172)</f>
        <v/>
      </c>
      <c r="B1172" s="36" t="inlineStr">
        <is>
          <t>Мясорубка механічна БРАУН</t>
        </is>
      </c>
      <c r="C1172" s="37" t="inlineStr">
        <is>
          <t>к-т</t>
        </is>
      </c>
      <c r="D1172" s="33" t="n"/>
      <c r="E1172" s="33" t="n"/>
      <c r="F1172" s="33">
        <f>E1172*0.05</f>
        <v/>
      </c>
      <c r="G1172" s="33">
        <f>E1172+F1172</f>
        <v/>
      </c>
      <c r="H1172" s="33" t="n"/>
      <c r="I1172" s="33" t="n"/>
      <c r="J1172" s="33" t="n"/>
      <c r="K1172" s="33">
        <f>L1172+M1172+N1172</f>
        <v/>
      </c>
      <c r="L1172" s="33" t="n"/>
      <c r="M1172" s="33" t="n"/>
      <c r="N1172" s="33" t="n"/>
      <c r="O1172" s="33">
        <f>P1172+Q1172</f>
        <v/>
      </c>
      <c r="P1172" s="33" t="n"/>
      <c r="Q1172" s="33" t="n"/>
      <c r="R1172" s="33">
        <f>H1172+K1172-O1172</f>
        <v/>
      </c>
      <c r="S1172" s="33" t="n"/>
      <c r="T1172" s="33" t="n"/>
      <c r="U1172" s="33" t="n"/>
      <c r="V1172" s="33" t="n"/>
      <c r="W1172" s="33" t="n"/>
      <c r="X1172" s="33" t="n"/>
      <c r="Y1172" s="33" t="n"/>
      <c r="Z1172" s="33" t="n"/>
      <c r="AA1172" s="4">
        <f>R1172-G1172</f>
        <v/>
      </c>
      <c r="AB1172" s="4">
        <f>G1172-R1172</f>
        <v/>
      </c>
      <c r="AC1172" s="33" t="n"/>
    </row>
    <row r="1173" ht="18.75" customHeight="1">
      <c r="A1173" s="35">
        <f>SUBTOTAL(103,$B$24:B1173)</f>
        <v/>
      </c>
      <c r="B1173" s="36" t="inlineStr">
        <is>
          <t>Мясорубка ATS 12</t>
        </is>
      </c>
      <c r="C1173" s="37" t="inlineStr">
        <is>
          <t>к-т</t>
        </is>
      </c>
      <c r="D1173" s="33" t="n"/>
      <c r="E1173" s="33" t="n"/>
      <c r="F1173" s="33">
        <f>E1173*0.05</f>
        <v/>
      </c>
      <c r="G1173" s="33">
        <f>E1173+F1173</f>
        <v/>
      </c>
      <c r="H1173" s="33" t="n"/>
      <c r="I1173" s="33" t="n"/>
      <c r="J1173" s="33" t="n"/>
      <c r="K1173" s="33">
        <f>L1173+M1173+N1173</f>
        <v/>
      </c>
      <c r="L1173" s="33" t="n"/>
      <c r="M1173" s="33" t="n"/>
      <c r="N1173" s="33" t="n"/>
      <c r="O1173" s="33">
        <f>P1173+Q1173</f>
        <v/>
      </c>
      <c r="P1173" s="33" t="n"/>
      <c r="Q1173" s="33" t="n"/>
      <c r="R1173" s="33">
        <f>H1173+K1173-O1173</f>
        <v/>
      </c>
      <c r="S1173" s="33" t="n"/>
      <c r="T1173" s="33" t="n"/>
      <c r="U1173" s="33" t="n"/>
      <c r="V1173" s="33" t="n"/>
      <c r="W1173" s="33" t="n"/>
      <c r="X1173" s="33" t="n"/>
      <c r="Y1173" s="33" t="n"/>
      <c r="Z1173" s="33" t="n"/>
      <c r="AA1173" s="4">
        <f>R1173-G1173</f>
        <v/>
      </c>
      <c r="AB1173" s="4">
        <f>G1173-R1173</f>
        <v/>
      </c>
      <c r="AC1173" s="33" t="n"/>
    </row>
    <row r="1174" ht="37.5" customHeight="1">
      <c r="A1174" s="35">
        <f>SUBTOTAL(103,$B$24:B1174)</f>
        <v/>
      </c>
      <c r="B1174" s="36" t="inlineStr">
        <is>
          <t>М'ясорубка механічна Enterprise Frosty TK-32A</t>
        </is>
      </c>
      <c r="C1174" s="37" t="inlineStr">
        <is>
          <t>к-т</t>
        </is>
      </c>
      <c r="D1174" s="33" t="n"/>
      <c r="E1174" s="33" t="n"/>
      <c r="F1174" s="33">
        <f>E1174*0.05</f>
        <v/>
      </c>
      <c r="G1174" s="33">
        <f>E1174+F1174</f>
        <v/>
      </c>
      <c r="H1174" s="33" t="n"/>
      <c r="I1174" s="33" t="n"/>
      <c r="J1174" s="33" t="n"/>
      <c r="K1174" s="33">
        <f>L1174+M1174+N1174</f>
        <v/>
      </c>
      <c r="L1174" s="33" t="n"/>
      <c r="M1174" s="33" t="n"/>
      <c r="N1174" s="33" t="n"/>
      <c r="O1174" s="33">
        <f>P1174+Q1174</f>
        <v/>
      </c>
      <c r="P1174" s="33" t="n"/>
      <c r="Q1174" s="33" t="n"/>
      <c r="R1174" s="33">
        <f>H1174+K1174-O1174</f>
        <v/>
      </c>
      <c r="S1174" s="33" t="n"/>
      <c r="T1174" s="33" t="n"/>
      <c r="U1174" s="33" t="n"/>
      <c r="V1174" s="33" t="n"/>
      <c r="W1174" s="33" t="n"/>
      <c r="X1174" s="33" t="n"/>
      <c r="Y1174" s="33" t="n"/>
      <c r="Z1174" s="33" t="n"/>
      <c r="AA1174" s="4">
        <f>R1174-G1174</f>
        <v/>
      </c>
      <c r="AB1174" s="4">
        <f>G1174-R1174</f>
        <v/>
      </c>
      <c r="AC1174" s="33" t="n"/>
    </row>
    <row r="1175" ht="18.75" customHeight="1">
      <c r="A1175" s="35">
        <f>SUBTOTAL(103,$B$24:B1175)</f>
        <v/>
      </c>
      <c r="B1175" s="36" t="inlineStr">
        <is>
          <t>М'ясорубка механічна HR-12R</t>
        </is>
      </c>
      <c r="C1175" s="37" t="inlineStr">
        <is>
          <t>к-т</t>
        </is>
      </c>
      <c r="D1175" s="33" t="n"/>
      <c r="E1175" s="33" t="n"/>
      <c r="F1175" s="33">
        <f>E1175*0.05</f>
        <v/>
      </c>
      <c r="G1175" s="33">
        <f>E1175+F1175</f>
        <v/>
      </c>
      <c r="H1175" s="33" t="n"/>
      <c r="I1175" s="33" t="n"/>
      <c r="J1175" s="33" t="n"/>
      <c r="K1175" s="33">
        <f>L1175+M1175+N1175</f>
        <v/>
      </c>
      <c r="L1175" s="33" t="n"/>
      <c r="M1175" s="33" t="n"/>
      <c r="N1175" s="33" t="n"/>
      <c r="O1175" s="33">
        <f>P1175+Q1175</f>
        <v/>
      </c>
      <c r="P1175" s="33" t="n"/>
      <c r="Q1175" s="33" t="n"/>
      <c r="R1175" s="33">
        <f>H1175+K1175-O1175</f>
        <v/>
      </c>
      <c r="S1175" s="33" t="n"/>
      <c r="T1175" s="33" t="n"/>
      <c r="U1175" s="33" t="n"/>
      <c r="V1175" s="33" t="n"/>
      <c r="W1175" s="33" t="n"/>
      <c r="X1175" s="33" t="n"/>
      <c r="Y1175" s="33" t="n"/>
      <c r="Z1175" s="33" t="n"/>
      <c r="AA1175" s="4">
        <f>R1175-G1175</f>
        <v/>
      </c>
      <c r="AB1175" s="4">
        <f>G1175-R1175</f>
        <v/>
      </c>
      <c r="AC1175" s="33" t="n"/>
    </row>
    <row r="1176" ht="18.75" customHeight="1">
      <c r="A1176" s="35">
        <f>SUBTOTAL(103,$B$24:B1176)</f>
        <v/>
      </c>
      <c r="B1176" s="36" t="inlineStr">
        <is>
          <t>М'ясорубка механічна ТЕХПРОМ</t>
        </is>
      </c>
      <c r="C1176" s="37" t="inlineStr">
        <is>
          <t>к-т</t>
        </is>
      </c>
      <c r="D1176" s="33" t="n"/>
      <c r="E1176" s="33" t="n"/>
      <c r="F1176" s="33">
        <f>E1176*0.05</f>
        <v/>
      </c>
      <c r="G1176" s="33">
        <f>E1176+F1176</f>
        <v/>
      </c>
      <c r="H1176" s="33" t="n"/>
      <c r="I1176" s="33" t="n"/>
      <c r="J1176" s="33" t="n"/>
      <c r="K1176" s="33">
        <f>L1176+M1176+N1176</f>
        <v/>
      </c>
      <c r="L1176" s="33" t="n"/>
      <c r="M1176" s="33" t="n"/>
      <c r="N1176" s="33" t="n"/>
      <c r="O1176" s="33">
        <f>P1176+Q1176</f>
        <v/>
      </c>
      <c r="P1176" s="33" t="n"/>
      <c r="Q1176" s="33" t="n"/>
      <c r="R1176" s="33">
        <f>H1176+K1176-O1176</f>
        <v/>
      </c>
      <c r="S1176" s="33" t="n"/>
      <c r="T1176" s="33" t="n"/>
      <c r="U1176" s="33" t="n"/>
      <c r="V1176" s="33" t="n"/>
      <c r="W1176" s="33" t="n"/>
      <c r="X1176" s="33" t="n"/>
      <c r="Y1176" s="33" t="n"/>
      <c r="Z1176" s="33" t="n"/>
      <c r="AA1176" s="4">
        <f>R1176-G1176</f>
        <v/>
      </c>
      <c r="AB1176" s="4">
        <f>G1176-R1176</f>
        <v/>
      </c>
      <c r="AC1176" s="33" t="n"/>
    </row>
    <row r="1177" ht="18.75" customHeight="1">
      <c r="A1177" s="35">
        <f>SUBTOTAL(103,$B$24:B1177)</f>
        <v/>
      </c>
      <c r="B1177" s="36" t="inlineStr">
        <is>
          <t>М'ясорубка ковбасник</t>
        </is>
      </c>
      <c r="C1177" s="37" t="inlineStr">
        <is>
          <t>к-т</t>
        </is>
      </c>
      <c r="D1177" s="33" t="n"/>
      <c r="E1177" s="33" t="n"/>
      <c r="F1177" s="33">
        <f>E1177*0.05</f>
        <v/>
      </c>
      <c r="G1177" s="33">
        <f>E1177+F1177</f>
        <v/>
      </c>
      <c r="H1177" s="33" t="n"/>
      <c r="I1177" s="33" t="n"/>
      <c r="J1177" s="33" t="n"/>
      <c r="K1177" s="33">
        <f>L1177+M1177+N1177</f>
        <v/>
      </c>
      <c r="L1177" s="33" t="n"/>
      <c r="M1177" s="33" t="n"/>
      <c r="N1177" s="33" t="n"/>
      <c r="O1177" s="33">
        <f>P1177+Q1177</f>
        <v/>
      </c>
      <c r="P1177" s="33" t="n"/>
      <c r="Q1177" s="33" t="n"/>
      <c r="R1177" s="33">
        <f>H1177+K1177-O1177</f>
        <v/>
      </c>
      <c r="S1177" s="33" t="n"/>
      <c r="T1177" s="33" t="n"/>
      <c r="U1177" s="33" t="n"/>
      <c r="V1177" s="33" t="n"/>
      <c r="W1177" s="33" t="n"/>
      <c r="X1177" s="33" t="n"/>
      <c r="Y1177" s="33" t="n"/>
      <c r="Z1177" s="33" t="n"/>
      <c r="AA1177" s="4">
        <f>R1177-G1177</f>
        <v/>
      </c>
      <c r="AB1177" s="4">
        <f>G1177-R1177</f>
        <v/>
      </c>
      <c r="AC1177" s="33" t="n"/>
    </row>
    <row r="1178" ht="18.75" customHeight="1">
      <c r="A1178" s="35">
        <f>SUBTOTAL(103,$B$24:B1178)</f>
        <v/>
      </c>
      <c r="B1178" s="36" t="inlineStr">
        <is>
          <t>Мясорубка ручна</t>
        </is>
      </c>
      <c r="C1178" s="37" t="inlineStr">
        <is>
          <t>к-т</t>
        </is>
      </c>
      <c r="D1178" s="33" t="n"/>
      <c r="E1178" s="33" t="n"/>
      <c r="F1178" s="33">
        <f>E1178*0.05</f>
        <v/>
      </c>
      <c r="G1178" s="33">
        <f>E1178+F1178</f>
        <v/>
      </c>
      <c r="H1178" s="33" t="n"/>
      <c r="I1178" s="33" t="n"/>
      <c r="J1178" s="33" t="n"/>
      <c r="K1178" s="33">
        <f>L1178+M1178+N1178</f>
        <v/>
      </c>
      <c r="L1178" s="33" t="n"/>
      <c r="M1178" s="33" t="n"/>
      <c r="N1178" s="33" t="n"/>
      <c r="O1178" s="33">
        <f>P1178+Q1178</f>
        <v/>
      </c>
      <c r="P1178" s="33" t="n"/>
      <c r="Q1178" s="33" t="n"/>
      <c r="R1178" s="33">
        <f>H1178+K1178-O1178</f>
        <v/>
      </c>
      <c r="S1178" s="33" t="n"/>
      <c r="T1178" s="33" t="n"/>
      <c r="U1178" s="33" t="n"/>
      <c r="V1178" s="33" t="n"/>
      <c r="W1178" s="33" t="n"/>
      <c r="X1178" s="33" t="n"/>
      <c r="Y1178" s="33" t="n"/>
      <c r="Z1178" s="33" t="n"/>
      <c r="AA1178" s="4">
        <f>R1178-G1178</f>
        <v/>
      </c>
      <c r="AB1178" s="4">
        <f>G1178-R1178</f>
        <v/>
      </c>
      <c r="AC1178" s="33" t="n"/>
    </row>
    <row r="1179" ht="18.75" customHeight="1">
      <c r="A1179" s="35">
        <f>SUBTOTAL(103,$B$24:B1179)</f>
        <v/>
      </c>
      <c r="B1179" s="36" t="inlineStr">
        <is>
          <t>Мясорубка електрична</t>
        </is>
      </c>
      <c r="C1179" s="37" t="inlineStr">
        <is>
          <t>к-т</t>
        </is>
      </c>
      <c r="D1179" s="33" t="n"/>
      <c r="E1179" s="33" t="n"/>
      <c r="F1179" s="33">
        <f>E1179*0.05</f>
        <v/>
      </c>
      <c r="G1179" s="33">
        <f>E1179+F1179</f>
        <v/>
      </c>
      <c r="H1179" s="33" t="n"/>
      <c r="I1179" s="33" t="n"/>
      <c r="J1179" s="33" t="n"/>
      <c r="K1179" s="33">
        <f>L1179+M1179+N1179</f>
        <v/>
      </c>
      <c r="L1179" s="33" t="n"/>
      <c r="M1179" s="33" t="n"/>
      <c r="N1179" s="33" t="n"/>
      <c r="O1179" s="33">
        <f>P1179+Q1179</f>
        <v/>
      </c>
      <c r="P1179" s="33" t="n"/>
      <c r="Q1179" s="33" t="n"/>
      <c r="R1179" s="33">
        <f>H1179+K1179-O1179</f>
        <v/>
      </c>
      <c r="S1179" s="33" t="n"/>
      <c r="T1179" s="33" t="n"/>
      <c r="U1179" s="33" t="n"/>
      <c r="V1179" s="33" t="n"/>
      <c r="W1179" s="33" t="n"/>
      <c r="X1179" s="33" t="n"/>
      <c r="Y1179" s="33" t="n"/>
      <c r="Z1179" s="33" t="n"/>
      <c r="AA1179" s="4">
        <f>R1179-G1179</f>
        <v/>
      </c>
      <c r="AB1179" s="4">
        <f>G1179-R1179</f>
        <v/>
      </c>
      <c r="AC1179" s="33" t="n"/>
    </row>
    <row r="1180" ht="18.75" customHeight="1">
      <c r="A1180" s="35">
        <f>SUBTOTAL(103,$B$24:B1180)</f>
        <v/>
      </c>
      <c r="B1180" s="36" t="inlineStr">
        <is>
          <t>Мясорубка ручна МА-С</t>
        </is>
      </c>
      <c r="C1180" s="37" t="inlineStr">
        <is>
          <t>к-т</t>
        </is>
      </c>
      <c r="D1180" s="33" t="n"/>
      <c r="E1180" s="33" t="n"/>
      <c r="F1180" s="33">
        <f>E1180*0.05</f>
        <v/>
      </c>
      <c r="G1180" s="33">
        <f>E1180+F1180</f>
        <v/>
      </c>
      <c r="H1180" s="33" t="n"/>
      <c r="I1180" s="33" t="n"/>
      <c r="J1180" s="33" t="n"/>
      <c r="K1180" s="33">
        <f>L1180+M1180+N1180</f>
        <v/>
      </c>
      <c r="L1180" s="33" t="n"/>
      <c r="M1180" s="33" t="n"/>
      <c r="N1180" s="33" t="n"/>
      <c r="O1180" s="33">
        <f>P1180+Q1180</f>
        <v/>
      </c>
      <c r="P1180" s="33" t="n"/>
      <c r="Q1180" s="33" t="n"/>
      <c r="R1180" s="33">
        <f>H1180+K1180-O1180</f>
        <v/>
      </c>
      <c r="S1180" s="33" t="n"/>
      <c r="T1180" s="33" t="n"/>
      <c r="U1180" s="33" t="n"/>
      <c r="V1180" s="33" t="n"/>
      <c r="W1180" s="33" t="n"/>
      <c r="X1180" s="33" t="n"/>
      <c r="Y1180" s="33" t="n"/>
      <c r="Z1180" s="33" t="n"/>
      <c r="AA1180" s="4">
        <f>R1180-G1180</f>
        <v/>
      </c>
      <c r="AB1180" s="4">
        <f>G1180-R1180</f>
        <v/>
      </c>
      <c r="AC1180" s="33" t="n"/>
    </row>
    <row r="1181" ht="18.75" customHeight="1">
      <c r="A1181" s="35">
        <f>SUBTOTAL(103,$B$24:B1181)</f>
        <v/>
      </c>
      <c r="B1181" s="36" t="inlineStr">
        <is>
          <t>Автомат котлетний</t>
        </is>
      </c>
      <c r="C1181" s="37" t="inlineStr">
        <is>
          <t>к-т</t>
        </is>
      </c>
      <c r="D1181" s="33" t="n"/>
      <c r="E1181" s="33" t="n"/>
      <c r="F1181" s="33">
        <f>E1181*0.05</f>
        <v/>
      </c>
      <c r="G1181" s="33">
        <f>E1181+F1181</f>
        <v/>
      </c>
      <c r="H1181" s="33" t="n"/>
      <c r="I1181" s="33" t="n"/>
      <c r="J1181" s="33" t="n"/>
      <c r="K1181" s="33">
        <f>L1181+M1181+N1181</f>
        <v/>
      </c>
      <c r="L1181" s="33" t="n"/>
      <c r="M1181" s="33" t="n"/>
      <c r="N1181" s="33" t="n"/>
      <c r="O1181" s="33">
        <f>P1181+Q1181</f>
        <v/>
      </c>
      <c r="P1181" s="33" t="n"/>
      <c r="Q1181" s="33" t="n"/>
      <c r="R1181" s="33">
        <f>H1181+K1181-O1181</f>
        <v/>
      </c>
      <c r="S1181" s="33" t="n"/>
      <c r="T1181" s="33" t="n"/>
      <c r="U1181" s="33" t="n"/>
      <c r="V1181" s="33" t="n"/>
      <c r="W1181" s="33" t="n"/>
      <c r="X1181" s="33" t="n"/>
      <c r="Y1181" s="33" t="n"/>
      <c r="Z1181" s="33" t="n"/>
      <c r="AA1181" s="4">
        <f>R1181-G1181</f>
        <v/>
      </c>
      <c r="AB1181" s="4">
        <f>G1181-R1181</f>
        <v/>
      </c>
      <c r="AC1181" s="33" t="n"/>
    </row>
    <row r="1182" ht="18.75" customHeight="1">
      <c r="A1182" s="35">
        <f>SUBTOTAL(103,$B$24:B1182)</f>
        <v/>
      </c>
      <c r="B1182" s="36" t="inlineStr">
        <is>
          <t>Автомат котлетний АК-2М40</t>
        </is>
      </c>
      <c r="C1182" s="37" t="inlineStr">
        <is>
          <t>к-т</t>
        </is>
      </c>
      <c r="D1182" s="33" t="n"/>
      <c r="E1182" s="33" t="n"/>
      <c r="F1182" s="33">
        <f>E1182*0.05</f>
        <v/>
      </c>
      <c r="G1182" s="33">
        <f>E1182+F1182</f>
        <v/>
      </c>
      <c r="H1182" s="33" t="n"/>
      <c r="I1182" s="33" t="n"/>
      <c r="J1182" s="33" t="n"/>
      <c r="K1182" s="33">
        <f>L1182+M1182+N1182</f>
        <v/>
      </c>
      <c r="L1182" s="33" t="n"/>
      <c r="M1182" s="33" t="n"/>
      <c r="N1182" s="33" t="n"/>
      <c r="O1182" s="33">
        <f>P1182+Q1182</f>
        <v/>
      </c>
      <c r="P1182" s="33" t="n"/>
      <c r="Q1182" s="33" t="n"/>
      <c r="R1182" s="33">
        <f>H1182+K1182-O1182</f>
        <v/>
      </c>
      <c r="S1182" s="33" t="n"/>
      <c r="T1182" s="33" t="n"/>
      <c r="U1182" s="33" t="n"/>
      <c r="V1182" s="33" t="n"/>
      <c r="W1182" s="33" t="n"/>
      <c r="X1182" s="33" t="n"/>
      <c r="Y1182" s="33" t="n"/>
      <c r="Z1182" s="33" t="n"/>
      <c r="AA1182" s="4">
        <f>R1182-G1182</f>
        <v/>
      </c>
      <c r="AB1182" s="4">
        <f>G1182-R1182</f>
        <v/>
      </c>
      <c r="AC1182" s="33" t="n"/>
    </row>
    <row r="1183" ht="18.75" customHeight="1">
      <c r="A1183" s="35">
        <f>SUBTOTAL(103,$B$24:B1183)</f>
        <v/>
      </c>
      <c r="B1183" s="36" t="inlineStr">
        <is>
          <t>Фаршмішалка</t>
        </is>
      </c>
      <c r="C1183" s="37" t="inlineStr">
        <is>
          <t>к-т</t>
        </is>
      </c>
      <c r="D1183" s="33" t="n"/>
      <c r="E1183" s="33" t="n"/>
      <c r="F1183" s="33">
        <f>E1183*0.05</f>
        <v/>
      </c>
      <c r="G1183" s="33">
        <f>E1183+F1183</f>
        <v/>
      </c>
      <c r="H1183" s="33" t="n"/>
      <c r="I1183" s="33" t="n"/>
      <c r="J1183" s="33" t="n"/>
      <c r="K1183" s="33">
        <f>L1183+M1183+N1183</f>
        <v/>
      </c>
      <c r="L1183" s="33" t="n"/>
      <c r="M1183" s="33" t="n"/>
      <c r="N1183" s="33" t="n"/>
      <c r="O1183" s="33">
        <f>P1183+Q1183</f>
        <v/>
      </c>
      <c r="P1183" s="33" t="n"/>
      <c r="Q1183" s="33" t="n"/>
      <c r="R1183" s="33">
        <f>H1183+K1183-O1183</f>
        <v/>
      </c>
      <c r="S1183" s="33" t="n"/>
      <c r="T1183" s="33" t="n"/>
      <c r="U1183" s="33" t="n"/>
      <c r="V1183" s="33" t="n"/>
      <c r="W1183" s="33" t="n"/>
      <c r="X1183" s="33" t="n"/>
      <c r="Y1183" s="33" t="n"/>
      <c r="Z1183" s="33" t="n"/>
      <c r="AA1183" s="4">
        <f>R1183-G1183</f>
        <v/>
      </c>
      <c r="AB1183" s="4">
        <f>G1183-R1183</f>
        <v/>
      </c>
      <c r="AC1183" s="33" t="n"/>
    </row>
    <row r="1184" ht="37.5" customHeight="1">
      <c r="A1184" s="35">
        <f>SUBTOTAL(103,$B$24:B1184)</f>
        <v/>
      </c>
      <c r="B1184" s="36" t="inlineStr">
        <is>
          <t xml:space="preserve">Пельменний автомат JGL-120-5B модернізований </t>
        </is>
      </c>
      <c r="C1184" s="37" t="inlineStr">
        <is>
          <t>к-т</t>
        </is>
      </c>
      <c r="D1184" s="33" t="n"/>
      <c r="E1184" s="33" t="n"/>
      <c r="F1184" s="33">
        <f>E1184*0.05</f>
        <v/>
      </c>
      <c r="G1184" s="33">
        <f>E1184+F1184</f>
        <v/>
      </c>
      <c r="H1184" s="33" t="n"/>
      <c r="I1184" s="33" t="n"/>
      <c r="J1184" s="33" t="n"/>
      <c r="K1184" s="33">
        <f>L1184+M1184+N1184</f>
        <v/>
      </c>
      <c r="L1184" s="33" t="n"/>
      <c r="M1184" s="33" t="n"/>
      <c r="N1184" s="33" t="n"/>
      <c r="O1184" s="33">
        <f>P1184+Q1184</f>
        <v/>
      </c>
      <c r="P1184" s="33" t="n"/>
      <c r="Q1184" s="33" t="n"/>
      <c r="R1184" s="33">
        <f>H1184+K1184-O1184</f>
        <v/>
      </c>
      <c r="S1184" s="33" t="n"/>
      <c r="T1184" s="33" t="n"/>
      <c r="U1184" s="33" t="n"/>
      <c r="V1184" s="33" t="n"/>
      <c r="W1184" s="33" t="n"/>
      <c r="X1184" s="33" t="n"/>
      <c r="Y1184" s="33" t="n"/>
      <c r="Z1184" s="33" t="n"/>
      <c r="AA1184" s="4">
        <f>R1184-G1184</f>
        <v/>
      </c>
      <c r="AB1184" s="4">
        <f>G1184-R1184</f>
        <v/>
      </c>
      <c r="AC1184" s="33" t="n"/>
    </row>
    <row r="1185" ht="18.75" customHeight="1">
      <c r="A1185" s="35">
        <f>SUBTOTAL(103,$B$24:B1185)</f>
        <v/>
      </c>
      <c r="B1185" s="36" t="inlineStr">
        <is>
          <t>Кутер HURAKAN HKN-CL9 9л.</t>
        </is>
      </c>
      <c r="C1185" s="37" t="n"/>
      <c r="D1185" s="33" t="n"/>
      <c r="E1185" s="33" t="n"/>
      <c r="F1185" s="33">
        <f>E1185*0.05</f>
        <v/>
      </c>
      <c r="G1185" s="33">
        <f>E1185+F1185</f>
        <v/>
      </c>
      <c r="H1185" s="33" t="n"/>
      <c r="I1185" s="33" t="n"/>
      <c r="J1185" s="33" t="n"/>
      <c r="K1185" s="33">
        <f>L1185+M1185+N1185</f>
        <v/>
      </c>
      <c r="L1185" s="33" t="n"/>
      <c r="M1185" s="33" t="n"/>
      <c r="N1185" s="33" t="n"/>
      <c r="O1185" s="33">
        <f>P1185+Q1185</f>
        <v/>
      </c>
      <c r="P1185" s="33" t="n"/>
      <c r="Q1185" s="33" t="n"/>
      <c r="R1185" s="33">
        <f>H1185+K1185-O1185</f>
        <v/>
      </c>
      <c r="S1185" s="33" t="n"/>
      <c r="T1185" s="33" t="n"/>
      <c r="U1185" s="33" t="n"/>
      <c r="V1185" s="33" t="n"/>
      <c r="W1185" s="33" t="n"/>
      <c r="X1185" s="33" t="n"/>
      <c r="Y1185" s="33" t="n"/>
      <c r="Z1185" s="33" t="n"/>
      <c r="AA1185" s="4">
        <f>R1185-G1185</f>
        <v/>
      </c>
      <c r="AB1185" s="4">
        <f>G1185-R1185</f>
        <v/>
      </c>
      <c r="AC1185" s="33" t="n"/>
    </row>
    <row r="1186" ht="18.75" customHeight="1">
      <c r="A1186" s="35">
        <f>SUBTOTAL(103,$B$24:B1186)</f>
        <v/>
      </c>
      <c r="B1186" s="36" t="inlineStr">
        <is>
          <t xml:space="preserve">Блендер </t>
        </is>
      </c>
      <c r="C1186" s="37" t="inlineStr">
        <is>
          <t>к-т</t>
        </is>
      </c>
      <c r="D1186" s="33" t="n"/>
      <c r="E1186" s="33" t="n"/>
      <c r="F1186" s="33">
        <f>E1186*0.05</f>
        <v/>
      </c>
      <c r="G1186" s="33">
        <f>E1186+F1186</f>
        <v/>
      </c>
      <c r="H1186" s="33" t="n"/>
      <c r="I1186" s="33" t="n"/>
      <c r="J1186" s="33" t="n"/>
      <c r="K1186" s="33">
        <f>L1186+M1186+N1186</f>
        <v/>
      </c>
      <c r="L1186" s="33" t="n"/>
      <c r="M1186" s="33" t="n"/>
      <c r="N1186" s="33" t="n"/>
      <c r="O1186" s="33">
        <f>P1186+Q1186</f>
        <v/>
      </c>
      <c r="P1186" s="33" t="n"/>
      <c r="Q1186" s="33" t="n"/>
      <c r="R1186" s="33">
        <f>H1186+K1186-O1186</f>
        <v/>
      </c>
      <c r="S1186" s="33" t="n"/>
      <c r="T1186" s="33" t="n"/>
      <c r="U1186" s="33" t="n"/>
      <c r="V1186" s="33" t="n"/>
      <c r="W1186" s="33" t="n"/>
      <c r="X1186" s="33" t="n"/>
      <c r="Y1186" s="33" t="n"/>
      <c r="Z1186" s="33" t="n"/>
      <c r="AA1186" s="4">
        <f>R1186-G1186</f>
        <v/>
      </c>
      <c r="AB1186" s="4">
        <f>G1186-R1186</f>
        <v/>
      </c>
      <c r="AC1186" s="33" t="n"/>
    </row>
    <row r="1187" ht="18.75" customHeight="1">
      <c r="A1187" s="35">
        <f>SUBTOTAL(103,$B$24:B1187)</f>
        <v/>
      </c>
      <c r="B1187" s="36" t="inlineStr">
        <is>
          <t>Блендер Ceado</t>
        </is>
      </c>
      <c r="C1187" s="37" t="n"/>
      <c r="D1187" s="33" t="n"/>
      <c r="E1187" s="33" t="n"/>
      <c r="F1187" s="33">
        <f>E1187*0.05</f>
        <v/>
      </c>
      <c r="G1187" s="33">
        <f>E1187+F1187</f>
        <v/>
      </c>
      <c r="H1187" s="33" t="n"/>
      <c r="I1187" s="33" t="n"/>
      <c r="J1187" s="33" t="n"/>
      <c r="K1187" s="33">
        <f>L1187+M1187+N1187</f>
        <v/>
      </c>
      <c r="L1187" s="33" t="n"/>
      <c r="M1187" s="33" t="n"/>
      <c r="N1187" s="33" t="n"/>
      <c r="O1187" s="33">
        <f>P1187+Q1187</f>
        <v/>
      </c>
      <c r="P1187" s="33" t="n"/>
      <c r="Q1187" s="33" t="n"/>
      <c r="R1187" s="33">
        <f>H1187+K1187-O1187</f>
        <v/>
      </c>
      <c r="S1187" s="33" t="n"/>
      <c r="T1187" s="33" t="n"/>
      <c r="U1187" s="33" t="n"/>
      <c r="V1187" s="33" t="n"/>
      <c r="W1187" s="33" t="n"/>
      <c r="X1187" s="33" t="n"/>
      <c r="Y1187" s="33" t="n"/>
      <c r="Z1187" s="33" t="n"/>
      <c r="AA1187" s="4">
        <f>R1187-G1187</f>
        <v/>
      </c>
      <c r="AB1187" s="4">
        <f>G1187-R1187</f>
        <v/>
      </c>
      <c r="AC1187" s="33" t="n"/>
    </row>
    <row r="1188" ht="18.75" customHeight="1">
      <c r="A1188" s="35">
        <f>SUBTOTAL(103,$B$24:B1188)</f>
        <v/>
      </c>
      <c r="B1188" s="36" t="inlineStr">
        <is>
          <t xml:space="preserve">Блендер ручний Braun </t>
        </is>
      </c>
      <c r="C1188" s="37" t="inlineStr">
        <is>
          <t>к-т</t>
        </is>
      </c>
      <c r="D1188" s="33" t="n"/>
      <c r="E1188" s="33" t="n"/>
      <c r="F1188" s="33">
        <f>E1188*0.05</f>
        <v/>
      </c>
      <c r="G1188" s="33">
        <f>E1188+F1188</f>
        <v/>
      </c>
      <c r="H1188" s="33" t="n"/>
      <c r="I1188" s="33" t="n"/>
      <c r="J1188" s="33" t="n"/>
      <c r="K1188" s="33">
        <f>L1188+M1188+N1188</f>
        <v/>
      </c>
      <c r="L1188" s="33" t="n"/>
      <c r="M1188" s="33" t="n"/>
      <c r="N1188" s="33" t="n"/>
      <c r="O1188" s="33">
        <f>P1188+Q1188</f>
        <v/>
      </c>
      <c r="P1188" s="33" t="n"/>
      <c r="Q1188" s="33" t="n"/>
      <c r="R1188" s="33">
        <f>H1188+K1188-O1188</f>
        <v/>
      </c>
      <c r="S1188" s="33" t="n"/>
      <c r="T1188" s="33" t="n"/>
      <c r="U1188" s="33" t="n"/>
      <c r="V1188" s="33" t="n"/>
      <c r="W1188" s="33" t="n"/>
      <c r="X1188" s="33" t="n"/>
      <c r="Y1188" s="33" t="n"/>
      <c r="Z1188" s="33" t="n"/>
      <c r="AA1188" s="4">
        <f>R1188-G1188</f>
        <v/>
      </c>
      <c r="AB1188" s="4">
        <f>G1188-R1188</f>
        <v/>
      </c>
      <c r="AC1188" s="33" t="n"/>
    </row>
    <row r="1189" ht="18.75" customHeight="1">
      <c r="A1189" s="35">
        <f>SUBTOTAL(103,$B$24:B1189)</f>
        <v/>
      </c>
      <c r="B1189" s="36" t="inlineStr">
        <is>
          <t>Блендер ручний Braun MQ5035X</t>
        </is>
      </c>
      <c r="C1189" s="37" t="inlineStr">
        <is>
          <t>к-т</t>
        </is>
      </c>
      <c r="D1189" s="33" t="n"/>
      <c r="E1189" s="33" t="n"/>
      <c r="F1189" s="33">
        <f>E1189*0.05</f>
        <v/>
      </c>
      <c r="G1189" s="33">
        <f>E1189+F1189</f>
        <v/>
      </c>
      <c r="H1189" s="33" t="n"/>
      <c r="I1189" s="33" t="n"/>
      <c r="J1189" s="33" t="n"/>
      <c r="K1189" s="33">
        <f>L1189+M1189+N1189</f>
        <v/>
      </c>
      <c r="L1189" s="33" t="n"/>
      <c r="M1189" s="33" t="n"/>
      <c r="N1189" s="33" t="n"/>
      <c r="O1189" s="33">
        <f>P1189+Q1189</f>
        <v/>
      </c>
      <c r="P1189" s="33" t="n"/>
      <c r="Q1189" s="33" t="n"/>
      <c r="R1189" s="33">
        <f>H1189+K1189-O1189</f>
        <v/>
      </c>
      <c r="S1189" s="33" t="n"/>
      <c r="T1189" s="33" t="n"/>
      <c r="U1189" s="33" t="n"/>
      <c r="V1189" s="33" t="n"/>
      <c r="W1189" s="33" t="n"/>
      <c r="X1189" s="33" t="n"/>
      <c r="Y1189" s="33" t="n"/>
      <c r="Z1189" s="33" t="n"/>
      <c r="AA1189" s="4">
        <f>R1189-G1189</f>
        <v/>
      </c>
      <c r="AB1189" s="4">
        <f>G1189-R1189</f>
        <v/>
      </c>
      <c r="AC1189" s="33" t="n"/>
    </row>
    <row r="1190" ht="18.75" customHeight="1">
      <c r="A1190" s="35">
        <f>SUBTOTAL(103,$B$24:B1190)</f>
        <v/>
      </c>
      <c r="B1190" s="36" t="inlineStr">
        <is>
          <t>Блендер ручний Braun MQ7035X</t>
        </is>
      </c>
      <c r="C1190" s="37" t="inlineStr">
        <is>
          <t>к-т</t>
        </is>
      </c>
      <c r="D1190" s="33" t="n"/>
      <c r="E1190" s="33" t="n"/>
      <c r="F1190" s="33">
        <f>E1190*0.05</f>
        <v/>
      </c>
      <c r="G1190" s="33">
        <f>E1190+F1190</f>
        <v/>
      </c>
      <c r="H1190" s="33" t="n"/>
      <c r="I1190" s="33" t="n"/>
      <c r="J1190" s="33" t="n"/>
      <c r="K1190" s="33">
        <f>L1190+M1190+N1190</f>
        <v/>
      </c>
      <c r="L1190" s="33" t="n"/>
      <c r="M1190" s="33" t="n"/>
      <c r="N1190" s="33" t="n"/>
      <c r="O1190" s="33">
        <f>P1190+Q1190</f>
        <v/>
      </c>
      <c r="P1190" s="33" t="n"/>
      <c r="Q1190" s="33" t="n"/>
      <c r="R1190" s="33">
        <f>H1190+K1190-O1190</f>
        <v/>
      </c>
      <c r="S1190" s="33" t="n"/>
      <c r="T1190" s="33" t="n"/>
      <c r="U1190" s="33" t="n"/>
      <c r="V1190" s="33" t="n"/>
      <c r="W1190" s="33" t="n"/>
      <c r="X1190" s="33" t="n"/>
      <c r="Y1190" s="33" t="n"/>
      <c r="Z1190" s="33" t="n"/>
      <c r="AA1190" s="4">
        <f>R1190-G1190</f>
        <v/>
      </c>
      <c r="AB1190" s="4">
        <f>G1190-R1190</f>
        <v/>
      </c>
      <c r="AC1190" s="33" t="n"/>
    </row>
    <row r="1191" ht="18.75" customHeight="1">
      <c r="A1191" s="35">
        <f>SUBTOTAL(103,$B$24:B1191)</f>
        <v/>
      </c>
      <c r="B1191" s="36" t="inlineStr">
        <is>
          <t>Блендер ручний Braun MQ525</t>
        </is>
      </c>
      <c r="C1191" s="37" t="inlineStr">
        <is>
          <t>к-т</t>
        </is>
      </c>
      <c r="D1191" s="33" t="n"/>
      <c r="E1191" s="33" t="n"/>
      <c r="F1191" s="33">
        <f>E1191*0.05</f>
        <v/>
      </c>
      <c r="G1191" s="33">
        <f>E1191+F1191</f>
        <v/>
      </c>
      <c r="H1191" s="33" t="n"/>
      <c r="I1191" s="33" t="n"/>
      <c r="J1191" s="33" t="n"/>
      <c r="K1191" s="33">
        <f>L1191+M1191+N1191</f>
        <v/>
      </c>
      <c r="L1191" s="33" t="n"/>
      <c r="M1191" s="33" t="n"/>
      <c r="N1191" s="33" t="n"/>
      <c r="O1191" s="33">
        <f>P1191+Q1191</f>
        <v/>
      </c>
      <c r="P1191" s="33" t="n"/>
      <c r="Q1191" s="33" t="n"/>
      <c r="R1191" s="33">
        <f>H1191+K1191-O1191</f>
        <v/>
      </c>
      <c r="S1191" s="33" t="n"/>
      <c r="T1191" s="33" t="n"/>
      <c r="U1191" s="33" t="n"/>
      <c r="V1191" s="33" t="n"/>
      <c r="W1191" s="33" t="n"/>
      <c r="X1191" s="33" t="n"/>
      <c r="Y1191" s="33" t="n"/>
      <c r="Z1191" s="33" t="n"/>
      <c r="AA1191" s="4">
        <f>R1191-G1191</f>
        <v/>
      </c>
      <c r="AB1191" s="4">
        <f>G1191-R1191</f>
        <v/>
      </c>
      <c r="AC1191" s="33" t="n"/>
    </row>
    <row r="1192" ht="18.75" customHeight="1">
      <c r="A1192" s="35">
        <f>SUBTOTAL(103,$B$24:B1192)</f>
        <v/>
      </c>
      <c r="B1192" s="36" t="inlineStr">
        <is>
          <t xml:space="preserve">Блендер ручний Tefal HB533138 </t>
        </is>
      </c>
      <c r="C1192" s="37" t="inlineStr">
        <is>
          <t>к-т</t>
        </is>
      </c>
      <c r="D1192" s="33" t="n"/>
      <c r="E1192" s="33" t="n"/>
      <c r="F1192" s="33">
        <f>E1192*0.05</f>
        <v/>
      </c>
      <c r="G1192" s="33">
        <f>E1192+F1192</f>
        <v/>
      </c>
      <c r="H1192" s="33" t="n"/>
      <c r="I1192" s="33" t="n"/>
      <c r="J1192" s="33" t="n"/>
      <c r="K1192" s="33">
        <f>L1192+M1192+N1192</f>
        <v/>
      </c>
      <c r="L1192" s="33" t="n"/>
      <c r="M1192" s="33" t="n"/>
      <c r="N1192" s="33" t="n"/>
      <c r="O1192" s="33">
        <f>P1192+Q1192</f>
        <v/>
      </c>
      <c r="P1192" s="33" t="n"/>
      <c r="Q1192" s="33" t="n"/>
      <c r="R1192" s="33">
        <f>H1192+K1192-O1192</f>
        <v/>
      </c>
      <c r="S1192" s="33" t="n"/>
      <c r="T1192" s="33" t="n"/>
      <c r="U1192" s="33" t="n"/>
      <c r="V1192" s="33" t="n"/>
      <c r="W1192" s="33" t="n"/>
      <c r="X1192" s="33" t="n"/>
      <c r="Y1192" s="33" t="n"/>
      <c r="Z1192" s="33" t="n"/>
      <c r="AA1192" s="4">
        <f>R1192-G1192</f>
        <v/>
      </c>
      <c r="AB1192" s="4">
        <f>G1192-R1192</f>
        <v/>
      </c>
      <c r="AC1192" s="33" t="n"/>
    </row>
    <row r="1193" ht="18.75" customHeight="1">
      <c r="A1193" s="35">
        <f>SUBTOTAL(103,$B$24:B1193)</f>
        <v/>
      </c>
      <c r="B1193" s="36" t="inlineStr">
        <is>
          <t>Блендер погружний ST0047</t>
        </is>
      </c>
      <c r="C1193" s="37" t="inlineStr">
        <is>
          <t>к-т</t>
        </is>
      </c>
      <c r="D1193" s="33" t="n"/>
      <c r="E1193" s="33" t="n"/>
      <c r="F1193" s="33">
        <f>E1193*0.05</f>
        <v/>
      </c>
      <c r="G1193" s="33">
        <f>E1193+F1193</f>
        <v/>
      </c>
      <c r="H1193" s="33" t="n"/>
      <c r="I1193" s="33" t="n"/>
      <c r="J1193" s="33" t="n"/>
      <c r="K1193" s="33">
        <f>L1193+M1193+N1193</f>
        <v/>
      </c>
      <c r="L1193" s="33" t="n"/>
      <c r="M1193" s="33" t="n"/>
      <c r="N1193" s="33" t="n"/>
      <c r="O1193" s="33">
        <f>P1193+Q1193</f>
        <v/>
      </c>
      <c r="P1193" s="33" t="n"/>
      <c r="Q1193" s="33" t="n"/>
      <c r="R1193" s="33">
        <f>H1193+K1193-O1193</f>
        <v/>
      </c>
      <c r="S1193" s="33" t="n"/>
      <c r="T1193" s="33" t="n"/>
      <c r="U1193" s="33" t="n"/>
      <c r="V1193" s="33" t="n"/>
      <c r="W1193" s="33" t="n"/>
      <c r="X1193" s="33" t="n"/>
      <c r="Y1193" s="33" t="n"/>
      <c r="Z1193" s="33" t="n"/>
      <c r="AA1193" s="4">
        <f>R1193-G1193</f>
        <v/>
      </c>
      <c r="AB1193" s="4">
        <f>G1193-R1193</f>
        <v/>
      </c>
      <c r="AC1193" s="33" t="n"/>
    </row>
    <row r="1194" ht="18.75" customHeight="1">
      <c r="A1194" s="35">
        <f>SUBTOTAL(103,$B$24:B1194)</f>
        <v/>
      </c>
      <c r="B1194" s="39" t="inlineStr">
        <is>
          <t>ТІСТОМІСИЛЬНІ МАШИНИ</t>
        </is>
      </c>
      <c r="C1194" s="37" t="n"/>
      <c r="D1194" s="33" t="n"/>
      <c r="E1194" s="33" t="n"/>
      <c r="F1194" s="33">
        <f>E1194*0.05</f>
        <v/>
      </c>
      <c r="G1194" s="33">
        <f>E1194+F1194</f>
        <v/>
      </c>
      <c r="H1194" s="33" t="n"/>
      <c r="I1194" s="33" t="n"/>
      <c r="J1194" s="33" t="n"/>
      <c r="K1194" s="33">
        <f>L1194+M1194+N1194</f>
        <v/>
      </c>
      <c r="L1194" s="33" t="n"/>
      <c r="M1194" s="33" t="n"/>
      <c r="N1194" s="33" t="n"/>
      <c r="O1194" s="33">
        <f>P1194+Q1194</f>
        <v/>
      </c>
      <c r="P1194" s="33" t="n"/>
      <c r="Q1194" s="33" t="n"/>
      <c r="R1194" s="33">
        <f>H1194+K1194-O1194</f>
        <v/>
      </c>
      <c r="S1194" s="33" t="n"/>
      <c r="T1194" s="33" t="n"/>
      <c r="U1194" s="33" t="n"/>
      <c r="V1194" s="33" t="n"/>
      <c r="W1194" s="33" t="n"/>
      <c r="X1194" s="33" t="n"/>
      <c r="Y1194" s="33" t="n"/>
      <c r="Z1194" s="33" t="n"/>
      <c r="AA1194" s="4">
        <f>R1194-G1194</f>
        <v/>
      </c>
      <c r="AB1194" s="4">
        <f>G1194-R1194</f>
        <v/>
      </c>
      <c r="AC1194" s="33" t="n"/>
    </row>
    <row r="1195" ht="37.5" customHeight="1">
      <c r="A1195" s="35">
        <f>SUBTOTAL(103,$B$24:B1195)</f>
        <v/>
      </c>
      <c r="B1195" s="36" t="inlineStr">
        <is>
          <t>Машина тістомісильна з 1 діжею на 50 кг</t>
        </is>
      </c>
      <c r="C1195" s="37" t="inlineStr">
        <is>
          <t>к-т</t>
        </is>
      </c>
      <c r="D1195" s="33" t="n"/>
      <c r="E1195" s="33" t="n"/>
      <c r="F1195" s="33">
        <f>E1195*0.05</f>
        <v/>
      </c>
      <c r="G1195" s="33">
        <f>E1195+F1195</f>
        <v/>
      </c>
      <c r="H1195" s="33" t="n"/>
      <c r="I1195" s="33" t="n"/>
      <c r="J1195" s="33" t="n"/>
      <c r="K1195" s="33">
        <f>L1195+M1195+N1195</f>
        <v/>
      </c>
      <c r="L1195" s="33" t="n"/>
      <c r="M1195" s="33" t="n"/>
      <c r="N1195" s="33" t="n"/>
      <c r="O1195" s="33">
        <f>P1195+Q1195</f>
        <v/>
      </c>
      <c r="P1195" s="33" t="n"/>
      <c r="Q1195" s="33" t="n"/>
      <c r="R1195" s="33">
        <f>H1195+K1195-O1195</f>
        <v/>
      </c>
      <c r="S1195" s="33" t="n"/>
      <c r="T1195" s="33" t="n"/>
      <c r="U1195" s="33" t="n"/>
      <c r="V1195" s="33" t="n"/>
      <c r="W1195" s="33" t="n"/>
      <c r="X1195" s="33" t="n"/>
      <c r="Y1195" s="33" t="n"/>
      <c r="Z1195" s="33" t="n"/>
      <c r="AA1195" s="4">
        <f>R1195-G1195</f>
        <v/>
      </c>
      <c r="AB1195" s="4">
        <f>G1195-R1195</f>
        <v/>
      </c>
      <c r="AC1195" s="33" t="n"/>
    </row>
    <row r="1196" ht="37.5" customHeight="1">
      <c r="A1196" s="35">
        <f>SUBTOTAL(103,$B$24:B1196)</f>
        <v/>
      </c>
      <c r="B1196" s="36" t="inlineStr">
        <is>
          <t>Машина тістомісильна з 1 діжею на 140 л.</t>
        </is>
      </c>
      <c r="C1196" s="37" t="inlineStr">
        <is>
          <t>к-т</t>
        </is>
      </c>
      <c r="D1196" s="33" t="n"/>
      <c r="E1196" s="33" t="n"/>
      <c r="F1196" s="33">
        <f>E1196*0.05</f>
        <v/>
      </c>
      <c r="G1196" s="33">
        <f>E1196+F1196</f>
        <v/>
      </c>
      <c r="H1196" s="33" t="n"/>
      <c r="I1196" s="33" t="n"/>
      <c r="J1196" s="33" t="n"/>
      <c r="K1196" s="33">
        <f>L1196+M1196+N1196</f>
        <v/>
      </c>
      <c r="L1196" s="33" t="n"/>
      <c r="M1196" s="33" t="n"/>
      <c r="N1196" s="33" t="n"/>
      <c r="O1196" s="33">
        <f>P1196+Q1196</f>
        <v/>
      </c>
      <c r="P1196" s="33" t="n"/>
      <c r="Q1196" s="33" t="n"/>
      <c r="R1196" s="33">
        <f>H1196+K1196-O1196</f>
        <v/>
      </c>
      <c r="S1196" s="33" t="n"/>
      <c r="T1196" s="33" t="n"/>
      <c r="U1196" s="33" t="n"/>
      <c r="V1196" s="33" t="n"/>
      <c r="W1196" s="33" t="n"/>
      <c r="X1196" s="33" t="n"/>
      <c r="Y1196" s="33" t="n"/>
      <c r="Z1196" s="33" t="n"/>
      <c r="AA1196" s="4">
        <f>R1196-G1196</f>
        <v/>
      </c>
      <c r="AB1196" s="4">
        <f>G1196-R1196</f>
        <v/>
      </c>
      <c r="AC1196" s="33" t="n"/>
    </row>
    <row r="1197" ht="37.5" customHeight="1">
      <c r="A1197" s="35">
        <f>SUBTOTAL(103,$B$24:B1197)</f>
        <v/>
      </c>
      <c r="B1197" s="36" t="inlineStr">
        <is>
          <t>Машина тістомісильна з 1 діжою на 200 кг</t>
        </is>
      </c>
      <c r="C1197" s="37" t="inlineStr">
        <is>
          <t>к-т</t>
        </is>
      </c>
      <c r="D1197" s="33" t="n"/>
      <c r="E1197" s="33" t="n"/>
      <c r="F1197" s="33">
        <f>E1197*0.05</f>
        <v/>
      </c>
      <c r="G1197" s="33">
        <f>E1197+F1197</f>
        <v/>
      </c>
      <c r="H1197" s="33" t="n"/>
      <c r="I1197" s="33" t="n"/>
      <c r="J1197" s="33" t="n"/>
      <c r="K1197" s="33">
        <f>L1197+M1197+N1197</f>
        <v/>
      </c>
      <c r="L1197" s="33" t="n"/>
      <c r="M1197" s="33" t="n"/>
      <c r="N1197" s="33" t="n"/>
      <c r="O1197" s="33">
        <f>P1197+Q1197</f>
        <v/>
      </c>
      <c r="P1197" s="33" t="n"/>
      <c r="Q1197" s="33" t="n"/>
      <c r="R1197" s="33">
        <f>H1197+K1197-O1197</f>
        <v/>
      </c>
      <c r="S1197" s="33" t="n"/>
      <c r="T1197" s="33" t="n"/>
      <c r="U1197" s="33" t="n"/>
      <c r="V1197" s="33" t="n"/>
      <c r="W1197" s="33" t="n"/>
      <c r="X1197" s="33" t="n"/>
      <c r="Y1197" s="33" t="n"/>
      <c r="Z1197" s="33" t="n"/>
      <c r="AA1197" s="4">
        <f>R1197-G1197</f>
        <v/>
      </c>
      <c r="AB1197" s="4">
        <f>G1197-R1197</f>
        <v/>
      </c>
      <c r="AC1197" s="33" t="n"/>
    </row>
    <row r="1198" ht="18.75" customHeight="1">
      <c r="A1198" s="35">
        <f>SUBTOTAL(103,$B$24:B1198)</f>
        <v/>
      </c>
      <c r="B1198" s="36" t="inlineStr">
        <is>
          <t>Машина тістомісильна Fsmar 50CNS2V</t>
        </is>
      </c>
      <c r="C1198" s="37" t="inlineStr">
        <is>
          <t>к-т</t>
        </is>
      </c>
      <c r="D1198" s="33" t="n"/>
      <c r="E1198" s="33" t="n"/>
      <c r="F1198" s="33">
        <f>E1198*0.05</f>
        <v/>
      </c>
      <c r="G1198" s="33">
        <f>E1198+F1198</f>
        <v/>
      </c>
      <c r="H1198" s="33" t="n"/>
      <c r="I1198" s="33" t="n"/>
      <c r="J1198" s="33" t="n"/>
      <c r="K1198" s="33">
        <f>L1198+M1198+N1198</f>
        <v/>
      </c>
      <c r="L1198" s="33" t="n"/>
      <c r="M1198" s="33" t="n"/>
      <c r="N1198" s="33" t="n"/>
      <c r="O1198" s="33">
        <f>P1198+Q1198</f>
        <v/>
      </c>
      <c r="P1198" s="33" t="n"/>
      <c r="Q1198" s="33" t="n"/>
      <c r="R1198" s="33">
        <f>H1198+K1198-O1198</f>
        <v/>
      </c>
      <c r="S1198" s="33" t="n"/>
      <c r="T1198" s="33" t="n"/>
      <c r="U1198" s="33" t="n"/>
      <c r="V1198" s="33" t="n"/>
      <c r="W1198" s="33" t="n"/>
      <c r="X1198" s="33" t="n"/>
      <c r="Y1198" s="33" t="n"/>
      <c r="Z1198" s="33" t="n"/>
      <c r="AA1198" s="4">
        <f>R1198-G1198</f>
        <v/>
      </c>
      <c r="AB1198" s="4">
        <f>G1198-R1198</f>
        <v/>
      </c>
      <c r="AC1198" s="33" t="n"/>
    </row>
    <row r="1199" ht="18.75" customHeight="1">
      <c r="A1199" s="35">
        <f>SUBTOTAL(103,$B$24:B1199)</f>
        <v/>
      </c>
      <c r="B1199" s="36" t="inlineStr">
        <is>
          <t>Машина тістомісильна ТММ-ТМ</t>
        </is>
      </c>
      <c r="C1199" s="37" t="inlineStr">
        <is>
          <t>к-т</t>
        </is>
      </c>
      <c r="D1199" s="33" t="n"/>
      <c r="E1199" s="33" t="n"/>
      <c r="F1199" s="33">
        <f>E1199*0.05</f>
        <v/>
      </c>
      <c r="G1199" s="33">
        <f>E1199+F1199</f>
        <v/>
      </c>
      <c r="H1199" s="33" t="n"/>
      <c r="I1199" s="33" t="n"/>
      <c r="J1199" s="33" t="n"/>
      <c r="K1199" s="33">
        <f>L1199+M1199+N1199</f>
        <v/>
      </c>
      <c r="L1199" s="33" t="n"/>
      <c r="M1199" s="33" t="n"/>
      <c r="N1199" s="33" t="n"/>
      <c r="O1199" s="33">
        <f>P1199+Q1199</f>
        <v/>
      </c>
      <c r="P1199" s="33" t="n"/>
      <c r="Q1199" s="33" t="n"/>
      <c r="R1199" s="33">
        <f>H1199+K1199-O1199</f>
        <v/>
      </c>
      <c r="S1199" s="33" t="n"/>
      <c r="T1199" s="33" t="n"/>
      <c r="U1199" s="33" t="n"/>
      <c r="V1199" s="33" t="n"/>
      <c r="W1199" s="33" t="n"/>
      <c r="X1199" s="33" t="n"/>
      <c r="Y1199" s="33" t="n"/>
      <c r="Z1199" s="33" t="n"/>
      <c r="AA1199" s="4">
        <f>R1199-G1199</f>
        <v/>
      </c>
      <c r="AB1199" s="4">
        <f>G1199-R1199</f>
        <v/>
      </c>
      <c r="AC1199" s="33" t="n"/>
    </row>
    <row r="1200" ht="18.75" customHeight="1">
      <c r="A1200" s="35">
        <f>SUBTOTAL(103,$B$24:B1200)</f>
        <v/>
      </c>
      <c r="B1200" s="36" t="inlineStr">
        <is>
          <t>Машина тістомісильна А2ХТМ</t>
        </is>
      </c>
      <c r="C1200" s="37" t="inlineStr">
        <is>
          <t>к-т</t>
        </is>
      </c>
      <c r="D1200" s="33" t="n"/>
      <c r="E1200" s="33" t="n"/>
      <c r="F1200" s="33">
        <f>E1200*0.05</f>
        <v/>
      </c>
      <c r="G1200" s="33">
        <f>E1200+F1200</f>
        <v/>
      </c>
      <c r="H1200" s="33" t="n"/>
      <c r="I1200" s="33" t="n"/>
      <c r="J1200" s="33" t="n"/>
      <c r="K1200" s="33">
        <f>L1200+M1200+N1200</f>
        <v/>
      </c>
      <c r="L1200" s="33" t="n"/>
      <c r="M1200" s="33" t="n"/>
      <c r="N1200" s="33" t="n"/>
      <c r="O1200" s="33">
        <f>P1200+Q1200</f>
        <v/>
      </c>
      <c r="P1200" s="33" t="n"/>
      <c r="Q1200" s="33" t="n"/>
      <c r="R1200" s="33">
        <f>H1200+K1200-O1200</f>
        <v/>
      </c>
      <c r="S1200" s="33" t="n"/>
      <c r="T1200" s="33" t="n"/>
      <c r="U1200" s="33" t="n"/>
      <c r="V1200" s="33" t="n"/>
      <c r="W1200" s="33" t="n"/>
      <c r="X1200" s="33" t="n"/>
      <c r="Y1200" s="33" t="n"/>
      <c r="Z1200" s="33" t="n"/>
      <c r="AA1200" s="4">
        <f>R1200-G1200</f>
        <v/>
      </c>
      <c r="AB1200" s="4">
        <f>G1200-R1200</f>
        <v/>
      </c>
      <c r="AC1200" s="33" t="n"/>
    </row>
    <row r="1201" ht="37.5" customHeight="1">
      <c r="A1201" s="35">
        <f>SUBTOTAL(103,$B$24:B1201)</f>
        <v/>
      </c>
      <c r="B1201" s="36" t="inlineStr">
        <is>
          <t>Машина тістомісильна 10-30 л. (Alimachine SM20FT2V)</t>
        </is>
      </c>
      <c r="C1201" s="37" t="inlineStr">
        <is>
          <t>к-т</t>
        </is>
      </c>
      <c r="D1201" s="33" t="n"/>
      <c r="E1201" s="33" t="n"/>
      <c r="F1201" s="33">
        <f>E1201*0.05</f>
        <v/>
      </c>
      <c r="G1201" s="33">
        <f>E1201+F1201</f>
        <v/>
      </c>
      <c r="H1201" s="33" t="n"/>
      <c r="I1201" s="33" t="n"/>
      <c r="J1201" s="33" t="n"/>
      <c r="K1201" s="33">
        <f>L1201+M1201+N1201</f>
        <v/>
      </c>
      <c r="L1201" s="33" t="n"/>
      <c r="M1201" s="33" t="n"/>
      <c r="N1201" s="33" t="n"/>
      <c r="O1201" s="33">
        <f>P1201+Q1201</f>
        <v/>
      </c>
      <c r="P1201" s="33" t="n"/>
      <c r="Q1201" s="33" t="n"/>
      <c r="R1201" s="33">
        <f>H1201+K1201-O1201</f>
        <v/>
      </c>
      <c r="S1201" s="33" t="n"/>
      <c r="T1201" s="33" t="n"/>
      <c r="U1201" s="33" t="n"/>
      <c r="V1201" s="33" t="n"/>
      <c r="W1201" s="33" t="n"/>
      <c r="X1201" s="33" t="n"/>
      <c r="Y1201" s="33" t="n"/>
      <c r="Z1201" s="33" t="n"/>
      <c r="AA1201" s="4">
        <f>R1201-G1201</f>
        <v/>
      </c>
      <c r="AB1201" s="4">
        <f>G1201-R1201</f>
        <v/>
      </c>
      <c r="AC1201" s="33" t="n"/>
    </row>
    <row r="1202" ht="18.75" customHeight="1">
      <c r="A1202" s="35">
        <f>SUBTOTAL(103,$B$24:B1202)</f>
        <v/>
      </c>
      <c r="B1202" s="36" t="inlineStr">
        <is>
          <t>Машина тістомісильна 10-30 л. (Н-20)</t>
        </is>
      </c>
      <c r="C1202" s="37" t="inlineStr">
        <is>
          <t>к-т</t>
        </is>
      </c>
      <c r="D1202" s="33" t="n"/>
      <c r="E1202" s="33" t="n"/>
      <c r="F1202" s="33">
        <f>E1202*0.05</f>
        <v/>
      </c>
      <c r="G1202" s="33">
        <f>E1202+F1202</f>
        <v/>
      </c>
      <c r="H1202" s="33" t="n"/>
      <c r="I1202" s="33" t="n"/>
      <c r="J1202" s="33" t="n"/>
      <c r="K1202" s="33">
        <f>L1202+M1202+N1202</f>
        <v/>
      </c>
      <c r="L1202" s="33" t="n"/>
      <c r="M1202" s="33" t="n"/>
      <c r="N1202" s="33" t="n"/>
      <c r="O1202" s="33">
        <f>P1202+Q1202</f>
        <v/>
      </c>
      <c r="P1202" s="33" t="n"/>
      <c r="Q1202" s="33" t="n"/>
      <c r="R1202" s="33">
        <f>H1202+K1202-O1202</f>
        <v/>
      </c>
      <c r="S1202" s="33" t="n"/>
      <c r="T1202" s="33" t="n"/>
      <c r="U1202" s="33" t="n"/>
      <c r="V1202" s="33" t="n"/>
      <c r="W1202" s="33" t="n"/>
      <c r="X1202" s="33" t="n"/>
      <c r="Y1202" s="33" t="n"/>
      <c r="Z1202" s="33" t="n"/>
      <c r="AA1202" s="4">
        <f>R1202-G1202</f>
        <v/>
      </c>
      <c r="AB1202" s="4">
        <f>G1202-R1202</f>
        <v/>
      </c>
      <c r="AC1202" s="33" t="n"/>
    </row>
    <row r="1203" ht="18.75" customHeight="1">
      <c r="A1203" s="35">
        <f>SUBTOTAL(103,$B$24:B1203)</f>
        <v/>
      </c>
      <c r="B1203" s="36" t="inlineStr">
        <is>
          <t>Машина тістомісильна 10-30 л</t>
        </is>
      </c>
      <c r="C1203" s="37" t="inlineStr">
        <is>
          <t>к-т</t>
        </is>
      </c>
      <c r="D1203" s="33" t="n"/>
      <c r="E1203" s="33" t="n"/>
      <c r="F1203" s="33">
        <f>E1203*0.05</f>
        <v/>
      </c>
      <c r="G1203" s="33">
        <f>E1203+F1203</f>
        <v/>
      </c>
      <c r="H1203" s="33" t="n"/>
      <c r="I1203" s="33" t="n"/>
      <c r="J1203" s="33" t="n"/>
      <c r="K1203" s="33">
        <f>L1203+M1203+N1203</f>
        <v/>
      </c>
      <c r="L1203" s="33" t="n"/>
      <c r="M1203" s="33" t="n"/>
      <c r="N1203" s="33" t="n"/>
      <c r="O1203" s="33">
        <f>P1203+Q1203</f>
        <v/>
      </c>
      <c r="P1203" s="33" t="n"/>
      <c r="Q1203" s="33" t="n"/>
      <c r="R1203" s="33">
        <f>H1203+K1203-O1203</f>
        <v/>
      </c>
      <c r="S1203" s="33" t="n"/>
      <c r="T1203" s="33" t="n"/>
      <c r="U1203" s="33" t="n"/>
      <c r="V1203" s="33" t="n"/>
      <c r="W1203" s="33" t="n"/>
      <c r="X1203" s="33" t="n"/>
      <c r="Y1203" s="33" t="n"/>
      <c r="Z1203" s="33" t="n"/>
      <c r="AA1203" s="4">
        <f>R1203-G1203</f>
        <v/>
      </c>
      <c r="AB1203" s="4">
        <f>G1203-R1203</f>
        <v/>
      </c>
      <c r="AC1203" s="33" t="n"/>
    </row>
    <row r="1204" ht="37.5" customHeight="1">
      <c r="A1204" s="35">
        <f>SUBTOTAL(103,$B$24:B1204)</f>
        <v/>
      </c>
      <c r="B1204" s="36" t="inlineStr">
        <is>
          <t>Машина тістомісильна об'ємом 10-30 л. HKN-M20SN2V</t>
        </is>
      </c>
      <c r="C1204" s="37" t="inlineStr">
        <is>
          <t>шт.</t>
        </is>
      </c>
      <c r="D1204" s="33" t="n"/>
      <c r="E1204" s="33" t="n"/>
      <c r="F1204" s="33">
        <f>E1204*0.05</f>
        <v/>
      </c>
      <c r="G1204" s="33">
        <f>E1204+F1204</f>
        <v/>
      </c>
      <c r="H1204" s="33" t="n"/>
      <c r="I1204" s="33" t="n"/>
      <c r="J1204" s="33" t="n"/>
      <c r="K1204" s="33">
        <f>L1204+M1204+N1204</f>
        <v/>
      </c>
      <c r="L1204" s="33" t="n"/>
      <c r="M1204" s="33" t="n"/>
      <c r="N1204" s="33" t="n"/>
      <c r="O1204" s="33">
        <f>P1204+Q1204</f>
        <v/>
      </c>
      <c r="P1204" s="33" t="n"/>
      <c r="Q1204" s="33" t="n"/>
      <c r="R1204" s="33">
        <f>H1204+K1204-O1204</f>
        <v/>
      </c>
      <c r="S1204" s="33" t="n"/>
      <c r="T1204" s="33" t="n"/>
      <c r="U1204" s="33" t="n"/>
      <c r="V1204" s="33" t="n"/>
      <c r="W1204" s="33" t="n"/>
      <c r="X1204" s="33" t="n"/>
      <c r="Y1204" s="33" t="n"/>
      <c r="Z1204" s="33" t="n"/>
      <c r="AA1204" s="4">
        <f>R1204-G1204</f>
        <v/>
      </c>
      <c r="AB1204" s="4">
        <f>G1204-R1204</f>
        <v/>
      </c>
      <c r="AC1204" s="33" t="n"/>
    </row>
    <row r="1205" ht="37.5" customHeight="1">
      <c r="A1205" s="35">
        <f>SUBTOTAL(103,$B$24:B1205)</f>
        <v/>
      </c>
      <c r="B1205" s="36" t="inlineStr">
        <is>
          <t>Машина тістомісильна об'ємом 31-60 л. HKN-M30SN2V</t>
        </is>
      </c>
      <c r="C1205" s="37" t="inlineStr">
        <is>
          <t>шт.</t>
        </is>
      </c>
      <c r="D1205" s="33" t="n"/>
      <c r="E1205" s="33" t="n"/>
      <c r="F1205" s="33">
        <f>E1205*0.05</f>
        <v/>
      </c>
      <c r="G1205" s="33">
        <f>E1205+F1205</f>
        <v/>
      </c>
      <c r="H1205" s="33" t="n"/>
      <c r="I1205" s="33" t="n"/>
      <c r="J1205" s="33" t="n"/>
      <c r="K1205" s="33">
        <f>L1205+M1205+N1205</f>
        <v/>
      </c>
      <c r="L1205" s="33" t="n"/>
      <c r="M1205" s="33" t="n"/>
      <c r="N1205" s="33" t="n"/>
      <c r="O1205" s="33">
        <f>P1205+Q1205</f>
        <v/>
      </c>
      <c r="P1205" s="33" t="n"/>
      <c r="Q1205" s="33" t="n"/>
      <c r="R1205" s="33">
        <f>H1205+K1205-O1205</f>
        <v/>
      </c>
      <c r="S1205" s="33" t="n"/>
      <c r="T1205" s="33" t="n"/>
      <c r="U1205" s="33" t="n"/>
      <c r="V1205" s="33" t="n"/>
      <c r="W1205" s="33" t="n"/>
      <c r="X1205" s="33" t="n"/>
      <c r="Y1205" s="33" t="n"/>
      <c r="Z1205" s="33" t="n"/>
      <c r="AA1205" s="4">
        <f>R1205-G1205</f>
        <v/>
      </c>
      <c r="AB1205" s="4">
        <f>G1205-R1205</f>
        <v/>
      </c>
      <c r="AC1205" s="33" t="n"/>
    </row>
    <row r="1206" ht="37.5" customHeight="1">
      <c r="A1206" s="35">
        <f>SUBTOTAL(103,$B$24:B1206)</f>
        <v/>
      </c>
      <c r="B1206" s="36" t="inlineStr">
        <is>
          <t>Машина тістомісильна 31-60 л. (Alimacchine SM30FT2V)</t>
        </is>
      </c>
      <c r="C1206" s="37" t="inlineStr">
        <is>
          <t>шт.</t>
        </is>
      </c>
      <c r="D1206" s="33" t="n"/>
      <c r="E1206" s="33" t="n"/>
      <c r="F1206" s="33">
        <f>E1206*0.05</f>
        <v/>
      </c>
      <c r="G1206" s="33">
        <f>E1206+F1206</f>
        <v/>
      </c>
      <c r="H1206" s="33" t="n"/>
      <c r="I1206" s="33" t="n"/>
      <c r="J1206" s="33" t="n"/>
      <c r="K1206" s="33">
        <f>L1206+M1206+N1206</f>
        <v/>
      </c>
      <c r="L1206" s="33" t="n"/>
      <c r="M1206" s="33" t="n"/>
      <c r="N1206" s="33" t="n"/>
      <c r="O1206" s="33">
        <f>P1206+Q1206</f>
        <v/>
      </c>
      <c r="P1206" s="33" t="n"/>
      <c r="Q1206" s="33" t="n"/>
      <c r="R1206" s="33">
        <f>H1206+K1206-O1206</f>
        <v/>
      </c>
      <c r="S1206" s="33" t="n"/>
      <c r="T1206" s="33" t="n"/>
      <c r="U1206" s="33" t="n"/>
      <c r="V1206" s="33" t="n"/>
      <c r="W1206" s="33" t="n"/>
      <c r="X1206" s="33" t="n"/>
      <c r="Y1206" s="33" t="n"/>
      <c r="Z1206" s="33" t="n"/>
      <c r="AA1206" s="4">
        <f>R1206-G1206</f>
        <v/>
      </c>
      <c r="AB1206" s="4">
        <f>G1206-R1206</f>
        <v/>
      </c>
      <c r="AC1206" s="33" t="n"/>
    </row>
    <row r="1207" ht="18.75" customHeight="1">
      <c r="A1207" s="35">
        <f>SUBTOTAL(103,$B$24:B1207)</f>
        <v/>
      </c>
      <c r="B1207" s="36" t="inlineStr">
        <is>
          <t>Машина тістомісильна 31-60 л. (Н-30)</t>
        </is>
      </c>
      <c r="C1207" s="37" t="inlineStr">
        <is>
          <t>к-т</t>
        </is>
      </c>
      <c r="D1207" s="33" t="n"/>
      <c r="E1207" s="33" t="n"/>
      <c r="F1207" s="33">
        <f>E1207*0.05</f>
        <v/>
      </c>
      <c r="G1207" s="33">
        <f>E1207+F1207</f>
        <v/>
      </c>
      <c r="H1207" s="33" t="n"/>
      <c r="I1207" s="33" t="n"/>
      <c r="J1207" s="33" t="n"/>
      <c r="K1207" s="33">
        <f>L1207+M1207+N1207</f>
        <v/>
      </c>
      <c r="L1207" s="33" t="n"/>
      <c r="M1207" s="33" t="n"/>
      <c r="N1207" s="33" t="n"/>
      <c r="O1207" s="33">
        <f>P1207+Q1207</f>
        <v/>
      </c>
      <c r="P1207" s="33" t="n"/>
      <c r="Q1207" s="33" t="n"/>
      <c r="R1207" s="33">
        <f>H1207+K1207-O1207</f>
        <v/>
      </c>
      <c r="S1207" s="33" t="n"/>
      <c r="T1207" s="33" t="n"/>
      <c r="U1207" s="33" t="n"/>
      <c r="V1207" s="33" t="n"/>
      <c r="W1207" s="33" t="n"/>
      <c r="X1207" s="33" t="n"/>
      <c r="Y1207" s="33" t="n"/>
      <c r="Z1207" s="33" t="n"/>
      <c r="AA1207" s="4">
        <f>R1207-G1207</f>
        <v/>
      </c>
      <c r="AB1207" s="4">
        <f>G1207-R1207</f>
        <v/>
      </c>
      <c r="AC1207" s="33" t="n"/>
    </row>
    <row r="1208" ht="37.5" customHeight="1">
      <c r="A1208" s="35">
        <f>SUBTOTAL(103,$B$24:B1208)</f>
        <v/>
      </c>
      <c r="B1208" s="36" t="inlineStr">
        <is>
          <t>Машина тістомісильна 61-100 л. (Fimar 50CNS2V)</t>
        </is>
      </c>
      <c r="C1208" s="37" t="inlineStr">
        <is>
          <t>к-т</t>
        </is>
      </c>
      <c r="D1208" s="33" t="n"/>
      <c r="E1208" s="33" t="n"/>
      <c r="F1208" s="33">
        <f>E1208*0.05</f>
        <v/>
      </c>
      <c r="G1208" s="33">
        <f>E1208+F1208</f>
        <v/>
      </c>
      <c r="H1208" s="33" t="n"/>
      <c r="I1208" s="33" t="n"/>
      <c r="J1208" s="33" t="n"/>
      <c r="K1208" s="33">
        <f>L1208+M1208+N1208</f>
        <v/>
      </c>
      <c r="L1208" s="33" t="n"/>
      <c r="M1208" s="33" t="n"/>
      <c r="N1208" s="33" t="n"/>
      <c r="O1208" s="33">
        <f>P1208+Q1208</f>
        <v/>
      </c>
      <c r="P1208" s="33" t="n"/>
      <c r="Q1208" s="33" t="n"/>
      <c r="R1208" s="33">
        <f>H1208+K1208-O1208</f>
        <v/>
      </c>
      <c r="S1208" s="33" t="n"/>
      <c r="T1208" s="33" t="n"/>
      <c r="U1208" s="33" t="n"/>
      <c r="V1208" s="33" t="n"/>
      <c r="W1208" s="33" t="n"/>
      <c r="X1208" s="33" t="n"/>
      <c r="Y1208" s="33" t="n"/>
      <c r="Z1208" s="33" t="n"/>
      <c r="AA1208" s="4">
        <f>R1208-G1208</f>
        <v/>
      </c>
      <c r="AB1208" s="4">
        <f>G1208-R1208</f>
        <v/>
      </c>
      <c r="AC1208" s="33" t="n"/>
    </row>
    <row r="1209" ht="37.5" customHeight="1">
      <c r="A1209" s="35">
        <f>SUBTOTAL(103,$B$24:B1209)</f>
        <v/>
      </c>
      <c r="B1209" s="36" t="inlineStr">
        <is>
          <t>Машина тістомісильна 10-30 л. FROSTY HS10</t>
        </is>
      </c>
      <c r="C1209" s="37" t="inlineStr">
        <is>
          <t>к-т</t>
        </is>
      </c>
      <c r="D1209" s="33" t="n"/>
      <c r="E1209" s="33" t="n"/>
      <c r="F1209" s="33">
        <f>E1209*0.05</f>
        <v/>
      </c>
      <c r="G1209" s="33">
        <f>E1209+F1209</f>
        <v/>
      </c>
      <c r="H1209" s="33" t="n"/>
      <c r="I1209" s="33" t="n"/>
      <c r="J1209" s="33" t="n"/>
      <c r="K1209" s="33">
        <f>L1209+M1209+N1209</f>
        <v/>
      </c>
      <c r="L1209" s="33" t="n"/>
      <c r="M1209" s="33" t="n"/>
      <c r="N1209" s="33" t="n"/>
      <c r="O1209" s="33">
        <f>P1209+Q1209</f>
        <v/>
      </c>
      <c r="P1209" s="33" t="n"/>
      <c r="Q1209" s="33" t="n"/>
      <c r="R1209" s="33">
        <f>H1209+K1209-O1209</f>
        <v/>
      </c>
      <c r="S1209" s="33" t="n"/>
      <c r="T1209" s="33" t="n"/>
      <c r="U1209" s="33" t="n"/>
      <c r="V1209" s="33" t="n"/>
      <c r="W1209" s="33" t="n"/>
      <c r="X1209" s="33" t="n"/>
      <c r="Y1209" s="33" t="n"/>
      <c r="Z1209" s="33" t="n"/>
      <c r="AA1209" s="4">
        <f>R1209-G1209</f>
        <v/>
      </c>
      <c r="AB1209" s="4">
        <f>G1209-R1209</f>
        <v/>
      </c>
      <c r="AC1209" s="33" t="n"/>
    </row>
    <row r="1210" ht="18.75" customHeight="1">
      <c r="A1210" s="35">
        <f>SUBTOTAL(103,$B$24:B1210)</f>
        <v/>
      </c>
      <c r="B1210" s="36" t="inlineStr">
        <is>
          <t xml:space="preserve">Машина тістомісильна </t>
        </is>
      </c>
      <c r="C1210" s="37" t="inlineStr">
        <is>
          <t>к-т</t>
        </is>
      </c>
      <c r="D1210" s="33" t="n"/>
      <c r="E1210" s="33" t="n"/>
      <c r="F1210" s="33">
        <f>E1210*0.05</f>
        <v/>
      </c>
      <c r="G1210" s="33">
        <f>E1210+F1210</f>
        <v/>
      </c>
      <c r="H1210" s="33" t="n"/>
      <c r="I1210" s="33" t="n"/>
      <c r="J1210" s="33" t="n"/>
      <c r="K1210" s="33">
        <f>L1210+M1210+N1210</f>
        <v/>
      </c>
      <c r="L1210" s="33" t="n"/>
      <c r="M1210" s="33" t="n"/>
      <c r="N1210" s="33" t="n"/>
      <c r="O1210" s="33">
        <f>P1210+Q1210</f>
        <v/>
      </c>
      <c r="P1210" s="33" t="n"/>
      <c r="Q1210" s="33" t="n"/>
      <c r="R1210" s="33">
        <f>H1210+K1210-O1210</f>
        <v/>
      </c>
      <c r="S1210" s="33" t="n"/>
      <c r="T1210" s="33" t="n"/>
      <c r="U1210" s="33" t="n"/>
      <c r="V1210" s="33" t="n"/>
      <c r="W1210" s="33" t="n"/>
      <c r="X1210" s="33" t="n"/>
      <c r="Y1210" s="33" t="n"/>
      <c r="Z1210" s="33" t="n"/>
      <c r="AA1210" s="4">
        <f>R1210-G1210</f>
        <v/>
      </c>
      <c r="AB1210" s="4">
        <f>G1210-R1210</f>
        <v/>
      </c>
      <c r="AC1210" s="33" t="n"/>
    </row>
    <row r="1211" ht="37.5" customHeight="1">
      <c r="A1211" s="35">
        <f>SUBTOTAL(103,$B$24:B1211)</f>
        <v/>
      </c>
      <c r="B1211" s="36" t="inlineStr">
        <is>
          <t>Машина тістомісильна GASTROMIX HS60B 60л</t>
        </is>
      </c>
      <c r="C1211" s="37" t="inlineStr">
        <is>
          <t>к-т</t>
        </is>
      </c>
      <c r="D1211" s="33" t="n"/>
      <c r="E1211" s="33" t="n"/>
      <c r="F1211" s="33">
        <f>E1211*0.05</f>
        <v/>
      </c>
      <c r="G1211" s="33">
        <f>E1211+F1211</f>
        <v/>
      </c>
      <c r="H1211" s="33" t="n"/>
      <c r="I1211" s="33" t="n"/>
      <c r="J1211" s="33" t="n"/>
      <c r="K1211" s="33">
        <f>L1211+M1211+N1211</f>
        <v/>
      </c>
      <c r="L1211" s="33" t="n"/>
      <c r="M1211" s="33" t="n"/>
      <c r="N1211" s="33" t="n"/>
      <c r="O1211" s="33">
        <f>P1211+Q1211</f>
        <v/>
      </c>
      <c r="P1211" s="33" t="n"/>
      <c r="Q1211" s="33" t="n"/>
      <c r="R1211" s="33">
        <f>H1211+K1211-O1211</f>
        <v/>
      </c>
      <c r="S1211" s="33" t="n"/>
      <c r="T1211" s="33" t="n"/>
      <c r="U1211" s="33" t="n"/>
      <c r="V1211" s="33" t="n"/>
      <c r="W1211" s="33" t="n"/>
      <c r="X1211" s="33" t="n"/>
      <c r="Y1211" s="33" t="n"/>
      <c r="Z1211" s="33" t="n"/>
      <c r="AA1211" s="4">
        <f>R1211-G1211</f>
        <v/>
      </c>
      <c r="AB1211" s="4">
        <f>G1211-R1211</f>
        <v/>
      </c>
      <c r="AC1211" s="33" t="n"/>
    </row>
    <row r="1212" ht="18.75" customHeight="1">
      <c r="A1212" s="35">
        <f>SUBTOTAL(103,$B$24:B1212)</f>
        <v/>
      </c>
      <c r="B1212" s="36" t="inlineStr">
        <is>
          <t>Планетарний тістоміс</t>
        </is>
      </c>
      <c r="C1212" s="37" t="inlineStr">
        <is>
          <t>к-т</t>
        </is>
      </c>
      <c r="D1212" s="33" t="n"/>
      <c r="E1212" s="33" t="n"/>
      <c r="F1212" s="33">
        <f>E1212*0.05</f>
        <v/>
      </c>
      <c r="G1212" s="33">
        <f>E1212+F1212</f>
        <v/>
      </c>
      <c r="H1212" s="33" t="n"/>
      <c r="I1212" s="33" t="n"/>
      <c r="J1212" s="33" t="n"/>
      <c r="K1212" s="33">
        <f>L1212+M1212+N1212</f>
        <v/>
      </c>
      <c r="L1212" s="33" t="n"/>
      <c r="M1212" s="33" t="n"/>
      <c r="N1212" s="33" t="n"/>
      <c r="O1212" s="33">
        <f>P1212+Q1212</f>
        <v/>
      </c>
      <c r="P1212" s="33" t="n"/>
      <c r="Q1212" s="33" t="n"/>
      <c r="R1212" s="33">
        <f>H1212+K1212-O1212</f>
        <v/>
      </c>
      <c r="S1212" s="33" t="n"/>
      <c r="T1212" s="33" t="n"/>
      <c r="U1212" s="33" t="n"/>
      <c r="V1212" s="33" t="n"/>
      <c r="W1212" s="33" t="n"/>
      <c r="X1212" s="33" t="n"/>
      <c r="Y1212" s="33" t="n"/>
      <c r="Z1212" s="33" t="n"/>
      <c r="AA1212" s="4">
        <f>R1212-G1212</f>
        <v/>
      </c>
      <c r="AB1212" s="4">
        <f>G1212-R1212</f>
        <v/>
      </c>
      <c r="AC1212" s="33" t="n"/>
    </row>
    <row r="1213" ht="18.75" customHeight="1">
      <c r="A1213" s="35">
        <f>SUBTOTAL(103,$B$24:B1213)</f>
        <v/>
      </c>
      <c r="B1213" s="36" t="inlineStr">
        <is>
          <t>Міксер Gorenje MMC700W</t>
        </is>
      </c>
      <c r="C1213" s="37" t="inlineStr">
        <is>
          <t>к-т</t>
        </is>
      </c>
      <c r="D1213" s="33" t="n"/>
      <c r="E1213" s="33" t="n"/>
      <c r="F1213" s="33">
        <f>E1213*0.05</f>
        <v/>
      </c>
      <c r="G1213" s="33">
        <f>E1213+F1213</f>
        <v/>
      </c>
      <c r="H1213" s="33" t="n"/>
      <c r="I1213" s="33" t="n"/>
      <c r="J1213" s="33" t="n"/>
      <c r="K1213" s="33">
        <f>L1213+M1213+N1213</f>
        <v/>
      </c>
      <c r="L1213" s="33" t="n"/>
      <c r="M1213" s="33" t="n"/>
      <c r="N1213" s="33" t="n"/>
      <c r="O1213" s="33">
        <f>P1213+Q1213</f>
        <v/>
      </c>
      <c r="P1213" s="33" t="n"/>
      <c r="Q1213" s="33" t="n"/>
      <c r="R1213" s="33">
        <f>H1213+K1213-O1213</f>
        <v/>
      </c>
      <c r="S1213" s="33" t="n"/>
      <c r="T1213" s="33" t="n"/>
      <c r="U1213" s="33" t="n"/>
      <c r="V1213" s="33" t="n"/>
      <c r="W1213" s="33" t="n"/>
      <c r="X1213" s="33" t="n"/>
      <c r="Y1213" s="33" t="n"/>
      <c r="Z1213" s="33" t="n"/>
      <c r="AA1213" s="4">
        <f>R1213-G1213</f>
        <v/>
      </c>
      <c r="AB1213" s="4">
        <f>G1213-R1213</f>
        <v/>
      </c>
      <c r="AC1213" s="33" t="n"/>
    </row>
    <row r="1214" ht="18.75" customHeight="1">
      <c r="A1214" s="35">
        <f>SUBTOTAL(103,$B$24:B1214)</f>
        <v/>
      </c>
      <c r="B1214" s="36" t="inlineStr">
        <is>
          <t>Міксер Gorenje M420 CW</t>
        </is>
      </c>
      <c r="C1214" s="37" t="inlineStr">
        <is>
          <t>к-т</t>
        </is>
      </c>
      <c r="D1214" s="33" t="n"/>
      <c r="E1214" s="33" t="n"/>
      <c r="F1214" s="33">
        <f>E1214*0.05</f>
        <v/>
      </c>
      <c r="G1214" s="33">
        <f>E1214+F1214</f>
        <v/>
      </c>
      <c r="H1214" s="33" t="n"/>
      <c r="I1214" s="33" t="n"/>
      <c r="J1214" s="33" t="n"/>
      <c r="K1214" s="33">
        <f>L1214+M1214+N1214</f>
        <v/>
      </c>
      <c r="L1214" s="33" t="n"/>
      <c r="M1214" s="33" t="n"/>
      <c r="N1214" s="33" t="n"/>
      <c r="O1214" s="33">
        <f>P1214+Q1214</f>
        <v/>
      </c>
      <c r="P1214" s="33" t="n"/>
      <c r="Q1214" s="33" t="n"/>
      <c r="R1214" s="33">
        <f>H1214+K1214-O1214</f>
        <v/>
      </c>
      <c r="S1214" s="33" t="n"/>
      <c r="T1214" s="33" t="n"/>
      <c r="U1214" s="33" t="n"/>
      <c r="V1214" s="33" t="n"/>
      <c r="W1214" s="33" t="n"/>
      <c r="X1214" s="33" t="n"/>
      <c r="Y1214" s="33" t="n"/>
      <c r="Z1214" s="33" t="n"/>
      <c r="AA1214" s="4">
        <f>R1214-G1214</f>
        <v/>
      </c>
      <c r="AB1214" s="4">
        <f>G1214-R1214</f>
        <v/>
      </c>
      <c r="AC1214" s="33" t="n"/>
    </row>
    <row r="1215" ht="18.75" customHeight="1">
      <c r="A1215" s="35">
        <f>SUBTOTAL(103,$B$24:B1215)</f>
        <v/>
      </c>
      <c r="B1215" s="36" t="inlineStr">
        <is>
          <t>Міксер планетарний</t>
        </is>
      </c>
      <c r="C1215" s="37" t="n"/>
      <c r="D1215" s="33" t="n"/>
      <c r="E1215" s="33" t="n"/>
      <c r="F1215" s="33">
        <f>E1215*0.05</f>
        <v/>
      </c>
      <c r="G1215" s="33">
        <f>E1215+F1215</f>
        <v/>
      </c>
      <c r="H1215" s="33" t="n"/>
      <c r="I1215" s="33" t="n"/>
      <c r="J1215" s="33" t="n"/>
      <c r="K1215" s="33">
        <f>L1215+M1215+N1215</f>
        <v/>
      </c>
      <c r="L1215" s="33" t="n"/>
      <c r="M1215" s="33" t="n"/>
      <c r="N1215" s="33" t="n"/>
      <c r="O1215" s="33">
        <f>P1215+Q1215</f>
        <v/>
      </c>
      <c r="P1215" s="33" t="n"/>
      <c r="Q1215" s="33" t="n"/>
      <c r="R1215" s="33">
        <f>H1215+K1215-O1215</f>
        <v/>
      </c>
      <c r="S1215" s="33" t="n"/>
      <c r="T1215" s="33" t="n"/>
      <c r="U1215" s="33" t="n"/>
      <c r="V1215" s="33" t="n"/>
      <c r="W1215" s="33" t="n"/>
      <c r="X1215" s="33" t="n"/>
      <c r="Y1215" s="33" t="n"/>
      <c r="Z1215" s="33" t="n"/>
      <c r="AA1215" s="4">
        <f>R1215-G1215</f>
        <v/>
      </c>
      <c r="AB1215" s="4">
        <f>G1215-R1215</f>
        <v/>
      </c>
      <c r="AC1215" s="33" t="n"/>
    </row>
    <row r="1216" ht="18.75" customHeight="1">
      <c r="A1216" s="35">
        <f>SUBTOTAL(103,$B$24:B1216)</f>
        <v/>
      </c>
      <c r="B1216" s="36" t="inlineStr">
        <is>
          <t>Міксер планетарний Frosty FM-5</t>
        </is>
      </c>
      <c r="C1216" s="37" t="inlineStr">
        <is>
          <t>к-т</t>
        </is>
      </c>
      <c r="D1216" s="33" t="n"/>
      <c r="E1216" s="33" t="n"/>
      <c r="F1216" s="33">
        <f>E1216*0.05</f>
        <v/>
      </c>
      <c r="G1216" s="33">
        <f>E1216+F1216</f>
        <v/>
      </c>
      <c r="H1216" s="33" t="n"/>
      <c r="I1216" s="33" t="n"/>
      <c r="J1216" s="33" t="n"/>
      <c r="K1216" s="33">
        <f>L1216+M1216+N1216</f>
        <v/>
      </c>
      <c r="L1216" s="33" t="n"/>
      <c r="M1216" s="33" t="n"/>
      <c r="N1216" s="33" t="n"/>
      <c r="O1216" s="33">
        <f>P1216+Q1216</f>
        <v/>
      </c>
      <c r="P1216" s="33" t="n"/>
      <c r="Q1216" s="33" t="n"/>
      <c r="R1216" s="33">
        <f>H1216+K1216-O1216</f>
        <v/>
      </c>
      <c r="S1216" s="33" t="n"/>
      <c r="T1216" s="33" t="n"/>
      <c r="U1216" s="33" t="n"/>
      <c r="V1216" s="33" t="n"/>
      <c r="W1216" s="33" t="n"/>
      <c r="X1216" s="33" t="n"/>
      <c r="Y1216" s="33" t="n"/>
      <c r="Z1216" s="33" t="n"/>
      <c r="AA1216" s="4">
        <f>R1216-G1216</f>
        <v/>
      </c>
      <c r="AB1216" s="4">
        <f>G1216-R1216</f>
        <v/>
      </c>
      <c r="AC1216" s="33" t="n"/>
    </row>
    <row r="1217" ht="18.75" customHeight="1">
      <c r="A1217" s="35">
        <f>SUBTOTAL(103,$B$24:B1217)</f>
        <v/>
      </c>
      <c r="B1217" s="36" t="inlineStr">
        <is>
          <t>Міксер BSJ</t>
        </is>
      </c>
      <c r="C1217" s="37" t="inlineStr">
        <is>
          <t>к-т</t>
        </is>
      </c>
      <c r="D1217" s="33" t="n"/>
      <c r="E1217" s="33" t="n"/>
      <c r="F1217" s="33">
        <f>E1217*0.05</f>
        <v/>
      </c>
      <c r="G1217" s="33">
        <f>E1217+F1217</f>
        <v/>
      </c>
      <c r="H1217" s="33" t="n"/>
      <c r="I1217" s="33" t="n"/>
      <c r="J1217" s="33" t="n"/>
      <c r="K1217" s="33">
        <f>L1217+M1217+N1217</f>
        <v/>
      </c>
      <c r="L1217" s="33" t="n"/>
      <c r="M1217" s="33" t="n"/>
      <c r="N1217" s="33" t="n"/>
      <c r="O1217" s="33">
        <f>P1217+Q1217</f>
        <v/>
      </c>
      <c r="P1217" s="33" t="n"/>
      <c r="Q1217" s="33" t="n"/>
      <c r="R1217" s="33">
        <f>H1217+K1217-O1217</f>
        <v/>
      </c>
      <c r="S1217" s="33" t="n"/>
      <c r="T1217" s="33" t="n"/>
      <c r="U1217" s="33" t="n"/>
      <c r="V1217" s="33" t="n"/>
      <c r="W1217" s="33" t="n"/>
      <c r="X1217" s="33" t="n"/>
      <c r="Y1217" s="33" t="n"/>
      <c r="Z1217" s="33" t="n"/>
      <c r="AA1217" s="4">
        <f>R1217-G1217</f>
        <v/>
      </c>
      <c r="AB1217" s="4">
        <f>G1217-R1217</f>
        <v/>
      </c>
      <c r="AC1217" s="33" t="n"/>
    </row>
    <row r="1218" ht="18.75" customHeight="1">
      <c r="A1218" s="35">
        <f>SUBTOTAL(103,$B$24:B1218)</f>
        <v/>
      </c>
      <c r="B1218" s="36" t="inlineStr">
        <is>
          <t>Міксер інші</t>
        </is>
      </c>
      <c r="C1218" s="37" t="inlineStr">
        <is>
          <t>к-т</t>
        </is>
      </c>
      <c r="D1218" s="33" t="n"/>
      <c r="E1218" s="33" t="n"/>
      <c r="F1218" s="33">
        <f>E1218*0.05</f>
        <v/>
      </c>
      <c r="G1218" s="33">
        <f>E1218+F1218</f>
        <v/>
      </c>
      <c r="H1218" s="33" t="n"/>
      <c r="I1218" s="33" t="n"/>
      <c r="J1218" s="33" t="n"/>
      <c r="K1218" s="33">
        <f>L1218+M1218+N1218</f>
        <v/>
      </c>
      <c r="L1218" s="33" t="n"/>
      <c r="M1218" s="33" t="n"/>
      <c r="N1218" s="33" t="n"/>
      <c r="O1218" s="33">
        <f>P1218+Q1218</f>
        <v/>
      </c>
      <c r="P1218" s="33" t="n"/>
      <c r="Q1218" s="33" t="n"/>
      <c r="R1218" s="33">
        <f>H1218+K1218-O1218</f>
        <v/>
      </c>
      <c r="S1218" s="33" t="n"/>
      <c r="T1218" s="33" t="n"/>
      <c r="U1218" s="33" t="n"/>
      <c r="V1218" s="33" t="n"/>
      <c r="W1218" s="33" t="n"/>
      <c r="X1218" s="33" t="n"/>
      <c r="Y1218" s="33" t="n"/>
      <c r="Z1218" s="33" t="n"/>
      <c r="AA1218" s="4">
        <f>R1218-G1218</f>
        <v/>
      </c>
      <c r="AB1218" s="4">
        <f>G1218-R1218</f>
        <v/>
      </c>
      <c r="AC1218" s="33" t="n"/>
    </row>
    <row r="1219" ht="18.75" customHeight="1">
      <c r="A1219" s="35">
        <f>SUBTOTAL(103,$B$24:B1219)</f>
        <v/>
      </c>
      <c r="B1219" s="36" t="inlineStr">
        <is>
          <t xml:space="preserve">Машина збивальна </t>
        </is>
      </c>
      <c r="C1219" s="37" t="inlineStr">
        <is>
          <t>к-т</t>
        </is>
      </c>
      <c r="D1219" s="33" t="n"/>
      <c r="E1219" s="33" t="n"/>
      <c r="F1219" s="33">
        <f>E1219*0.05</f>
        <v/>
      </c>
      <c r="G1219" s="33">
        <f>E1219+F1219</f>
        <v/>
      </c>
      <c r="H1219" s="33" t="n"/>
      <c r="I1219" s="33" t="n"/>
      <c r="J1219" s="33" t="n"/>
      <c r="K1219" s="33">
        <f>L1219+M1219+N1219</f>
        <v/>
      </c>
      <c r="L1219" s="33" t="n"/>
      <c r="M1219" s="33" t="n"/>
      <c r="N1219" s="33" t="n"/>
      <c r="O1219" s="33">
        <f>P1219+Q1219</f>
        <v/>
      </c>
      <c r="P1219" s="33" t="n"/>
      <c r="Q1219" s="33" t="n"/>
      <c r="R1219" s="33">
        <f>H1219+K1219-O1219</f>
        <v/>
      </c>
      <c r="S1219" s="33" t="n"/>
      <c r="T1219" s="33" t="n"/>
      <c r="U1219" s="33" t="n"/>
      <c r="V1219" s="33" t="n"/>
      <c r="W1219" s="33" t="n"/>
      <c r="X1219" s="33" t="n"/>
      <c r="Y1219" s="33" t="n"/>
      <c r="Z1219" s="33" t="n"/>
      <c r="AA1219" s="4">
        <f>R1219-G1219</f>
        <v/>
      </c>
      <c r="AB1219" s="4">
        <f>G1219-R1219</f>
        <v/>
      </c>
      <c r="AC1219" s="33" t="n"/>
    </row>
    <row r="1220" ht="37.5" customHeight="1">
      <c r="A1220" s="35">
        <f>SUBTOTAL(103,$B$24:B1220)</f>
        <v/>
      </c>
      <c r="B1220" s="36" t="inlineStr">
        <is>
          <t>Машина для приготування оладів "МПО-350"</t>
        </is>
      </c>
      <c r="C1220" s="37" t="inlineStr">
        <is>
          <t>к-т</t>
        </is>
      </c>
      <c r="D1220" s="33" t="n"/>
      <c r="E1220" s="33" t="n"/>
      <c r="F1220" s="33">
        <f>E1220*0.05</f>
        <v/>
      </c>
      <c r="G1220" s="33">
        <f>E1220+F1220</f>
        <v/>
      </c>
      <c r="H1220" s="33" t="n"/>
      <c r="I1220" s="33" t="n"/>
      <c r="J1220" s="33" t="n"/>
      <c r="K1220" s="33">
        <f>L1220+M1220+N1220</f>
        <v/>
      </c>
      <c r="L1220" s="33" t="n"/>
      <c r="M1220" s="33" t="n"/>
      <c r="N1220" s="33" t="n"/>
      <c r="O1220" s="33">
        <f>P1220+Q1220</f>
        <v/>
      </c>
      <c r="P1220" s="33" t="n"/>
      <c r="Q1220" s="33" t="n"/>
      <c r="R1220" s="33">
        <f>H1220+K1220-O1220</f>
        <v/>
      </c>
      <c r="S1220" s="33" t="n"/>
      <c r="T1220" s="33" t="n"/>
      <c r="U1220" s="33" t="n"/>
      <c r="V1220" s="33" t="n"/>
      <c r="W1220" s="33" t="n"/>
      <c r="X1220" s="33" t="n"/>
      <c r="Y1220" s="33" t="n"/>
      <c r="Z1220" s="33" t="n"/>
      <c r="AA1220" s="4">
        <f>R1220-G1220</f>
        <v/>
      </c>
      <c r="AB1220" s="4">
        <f>G1220-R1220</f>
        <v/>
      </c>
      <c r="AC1220" s="33" t="n"/>
    </row>
    <row r="1221" ht="18.75" customHeight="1">
      <c r="A1221" s="35">
        <f>SUBTOTAL(103,$B$24:B1221)</f>
        <v/>
      </c>
      <c r="B1221" s="36" t="inlineStr">
        <is>
          <t>Міксер планетарний 7 л 240*410*425мм</t>
        </is>
      </c>
      <c r="C1221" s="37" t="inlineStr">
        <is>
          <t>к-т</t>
        </is>
      </c>
      <c r="D1221" s="33" t="n"/>
      <c r="E1221" s="33" t="n"/>
      <c r="F1221" s="33">
        <f>E1221*0.05</f>
        <v/>
      </c>
      <c r="G1221" s="33">
        <f>E1221+F1221</f>
        <v/>
      </c>
      <c r="H1221" s="33" t="n"/>
      <c r="I1221" s="33" t="n"/>
      <c r="J1221" s="33" t="n"/>
      <c r="K1221" s="33">
        <f>L1221+M1221+N1221</f>
        <v/>
      </c>
      <c r="L1221" s="33" t="n"/>
      <c r="M1221" s="33" t="n"/>
      <c r="N1221" s="33" t="n"/>
      <c r="O1221" s="33">
        <f>P1221+Q1221</f>
        <v/>
      </c>
      <c r="P1221" s="33" t="n"/>
      <c r="Q1221" s="33" t="n"/>
      <c r="R1221" s="33">
        <f>H1221+K1221-O1221</f>
        <v/>
      </c>
      <c r="S1221" s="33" t="n"/>
      <c r="T1221" s="33" t="n"/>
      <c r="U1221" s="33" t="n"/>
      <c r="V1221" s="33" t="n"/>
      <c r="W1221" s="33" t="n"/>
      <c r="X1221" s="33" t="n"/>
      <c r="Y1221" s="33" t="n"/>
      <c r="Z1221" s="33" t="n"/>
      <c r="AA1221" s="4">
        <f>R1221-G1221</f>
        <v/>
      </c>
      <c r="AB1221" s="4">
        <f>G1221-R1221</f>
        <v/>
      </c>
      <c r="AC1221" s="33" t="n"/>
    </row>
    <row r="1222" ht="37.5" customHeight="1">
      <c r="A1222" s="35">
        <f>SUBTOTAL(103,$B$24:B1222)</f>
        <v/>
      </c>
      <c r="B1222" s="36" t="inlineStr">
        <is>
          <t>Міксер погружний HURAKAN HKN-MP 160</t>
        </is>
      </c>
      <c r="C1222" s="37" t="inlineStr">
        <is>
          <t>к-т</t>
        </is>
      </c>
      <c r="D1222" s="33" t="n"/>
      <c r="E1222" s="33" t="n"/>
      <c r="F1222" s="33">
        <f>E1222*0.05</f>
        <v/>
      </c>
      <c r="G1222" s="33">
        <f>E1222+F1222</f>
        <v/>
      </c>
      <c r="H1222" s="33" t="n"/>
      <c r="I1222" s="33" t="n"/>
      <c r="J1222" s="33" t="n"/>
      <c r="K1222" s="33">
        <f>L1222+M1222+N1222</f>
        <v/>
      </c>
      <c r="L1222" s="33" t="n"/>
      <c r="M1222" s="33" t="n"/>
      <c r="N1222" s="33" t="n"/>
      <c r="O1222" s="33">
        <f>P1222+Q1222</f>
        <v/>
      </c>
      <c r="P1222" s="33" t="n"/>
      <c r="Q1222" s="33" t="n"/>
      <c r="R1222" s="33">
        <f>H1222+K1222-O1222</f>
        <v/>
      </c>
      <c r="S1222" s="33" t="n"/>
      <c r="T1222" s="33" t="n"/>
      <c r="U1222" s="33" t="n"/>
      <c r="V1222" s="33" t="n"/>
      <c r="W1222" s="33" t="n"/>
      <c r="X1222" s="33" t="n"/>
      <c r="Y1222" s="33" t="n"/>
      <c r="Z1222" s="33" t="n"/>
      <c r="AA1222" s="4">
        <f>R1222-G1222</f>
        <v/>
      </c>
      <c r="AB1222" s="4">
        <f>G1222-R1222</f>
        <v/>
      </c>
      <c r="AC1222" s="33" t="n"/>
    </row>
    <row r="1223" ht="37.5" customHeight="1">
      <c r="A1223" s="35">
        <f>SUBTOTAL(103,$B$24:B1223)</f>
        <v/>
      </c>
      <c r="B1223" s="36" t="inlineStr">
        <is>
          <t>Міксер погружний Fimar Mx25, довжина насадки 270мм 135*100*600</t>
        </is>
      </c>
      <c r="C1223" s="37" t="inlineStr">
        <is>
          <t>к-т</t>
        </is>
      </c>
      <c r="D1223" s="33" t="n"/>
      <c r="E1223" s="33" t="n"/>
      <c r="F1223" s="33">
        <f>E1223*0.05</f>
        <v/>
      </c>
      <c r="G1223" s="33">
        <f>E1223+F1223</f>
        <v/>
      </c>
      <c r="H1223" s="33" t="n"/>
      <c r="I1223" s="33" t="n"/>
      <c r="J1223" s="33" t="n"/>
      <c r="K1223" s="33">
        <f>L1223+M1223+N1223</f>
        <v/>
      </c>
      <c r="L1223" s="33" t="n"/>
      <c r="M1223" s="33" t="n"/>
      <c r="N1223" s="33" t="n"/>
      <c r="O1223" s="33">
        <f>P1223+Q1223</f>
        <v/>
      </c>
      <c r="P1223" s="33" t="n"/>
      <c r="Q1223" s="33" t="n"/>
      <c r="R1223" s="33">
        <f>H1223+K1223-O1223</f>
        <v/>
      </c>
      <c r="S1223" s="33" t="n"/>
      <c r="T1223" s="33" t="n"/>
      <c r="U1223" s="33" t="n"/>
      <c r="V1223" s="33" t="n"/>
      <c r="W1223" s="33" t="n"/>
      <c r="X1223" s="33" t="n"/>
      <c r="Y1223" s="33" t="n"/>
      <c r="Z1223" s="33" t="n"/>
      <c r="AA1223" s="4">
        <f>R1223-G1223</f>
        <v/>
      </c>
      <c r="AB1223" s="4">
        <f>G1223-R1223</f>
        <v/>
      </c>
      <c r="AC1223" s="33" t="n"/>
    </row>
    <row r="1224" ht="18.75" customHeight="1">
      <c r="A1224" s="35">
        <f>SUBTOTAL(103,$B$24:B1224)</f>
        <v/>
      </c>
      <c r="B1224" s="36" t="inlineStr">
        <is>
          <t>Міксер погружний Fimar MX-42</t>
        </is>
      </c>
      <c r="C1224" s="37" t="inlineStr">
        <is>
          <t>к-т</t>
        </is>
      </c>
      <c r="D1224" s="33" t="n"/>
      <c r="E1224" s="33" t="n"/>
      <c r="F1224" s="33">
        <f>E1224*0.05</f>
        <v/>
      </c>
      <c r="G1224" s="33">
        <f>E1224+F1224</f>
        <v/>
      </c>
      <c r="H1224" s="33" t="n"/>
      <c r="I1224" s="33" t="n"/>
      <c r="J1224" s="33" t="n"/>
      <c r="K1224" s="33">
        <f>L1224+M1224+N1224</f>
        <v/>
      </c>
      <c r="L1224" s="33" t="n"/>
      <c r="M1224" s="33" t="n"/>
      <c r="N1224" s="33" t="n"/>
      <c r="O1224" s="33">
        <f>P1224+Q1224</f>
        <v/>
      </c>
      <c r="P1224" s="33" t="n"/>
      <c r="Q1224" s="33" t="n"/>
      <c r="R1224" s="33">
        <f>H1224+K1224-O1224</f>
        <v/>
      </c>
      <c r="S1224" s="33" t="n"/>
      <c r="T1224" s="33" t="n"/>
      <c r="U1224" s="33" t="n"/>
      <c r="V1224" s="33" t="n"/>
      <c r="W1224" s="33" t="n"/>
      <c r="X1224" s="33" t="n"/>
      <c r="Y1224" s="33" t="n"/>
      <c r="Z1224" s="33" t="n"/>
      <c r="AA1224" s="4">
        <f>R1224-G1224</f>
        <v/>
      </c>
      <c r="AB1224" s="4">
        <f>G1224-R1224</f>
        <v/>
      </c>
      <c r="AC1224" s="33" t="n"/>
    </row>
    <row r="1225" ht="18.75" customHeight="1">
      <c r="A1225" s="35">
        <f>SUBTOTAL(103,$B$24:B1225)</f>
        <v/>
      </c>
      <c r="B1225" s="39" t="inlineStr">
        <is>
          <t>КИПЯТИЛЬНИКИ ЕЛЕКТРИЧНІ</t>
        </is>
      </c>
      <c r="C1225" s="37" t="n"/>
      <c r="D1225" s="33" t="n"/>
      <c r="E1225" s="33" t="n"/>
      <c r="F1225" s="33">
        <f>E1225*0.05</f>
        <v/>
      </c>
      <c r="G1225" s="33">
        <f>E1225+F1225</f>
        <v/>
      </c>
      <c r="H1225" s="33" t="n"/>
      <c r="I1225" s="33" t="n"/>
      <c r="J1225" s="33" t="n"/>
      <c r="K1225" s="33">
        <f>L1225+M1225+N1225</f>
        <v/>
      </c>
      <c r="L1225" s="33" t="n"/>
      <c r="M1225" s="33" t="n"/>
      <c r="N1225" s="33" t="n"/>
      <c r="O1225" s="33">
        <f>P1225+Q1225</f>
        <v/>
      </c>
      <c r="P1225" s="33" t="n"/>
      <c r="Q1225" s="33" t="n"/>
      <c r="R1225" s="33">
        <f>H1225+K1225-O1225</f>
        <v/>
      </c>
      <c r="S1225" s="33" t="n"/>
      <c r="T1225" s="33" t="n"/>
      <c r="U1225" s="33" t="n"/>
      <c r="V1225" s="33" t="n"/>
      <c r="W1225" s="33" t="n"/>
      <c r="X1225" s="33" t="n"/>
      <c r="Y1225" s="33" t="n"/>
      <c r="Z1225" s="33" t="n"/>
      <c r="AA1225" s="4">
        <f>R1225-G1225</f>
        <v/>
      </c>
      <c r="AB1225" s="4">
        <f>G1225-R1225</f>
        <v/>
      </c>
      <c r="AC1225" s="33" t="n"/>
    </row>
    <row r="1226" ht="18.75" customHeight="1">
      <c r="A1226" s="35">
        <f>SUBTOTAL(103,$B$24:B1226)</f>
        <v/>
      </c>
      <c r="B1226" s="36" t="inlineStr">
        <is>
          <t>Кипятильник електричний КНЕ-25 л/ч</t>
        </is>
      </c>
      <c r="C1226" s="37" t="inlineStr">
        <is>
          <t>к-т</t>
        </is>
      </c>
      <c r="D1226" s="33" t="n"/>
      <c r="E1226" s="33" t="n"/>
      <c r="F1226" s="33">
        <f>E1226*0.05</f>
        <v/>
      </c>
      <c r="G1226" s="33">
        <f>E1226+F1226</f>
        <v/>
      </c>
      <c r="H1226" s="33" t="n"/>
      <c r="I1226" s="33" t="n"/>
      <c r="J1226" s="33" t="n"/>
      <c r="K1226" s="33">
        <f>L1226+M1226+N1226</f>
        <v/>
      </c>
      <c r="L1226" s="33" t="n"/>
      <c r="M1226" s="33" t="n"/>
      <c r="N1226" s="33" t="n"/>
      <c r="O1226" s="33">
        <f>P1226+Q1226</f>
        <v/>
      </c>
      <c r="P1226" s="33" t="n"/>
      <c r="Q1226" s="33" t="n"/>
      <c r="R1226" s="33">
        <f>H1226+K1226-O1226</f>
        <v/>
      </c>
      <c r="S1226" s="33" t="n"/>
      <c r="T1226" s="33" t="n"/>
      <c r="U1226" s="33" t="n"/>
      <c r="V1226" s="33" t="n"/>
      <c r="W1226" s="33" t="n"/>
      <c r="X1226" s="33" t="n"/>
      <c r="Y1226" s="33" t="n"/>
      <c r="Z1226" s="33" t="n"/>
      <c r="AA1226" s="4">
        <f>R1226-G1226</f>
        <v/>
      </c>
      <c r="AB1226" s="4">
        <f>G1226-R1226</f>
        <v/>
      </c>
      <c r="AC1226" s="33" t="n"/>
    </row>
    <row r="1227" ht="18.75" customHeight="1">
      <c r="A1227" s="35">
        <f>SUBTOTAL(103,$B$24:B1227)</f>
        <v/>
      </c>
      <c r="B1227" s="36" t="inlineStr">
        <is>
          <t>Кипятильник електричний КНЕ-50 л/ч</t>
        </is>
      </c>
      <c r="C1227" s="37" t="inlineStr">
        <is>
          <t>к-т</t>
        </is>
      </c>
      <c r="D1227" s="33" t="n"/>
      <c r="E1227" s="33" t="n"/>
      <c r="F1227" s="33">
        <f>E1227*0.05</f>
        <v/>
      </c>
      <c r="G1227" s="33">
        <f>E1227+F1227</f>
        <v/>
      </c>
      <c r="H1227" s="33" t="n"/>
      <c r="I1227" s="33" t="n"/>
      <c r="J1227" s="33" t="n"/>
      <c r="K1227" s="33">
        <f>L1227+M1227+N1227</f>
        <v/>
      </c>
      <c r="L1227" s="33" t="n"/>
      <c r="M1227" s="33" t="n"/>
      <c r="N1227" s="33" t="n"/>
      <c r="O1227" s="33">
        <f>P1227+Q1227</f>
        <v/>
      </c>
      <c r="P1227" s="33" t="n"/>
      <c r="Q1227" s="33" t="n"/>
      <c r="R1227" s="33">
        <f>H1227+K1227-O1227</f>
        <v/>
      </c>
      <c r="S1227" s="33" t="n"/>
      <c r="T1227" s="33" t="n"/>
      <c r="U1227" s="33" t="n"/>
      <c r="V1227" s="33" t="n"/>
      <c r="W1227" s="33" t="n"/>
      <c r="X1227" s="33" t="n"/>
      <c r="Y1227" s="33" t="n"/>
      <c r="Z1227" s="33" t="n"/>
      <c r="AA1227" s="4">
        <f>R1227-G1227</f>
        <v/>
      </c>
      <c r="AB1227" s="4">
        <f>G1227-R1227</f>
        <v/>
      </c>
      <c r="AC1227" s="33" t="n"/>
    </row>
    <row r="1228" ht="18.75" customHeight="1">
      <c r="A1228" s="35">
        <f>SUBTOTAL(103,$B$24:B1228)</f>
        <v/>
      </c>
      <c r="B1228" s="36" t="inlineStr">
        <is>
          <t>Кипятильник електричний 100 л/ч</t>
        </is>
      </c>
      <c r="C1228" s="37" t="inlineStr">
        <is>
          <t>к-т</t>
        </is>
      </c>
      <c r="D1228" s="33" t="n"/>
      <c r="E1228" s="33" t="n"/>
      <c r="F1228" s="33">
        <f>E1228*0.05</f>
        <v/>
      </c>
      <c r="G1228" s="33">
        <f>E1228+F1228</f>
        <v/>
      </c>
      <c r="H1228" s="33" t="n"/>
      <c r="I1228" s="33" t="n"/>
      <c r="J1228" s="33" t="n"/>
      <c r="K1228" s="33">
        <f>L1228+M1228+N1228</f>
        <v/>
      </c>
      <c r="L1228" s="33" t="n"/>
      <c r="M1228" s="33" t="n"/>
      <c r="N1228" s="33" t="n"/>
      <c r="O1228" s="33">
        <f>P1228+Q1228</f>
        <v/>
      </c>
      <c r="P1228" s="33" t="n"/>
      <c r="Q1228" s="33" t="n"/>
      <c r="R1228" s="33">
        <f>H1228+K1228-O1228</f>
        <v/>
      </c>
      <c r="S1228" s="33" t="n"/>
      <c r="T1228" s="33" t="n"/>
      <c r="U1228" s="33" t="n"/>
      <c r="V1228" s="33" t="n"/>
      <c r="W1228" s="33" t="n"/>
      <c r="X1228" s="33" t="n"/>
      <c r="Y1228" s="33" t="n"/>
      <c r="Z1228" s="33" t="n"/>
      <c r="AA1228" s="4">
        <f>R1228-G1228</f>
        <v/>
      </c>
      <c r="AB1228" s="4">
        <f>G1228-R1228</f>
        <v/>
      </c>
      <c r="AC1228" s="33" t="n"/>
    </row>
    <row r="1229" ht="37.5" customHeight="1">
      <c r="A1229" s="35">
        <f>SUBTOTAL(103,$B$24:B1229)</f>
        <v/>
      </c>
      <c r="B1229" s="36" t="inlineStr">
        <is>
          <t>Кип'ятильник електричний настільний 20-40 л. EWT INOX WD-30E1</t>
        </is>
      </c>
      <c r="C1229" s="37" t="inlineStr">
        <is>
          <t>к-т</t>
        </is>
      </c>
      <c r="D1229" s="33" t="n"/>
      <c r="E1229" s="33" t="n"/>
      <c r="F1229" s="33">
        <f>E1229*0.05</f>
        <v/>
      </c>
      <c r="G1229" s="33">
        <f>E1229+F1229</f>
        <v/>
      </c>
      <c r="H1229" s="33" t="n"/>
      <c r="I1229" s="33" t="n"/>
      <c r="J1229" s="33" t="n"/>
      <c r="K1229" s="33">
        <f>L1229+M1229+N1229</f>
        <v/>
      </c>
      <c r="L1229" s="33" t="n"/>
      <c r="M1229" s="33" t="n"/>
      <c r="N1229" s="33" t="n"/>
      <c r="O1229" s="33">
        <f>P1229+Q1229</f>
        <v/>
      </c>
      <c r="P1229" s="33" t="n"/>
      <c r="Q1229" s="33" t="n"/>
      <c r="R1229" s="33">
        <f>H1229+K1229-O1229</f>
        <v/>
      </c>
      <c r="S1229" s="33" t="n"/>
      <c r="T1229" s="33" t="n"/>
      <c r="U1229" s="33" t="n"/>
      <c r="V1229" s="33" t="n"/>
      <c r="W1229" s="33" t="n"/>
      <c r="X1229" s="33" t="n"/>
      <c r="Y1229" s="33" t="n"/>
      <c r="Z1229" s="33" t="n"/>
      <c r="AA1229" s="4">
        <f>R1229-G1229</f>
        <v/>
      </c>
      <c r="AB1229" s="4">
        <f>G1229-R1229</f>
        <v/>
      </c>
      <c r="AC1229" s="33" t="n"/>
    </row>
    <row r="1230" ht="37.5" customHeight="1">
      <c r="A1230" s="35">
        <f>SUBTOTAL(103,$B$24:B1230)</f>
        <v/>
      </c>
      <c r="B1230" s="36" t="inlineStr">
        <is>
          <t>Кип'ятильник побутовий електричний VMR 100 (1500W)</t>
        </is>
      </c>
      <c r="C1230" s="37" t="inlineStr">
        <is>
          <t>к-т</t>
        </is>
      </c>
      <c r="D1230" s="33" t="n"/>
      <c r="E1230" s="33" t="n"/>
      <c r="F1230" s="33">
        <f>E1230*0.05</f>
        <v/>
      </c>
      <c r="G1230" s="33">
        <f>E1230+F1230</f>
        <v/>
      </c>
      <c r="H1230" s="33" t="n"/>
      <c r="I1230" s="33" t="n"/>
      <c r="J1230" s="33" t="n"/>
      <c r="K1230" s="33">
        <f>L1230+M1230+N1230</f>
        <v/>
      </c>
      <c r="L1230" s="33" t="n"/>
      <c r="M1230" s="33" t="n"/>
      <c r="N1230" s="33" t="n"/>
      <c r="O1230" s="33">
        <f>P1230+Q1230</f>
        <v/>
      </c>
      <c r="P1230" s="33" t="n"/>
      <c r="Q1230" s="33" t="n"/>
      <c r="R1230" s="33">
        <f>H1230+K1230-O1230</f>
        <v/>
      </c>
      <c r="S1230" s="33" t="n"/>
      <c r="T1230" s="33" t="n"/>
      <c r="U1230" s="33" t="n"/>
      <c r="V1230" s="33" t="n"/>
      <c r="W1230" s="33" t="n"/>
      <c r="X1230" s="33" t="n"/>
      <c r="Y1230" s="33" t="n"/>
      <c r="Z1230" s="33" t="n"/>
      <c r="AA1230" s="4">
        <f>R1230-G1230</f>
        <v/>
      </c>
      <c r="AB1230" s="4">
        <f>G1230-R1230</f>
        <v/>
      </c>
      <c r="AC1230" s="33" t="n"/>
    </row>
    <row r="1231" ht="18.75" customHeight="1">
      <c r="A1231" s="35">
        <f>SUBTOTAL(103,$B$24:B1231)</f>
        <v/>
      </c>
      <c r="B1231" s="36" t="inlineStr">
        <is>
          <t>Кипятильник електричний КН-60</t>
        </is>
      </c>
      <c r="C1231" s="37" t="inlineStr">
        <is>
          <t>к-т</t>
        </is>
      </c>
      <c r="D1231" s="33" t="n"/>
      <c r="E1231" s="33" t="n"/>
      <c r="F1231" s="33">
        <f>E1231*0.05</f>
        <v/>
      </c>
      <c r="G1231" s="33">
        <f>E1231+F1231</f>
        <v/>
      </c>
      <c r="H1231" s="33" t="n"/>
      <c r="I1231" s="33" t="n"/>
      <c r="J1231" s="33" t="n"/>
      <c r="K1231" s="33">
        <f>L1231+M1231+N1231</f>
        <v/>
      </c>
      <c r="L1231" s="33" t="n"/>
      <c r="M1231" s="33" t="n"/>
      <c r="N1231" s="33" t="n"/>
      <c r="O1231" s="33">
        <f>P1231+Q1231</f>
        <v/>
      </c>
      <c r="P1231" s="33" t="n"/>
      <c r="Q1231" s="33" t="n"/>
      <c r="R1231" s="33">
        <f>H1231+K1231-O1231</f>
        <v/>
      </c>
      <c r="S1231" s="33" t="n"/>
      <c r="T1231" s="33" t="n"/>
      <c r="U1231" s="33" t="n"/>
      <c r="V1231" s="33" t="n"/>
      <c r="W1231" s="33" t="n"/>
      <c r="X1231" s="33" t="n"/>
      <c r="Y1231" s="33" t="n"/>
      <c r="Z1231" s="33" t="n"/>
      <c r="AA1231" s="4">
        <f>R1231-G1231</f>
        <v/>
      </c>
      <c r="AB1231" s="4">
        <f>G1231-R1231</f>
        <v/>
      </c>
      <c r="AC1231" s="33" t="n"/>
    </row>
    <row r="1232" ht="18.75" customHeight="1">
      <c r="A1232" s="35">
        <f>SUBTOTAL(103,$B$24:B1232)</f>
        <v/>
      </c>
      <c r="B1232" s="36" t="inlineStr">
        <is>
          <t>Кип'ятильник електричний "ROTEX"</t>
        </is>
      </c>
      <c r="C1232" s="37" t="inlineStr">
        <is>
          <t>к-т</t>
        </is>
      </c>
      <c r="D1232" s="33" t="n"/>
      <c r="E1232" s="33" t="n"/>
      <c r="F1232" s="33">
        <f>E1232*0.05</f>
        <v/>
      </c>
      <c r="G1232" s="33">
        <f>E1232+F1232</f>
        <v/>
      </c>
      <c r="H1232" s="33" t="n"/>
      <c r="I1232" s="33" t="n"/>
      <c r="J1232" s="33" t="n"/>
      <c r="K1232" s="33">
        <f>L1232+M1232+N1232</f>
        <v/>
      </c>
      <c r="L1232" s="33" t="n"/>
      <c r="M1232" s="33" t="n"/>
      <c r="N1232" s="33" t="n"/>
      <c r="O1232" s="33">
        <f>P1232+Q1232</f>
        <v/>
      </c>
      <c r="P1232" s="33" t="n"/>
      <c r="Q1232" s="33" t="n"/>
      <c r="R1232" s="33">
        <f>H1232+K1232-O1232</f>
        <v/>
      </c>
      <c r="S1232" s="33" t="n"/>
      <c r="T1232" s="33" t="n"/>
      <c r="U1232" s="33" t="n"/>
      <c r="V1232" s="33" t="n"/>
      <c r="W1232" s="33" t="n"/>
      <c r="X1232" s="33" t="n"/>
      <c r="Y1232" s="33" t="n"/>
      <c r="Z1232" s="33" t="n"/>
      <c r="AA1232" s="4">
        <f>R1232-G1232</f>
        <v/>
      </c>
      <c r="AB1232" s="4">
        <f>G1232-R1232</f>
        <v/>
      </c>
      <c r="AC1232" s="33" t="n"/>
    </row>
    <row r="1233" ht="37.5" customHeight="1">
      <c r="A1233" s="35">
        <f>SUBTOTAL(103,$B$24:B1233)</f>
        <v/>
      </c>
      <c r="B1233" s="36" t="inlineStr">
        <is>
          <t>Кип'ятильник електричний "GoodFood" WB20S</t>
        </is>
      </c>
      <c r="C1233" s="37" t="inlineStr">
        <is>
          <t>к-т</t>
        </is>
      </c>
      <c r="D1233" s="33" t="n"/>
      <c r="E1233" s="33" t="n"/>
      <c r="F1233" s="33">
        <f>E1233*0.05</f>
        <v/>
      </c>
      <c r="G1233" s="33">
        <f>E1233+F1233</f>
        <v/>
      </c>
      <c r="H1233" s="33" t="n"/>
      <c r="I1233" s="33" t="n"/>
      <c r="J1233" s="33" t="n"/>
      <c r="K1233" s="33">
        <f>L1233+M1233+N1233</f>
        <v/>
      </c>
      <c r="L1233" s="33" t="n"/>
      <c r="M1233" s="33" t="n"/>
      <c r="N1233" s="33" t="n"/>
      <c r="O1233" s="33">
        <f>P1233+Q1233</f>
        <v/>
      </c>
      <c r="P1233" s="33" t="n"/>
      <c r="Q1233" s="33" t="n"/>
      <c r="R1233" s="33">
        <f>H1233+K1233-O1233</f>
        <v/>
      </c>
      <c r="S1233" s="33" t="n"/>
      <c r="T1233" s="33" t="n"/>
      <c r="U1233" s="33" t="n"/>
      <c r="V1233" s="33" t="n"/>
      <c r="W1233" s="33" t="n"/>
      <c r="X1233" s="33" t="n"/>
      <c r="Y1233" s="33" t="n"/>
      <c r="Z1233" s="33" t="n"/>
      <c r="AA1233" s="4">
        <f>R1233-G1233</f>
        <v/>
      </c>
      <c r="AB1233" s="4">
        <f>G1233-R1233</f>
        <v/>
      </c>
      <c r="AC1233" s="33" t="n"/>
    </row>
    <row r="1234" ht="37.5" customHeight="1">
      <c r="A1234" s="35">
        <f>SUBTOTAL(103,$B$24:B1234)</f>
        <v/>
      </c>
      <c r="B1234" s="36" t="inlineStr">
        <is>
          <t>Кип'ятильник електричний "Airhot" WB-20</t>
        </is>
      </c>
      <c r="C1234" s="37" t="inlineStr">
        <is>
          <t>к-т</t>
        </is>
      </c>
      <c r="D1234" s="33" t="n"/>
      <c r="E1234" s="33" t="n"/>
      <c r="F1234" s="33">
        <f>E1234*0.05</f>
        <v/>
      </c>
      <c r="G1234" s="33">
        <f>E1234+F1234</f>
        <v/>
      </c>
      <c r="H1234" s="33" t="n"/>
      <c r="I1234" s="33" t="n"/>
      <c r="J1234" s="33" t="n"/>
      <c r="K1234" s="33">
        <f>L1234+M1234+N1234</f>
        <v/>
      </c>
      <c r="L1234" s="33" t="n"/>
      <c r="M1234" s="33" t="n"/>
      <c r="N1234" s="33" t="n"/>
      <c r="O1234" s="33">
        <f>P1234+Q1234</f>
        <v/>
      </c>
      <c r="P1234" s="33" t="n"/>
      <c r="Q1234" s="33" t="n"/>
      <c r="R1234" s="33">
        <f>H1234+K1234-O1234</f>
        <v/>
      </c>
      <c r="S1234" s="33" t="n"/>
      <c r="T1234" s="33" t="n"/>
      <c r="U1234" s="33" t="n"/>
      <c r="V1234" s="33" t="n"/>
      <c r="W1234" s="33" t="n"/>
      <c r="X1234" s="33" t="n"/>
      <c r="Y1234" s="33" t="n"/>
      <c r="Z1234" s="33" t="n"/>
      <c r="AA1234" s="4">
        <f>R1234-G1234</f>
        <v/>
      </c>
      <c r="AB1234" s="4">
        <f>G1234-R1234</f>
        <v/>
      </c>
      <c r="AC1234" s="33" t="n"/>
    </row>
    <row r="1235" ht="37.5" customHeight="1">
      <c r="A1235" s="35">
        <f>SUBTOTAL(103,$B$24:B1235)</f>
        <v/>
      </c>
      <c r="B1235" s="36" t="inlineStr">
        <is>
          <t>Кип'ятильник електричний 20-40л. Camry</t>
        </is>
      </c>
      <c r="C1235" s="37" t="inlineStr">
        <is>
          <t>к-т</t>
        </is>
      </c>
      <c r="D1235" s="33" t="n"/>
      <c r="E1235" s="33" t="n"/>
      <c r="F1235" s="33">
        <f>E1235*0.05</f>
        <v/>
      </c>
      <c r="G1235" s="33">
        <f>E1235+F1235</f>
        <v/>
      </c>
      <c r="H1235" s="33" t="n"/>
      <c r="I1235" s="33" t="n"/>
      <c r="J1235" s="33" t="n"/>
      <c r="K1235" s="33">
        <f>L1235+M1235+N1235</f>
        <v/>
      </c>
      <c r="L1235" s="33" t="n"/>
      <c r="M1235" s="33" t="n"/>
      <c r="N1235" s="33" t="n"/>
      <c r="O1235" s="33">
        <f>P1235+Q1235</f>
        <v/>
      </c>
      <c r="P1235" s="33" t="n"/>
      <c r="Q1235" s="33" t="n"/>
      <c r="R1235" s="33">
        <f>H1235+K1235-O1235</f>
        <v/>
      </c>
      <c r="S1235" s="33" t="n"/>
      <c r="T1235" s="33" t="n"/>
      <c r="U1235" s="33" t="n"/>
      <c r="V1235" s="33" t="n"/>
      <c r="W1235" s="33" t="n"/>
      <c r="X1235" s="33" t="n"/>
      <c r="Y1235" s="33" t="n"/>
      <c r="Z1235" s="33" t="n"/>
      <c r="AA1235" s="4">
        <f>R1235-G1235</f>
        <v/>
      </c>
      <c r="AB1235" s="4">
        <f>G1235-R1235</f>
        <v/>
      </c>
      <c r="AC1235" s="33" t="n"/>
    </row>
    <row r="1236" ht="18.75" customHeight="1">
      <c r="A1236" s="35">
        <f>SUBTOTAL(103,$B$24:B1236)</f>
        <v/>
      </c>
      <c r="B1236" s="36" t="inlineStr">
        <is>
          <t>Кип'ятильник електричний Gorenje</t>
        </is>
      </c>
      <c r="C1236" s="37" t="inlineStr">
        <is>
          <t>к-т</t>
        </is>
      </c>
      <c r="D1236" s="33" t="n"/>
      <c r="E1236" s="33" t="n"/>
      <c r="F1236" s="33">
        <f>E1236*0.05</f>
        <v/>
      </c>
      <c r="G1236" s="33">
        <f>E1236+F1236</f>
        <v/>
      </c>
      <c r="H1236" s="33" t="n"/>
      <c r="I1236" s="33" t="n"/>
      <c r="J1236" s="33" t="n"/>
      <c r="K1236" s="33">
        <f>L1236+M1236+N1236</f>
        <v/>
      </c>
      <c r="L1236" s="33" t="n"/>
      <c r="M1236" s="33" t="n"/>
      <c r="N1236" s="33" t="n"/>
      <c r="O1236" s="33">
        <f>P1236+Q1236</f>
        <v/>
      </c>
      <c r="P1236" s="33" t="n"/>
      <c r="Q1236" s="33" t="n"/>
      <c r="R1236" s="33">
        <f>H1236+K1236-O1236</f>
        <v/>
      </c>
      <c r="S1236" s="33" t="n"/>
      <c r="T1236" s="33" t="n"/>
      <c r="U1236" s="33" t="n"/>
      <c r="V1236" s="33" t="n"/>
      <c r="W1236" s="33" t="n"/>
      <c r="X1236" s="33" t="n"/>
      <c r="Y1236" s="33" t="n"/>
      <c r="Z1236" s="33" t="n"/>
      <c r="AA1236" s="4">
        <f>R1236-G1236</f>
        <v/>
      </c>
      <c r="AB1236" s="4">
        <f>G1236-R1236</f>
        <v/>
      </c>
      <c r="AC1236" s="33" t="n"/>
    </row>
    <row r="1237" ht="18.75" customHeight="1">
      <c r="A1237" s="35">
        <f>SUBTOTAL(103,$B$24:B1237)</f>
        <v/>
      </c>
      <c r="B1237" s="36" t="inlineStr">
        <is>
          <t>Кип'ятильник елекричний Ardesto</t>
        </is>
      </c>
      <c r="C1237" s="37" t="inlineStr">
        <is>
          <t>к-т</t>
        </is>
      </c>
      <c r="D1237" s="33" t="n"/>
      <c r="E1237" s="33" t="n"/>
      <c r="F1237" s="33">
        <f>E1237*0.05</f>
        <v/>
      </c>
      <c r="G1237" s="33">
        <f>E1237+F1237</f>
        <v/>
      </c>
      <c r="H1237" s="33" t="n"/>
      <c r="I1237" s="33" t="n"/>
      <c r="J1237" s="33" t="n"/>
      <c r="K1237" s="33">
        <f>L1237+M1237+N1237</f>
        <v/>
      </c>
      <c r="L1237" s="33" t="n"/>
      <c r="M1237" s="33" t="n"/>
      <c r="N1237" s="33" t="n"/>
      <c r="O1237" s="33">
        <f>P1237+Q1237</f>
        <v/>
      </c>
      <c r="P1237" s="33" t="n"/>
      <c r="Q1237" s="33" t="n"/>
      <c r="R1237" s="33">
        <f>H1237+K1237-O1237</f>
        <v/>
      </c>
      <c r="S1237" s="33" t="n"/>
      <c r="T1237" s="33" t="n"/>
      <c r="U1237" s="33" t="n"/>
      <c r="V1237" s="33" t="n"/>
      <c r="W1237" s="33" t="n"/>
      <c r="X1237" s="33" t="n"/>
      <c r="Y1237" s="33" t="n"/>
      <c r="Z1237" s="33" t="n"/>
      <c r="AA1237" s="4">
        <f>R1237-G1237</f>
        <v/>
      </c>
      <c r="AB1237" s="4">
        <f>G1237-R1237</f>
        <v/>
      </c>
      <c r="AC1237" s="33" t="n"/>
    </row>
    <row r="1238" ht="18.75" customHeight="1">
      <c r="A1238" s="35">
        <f>SUBTOTAL(103,$B$24:B1238)</f>
        <v/>
      </c>
      <c r="B1238" s="36" t="inlineStr">
        <is>
          <t>Кипятильник електричний настільний</t>
        </is>
      </c>
      <c r="C1238" s="37" t="inlineStr">
        <is>
          <t>к-т</t>
        </is>
      </c>
      <c r="D1238" s="33" t="n"/>
      <c r="E1238" s="33" t="n"/>
      <c r="F1238" s="33">
        <f>E1238*0.05</f>
        <v/>
      </c>
      <c r="G1238" s="33">
        <f>E1238+F1238</f>
        <v/>
      </c>
      <c r="H1238" s="33" t="n"/>
      <c r="I1238" s="33" t="n"/>
      <c r="J1238" s="33" t="n"/>
      <c r="K1238" s="33">
        <f>L1238+M1238+N1238</f>
        <v/>
      </c>
      <c r="L1238" s="33" t="n"/>
      <c r="M1238" s="33" t="n"/>
      <c r="N1238" s="33" t="n"/>
      <c r="O1238" s="33">
        <f>P1238+Q1238</f>
        <v/>
      </c>
      <c r="P1238" s="33" t="n"/>
      <c r="Q1238" s="33" t="n"/>
      <c r="R1238" s="33">
        <f>H1238+K1238-O1238</f>
        <v/>
      </c>
      <c r="S1238" s="33" t="n"/>
      <c r="T1238" s="33" t="n"/>
      <c r="U1238" s="33" t="n"/>
      <c r="V1238" s="33" t="n"/>
      <c r="W1238" s="33" t="n"/>
      <c r="X1238" s="33" t="n"/>
      <c r="Y1238" s="33" t="n"/>
      <c r="Z1238" s="33" t="n"/>
      <c r="AA1238" s="4">
        <f>R1238-G1238</f>
        <v/>
      </c>
      <c r="AB1238" s="4">
        <f>G1238-R1238</f>
        <v/>
      </c>
      <c r="AC1238" s="33" t="n"/>
    </row>
    <row r="1239" ht="18.75" customHeight="1">
      <c r="A1239" s="35">
        <f>SUBTOTAL(103,$B$24:B1239)</f>
        <v/>
      </c>
      <c r="B1239" s="36" t="inlineStr">
        <is>
          <t>Кип'ятильник побутовий (занурюючій)</t>
        </is>
      </c>
      <c r="C1239" s="37" t="inlineStr">
        <is>
          <t>к-т</t>
        </is>
      </c>
      <c r="D1239" s="33" t="n"/>
      <c r="E1239" s="33" t="n"/>
      <c r="F1239" s="33">
        <f>E1239*0.05</f>
        <v/>
      </c>
      <c r="G1239" s="33">
        <f>E1239+F1239</f>
        <v/>
      </c>
      <c r="H1239" s="33" t="n"/>
      <c r="I1239" s="33" t="n"/>
      <c r="J1239" s="33" t="n"/>
      <c r="K1239" s="33">
        <f>L1239+M1239+N1239</f>
        <v/>
      </c>
      <c r="L1239" s="33" t="n"/>
      <c r="M1239" s="33" t="n"/>
      <c r="N1239" s="33" t="n"/>
      <c r="O1239" s="33">
        <f>P1239+Q1239</f>
        <v/>
      </c>
      <c r="P1239" s="33" t="n"/>
      <c r="Q1239" s="33" t="n"/>
      <c r="R1239" s="33">
        <f>H1239+K1239-O1239</f>
        <v/>
      </c>
      <c r="S1239" s="33" t="n"/>
      <c r="T1239" s="33" t="n"/>
      <c r="U1239" s="33" t="n"/>
      <c r="V1239" s="33" t="n"/>
      <c r="W1239" s="33" t="n"/>
      <c r="X1239" s="33" t="n"/>
      <c r="Y1239" s="33" t="n"/>
      <c r="Z1239" s="33" t="n"/>
      <c r="AA1239" s="4">
        <f>R1239-G1239</f>
        <v/>
      </c>
      <c r="AB1239" s="4">
        <f>G1239-R1239</f>
        <v/>
      </c>
      <c r="AC1239" s="33" t="n"/>
    </row>
    <row r="1240" ht="18.75" customHeight="1">
      <c r="A1240" s="35">
        <f>SUBTOTAL(103,$B$24:B1240)</f>
        <v/>
      </c>
      <c r="B1240" s="36" t="inlineStr">
        <is>
          <t>Кипятильник електричний інші</t>
        </is>
      </c>
      <c r="C1240" s="37" t="inlineStr">
        <is>
          <t>к-т</t>
        </is>
      </c>
      <c r="D1240" s="33" t="n"/>
      <c r="E1240" s="33" t="n"/>
      <c r="F1240" s="33">
        <f>E1240*0.05</f>
        <v/>
      </c>
      <c r="G1240" s="33">
        <f>E1240+F1240</f>
        <v/>
      </c>
      <c r="H1240" s="33" t="n"/>
      <c r="I1240" s="33" t="n"/>
      <c r="J1240" s="33" t="n"/>
      <c r="K1240" s="33">
        <f>L1240+M1240+N1240</f>
        <v/>
      </c>
      <c r="L1240" s="33" t="n"/>
      <c r="M1240" s="33" t="n"/>
      <c r="N1240" s="33" t="n"/>
      <c r="O1240" s="33">
        <f>P1240+Q1240</f>
        <v/>
      </c>
      <c r="P1240" s="33" t="n"/>
      <c r="Q1240" s="33" t="n"/>
      <c r="R1240" s="33">
        <f>H1240+K1240-O1240</f>
        <v/>
      </c>
      <c r="S1240" s="33" t="n"/>
      <c r="T1240" s="33" t="n"/>
      <c r="U1240" s="33" t="n"/>
      <c r="V1240" s="33" t="n"/>
      <c r="W1240" s="33" t="n"/>
      <c r="X1240" s="33" t="n"/>
      <c r="Y1240" s="33" t="n"/>
      <c r="Z1240" s="33" t="n"/>
      <c r="AA1240" s="4">
        <f>R1240-G1240</f>
        <v/>
      </c>
      <c r="AB1240" s="4">
        <f>G1240-R1240</f>
        <v/>
      </c>
      <c r="AC1240" s="33" t="n"/>
    </row>
    <row r="1241" ht="18.75" customHeight="1">
      <c r="A1241" s="35">
        <f>SUBTOTAL(103,$B$24:B1241)</f>
        <v/>
      </c>
      <c r="B1241" s="36" t="inlineStr">
        <is>
          <t>Електрокипятильник R38 REMTA 50л</t>
        </is>
      </c>
      <c r="C1241" s="37" t="inlineStr">
        <is>
          <t>к-т</t>
        </is>
      </c>
      <c r="D1241" s="33" t="n"/>
      <c r="E1241" s="33" t="n"/>
      <c r="F1241" s="33">
        <f>E1241*0.05</f>
        <v/>
      </c>
      <c r="G1241" s="33">
        <f>E1241+F1241</f>
        <v/>
      </c>
      <c r="H1241" s="33" t="n"/>
      <c r="I1241" s="33" t="n"/>
      <c r="J1241" s="33" t="n"/>
      <c r="K1241" s="33">
        <f>L1241+M1241+N1241</f>
        <v/>
      </c>
      <c r="L1241" s="33" t="n"/>
      <c r="M1241" s="33" t="n"/>
      <c r="N1241" s="33" t="n"/>
      <c r="O1241" s="33">
        <f>P1241+Q1241</f>
        <v/>
      </c>
      <c r="P1241" s="33" t="n"/>
      <c r="Q1241" s="33" t="n"/>
      <c r="R1241" s="33">
        <f>H1241+K1241-O1241</f>
        <v/>
      </c>
      <c r="S1241" s="33" t="n"/>
      <c r="T1241" s="33" t="n"/>
      <c r="U1241" s="33" t="n"/>
      <c r="V1241" s="33" t="n"/>
      <c r="W1241" s="33" t="n"/>
      <c r="X1241" s="33" t="n"/>
      <c r="Y1241" s="33" t="n"/>
      <c r="Z1241" s="33" t="n"/>
      <c r="AA1241" s="4">
        <f>R1241-G1241</f>
        <v/>
      </c>
      <c r="AB1241" s="4">
        <f>G1241-R1241</f>
        <v/>
      </c>
      <c r="AC1241" s="33" t="n"/>
    </row>
    <row r="1242" ht="37.5" customHeight="1">
      <c r="A1242" s="35">
        <f>SUBTOTAL(103,$B$24:B1242)</f>
        <v/>
      </c>
      <c r="B1242" s="39" t="inlineStr">
        <is>
          <t>КИПЯТИЛЬНИКИ НА ТВЕРДОМУ ПАЛИВІ</t>
        </is>
      </c>
      <c r="C1242" s="37" t="n"/>
      <c r="D1242" s="33" t="n"/>
      <c r="E1242" s="33" t="n"/>
      <c r="F1242" s="33">
        <f>E1242*0.05</f>
        <v/>
      </c>
      <c r="G1242" s="33">
        <f>E1242+F1242</f>
        <v/>
      </c>
      <c r="H1242" s="33" t="n"/>
      <c r="I1242" s="33" t="n"/>
      <c r="J1242" s="33" t="n"/>
      <c r="K1242" s="33">
        <f>L1242+M1242+N1242</f>
        <v/>
      </c>
      <c r="L1242" s="33" t="n"/>
      <c r="M1242" s="33" t="n"/>
      <c r="N1242" s="33" t="n"/>
      <c r="O1242" s="33">
        <f>P1242+Q1242</f>
        <v/>
      </c>
      <c r="P1242" s="33" t="n"/>
      <c r="Q1242" s="33" t="n"/>
      <c r="R1242" s="33">
        <f>H1242+K1242-O1242</f>
        <v/>
      </c>
      <c r="S1242" s="33" t="n"/>
      <c r="T1242" s="33" t="n"/>
      <c r="U1242" s="33" t="n"/>
      <c r="V1242" s="33" t="n"/>
      <c r="W1242" s="33" t="n"/>
      <c r="X1242" s="33" t="n"/>
      <c r="Y1242" s="33" t="n"/>
      <c r="Z1242" s="33" t="n"/>
      <c r="AA1242" s="4">
        <f>R1242-G1242</f>
        <v/>
      </c>
      <c r="AB1242" s="4">
        <f>G1242-R1242</f>
        <v/>
      </c>
      <c r="AC1242" s="33" t="n"/>
    </row>
    <row r="1243" ht="37.5" customHeight="1">
      <c r="A1243" s="35">
        <f>SUBTOTAL(103,$B$24:B1243)</f>
        <v/>
      </c>
      <c r="B1243" s="36" t="inlineStr">
        <is>
          <t>Кипятильник на твердому паливі КНТ-200</t>
        </is>
      </c>
      <c r="C1243" s="37" t="inlineStr">
        <is>
          <t>к-т</t>
        </is>
      </c>
      <c r="D1243" s="33" t="n"/>
      <c r="E1243" s="33" t="n"/>
      <c r="F1243" s="33">
        <f>E1243*0.05</f>
        <v/>
      </c>
      <c r="G1243" s="33">
        <f>E1243+F1243</f>
        <v/>
      </c>
      <c r="H1243" s="33" t="n"/>
      <c r="I1243" s="33" t="n"/>
      <c r="J1243" s="33" t="n"/>
      <c r="K1243" s="33">
        <f>L1243+M1243+N1243</f>
        <v/>
      </c>
      <c r="L1243" s="33" t="n"/>
      <c r="M1243" s="33" t="n"/>
      <c r="N1243" s="33" t="n"/>
      <c r="O1243" s="33">
        <f>P1243+Q1243</f>
        <v/>
      </c>
      <c r="P1243" s="33" t="n"/>
      <c r="Q1243" s="33" t="n"/>
      <c r="R1243" s="33">
        <f>H1243+K1243-O1243</f>
        <v/>
      </c>
      <c r="S1243" s="33" t="n"/>
      <c r="T1243" s="33" t="n"/>
      <c r="U1243" s="33" t="n"/>
      <c r="V1243" s="33" t="n"/>
      <c r="W1243" s="33" t="n"/>
      <c r="X1243" s="33" t="n"/>
      <c r="Y1243" s="33" t="n"/>
      <c r="Z1243" s="33" t="n"/>
      <c r="AA1243" s="4">
        <f>R1243-G1243</f>
        <v/>
      </c>
      <c r="AB1243" s="4">
        <f>G1243-R1243</f>
        <v/>
      </c>
      <c r="AC1243" s="33" t="n"/>
    </row>
    <row r="1244" ht="18.75" customHeight="1">
      <c r="A1244" s="35">
        <f>SUBTOTAL(103,$B$24:B1244)</f>
        <v/>
      </c>
      <c r="B1244" s="36" t="inlineStr">
        <is>
          <t>Кипятильник на твердому паливі інші</t>
        </is>
      </c>
      <c r="C1244" s="37" t="inlineStr">
        <is>
          <t>к-т</t>
        </is>
      </c>
      <c r="D1244" s="33" t="n"/>
      <c r="E1244" s="33" t="n"/>
      <c r="F1244" s="33">
        <f>E1244*0.05</f>
        <v/>
      </c>
      <c r="G1244" s="33">
        <f>E1244+F1244</f>
        <v/>
      </c>
      <c r="H1244" s="33" t="n"/>
      <c r="I1244" s="33" t="n"/>
      <c r="J1244" s="33" t="n"/>
      <c r="K1244" s="33">
        <f>L1244+M1244+N1244</f>
        <v/>
      </c>
      <c r="L1244" s="33" t="n"/>
      <c r="M1244" s="33" t="n"/>
      <c r="N1244" s="33" t="n"/>
      <c r="O1244" s="33">
        <f>P1244+Q1244</f>
        <v/>
      </c>
      <c r="P1244" s="33" t="n"/>
      <c r="Q1244" s="33" t="n"/>
      <c r="R1244" s="33">
        <f>H1244+K1244-O1244</f>
        <v/>
      </c>
      <c r="S1244" s="33" t="n"/>
      <c r="T1244" s="33" t="n"/>
      <c r="U1244" s="33" t="n"/>
      <c r="V1244" s="33" t="n"/>
      <c r="W1244" s="33" t="n"/>
      <c r="X1244" s="33" t="n"/>
      <c r="Y1244" s="33" t="n"/>
      <c r="Z1244" s="33" t="n"/>
      <c r="AA1244" s="4">
        <f>R1244-G1244</f>
        <v/>
      </c>
      <c r="AB1244" s="4">
        <f>G1244-R1244</f>
        <v/>
      </c>
      <c r="AC1244" s="33" t="n"/>
    </row>
    <row r="1245" ht="18.75" customHeight="1">
      <c r="A1245" s="35">
        <f>SUBTOTAL(103,$B$24:B1245)</f>
        <v/>
      </c>
      <c r="B1245" s="36" t="inlineStr">
        <is>
          <t>Кипятильник непреривної дії</t>
        </is>
      </c>
      <c r="C1245" s="37" t="inlineStr">
        <is>
          <t>к-т</t>
        </is>
      </c>
      <c r="D1245" s="33" t="n"/>
      <c r="E1245" s="33" t="n"/>
      <c r="F1245" s="33">
        <f>E1245*0.05</f>
        <v/>
      </c>
      <c r="G1245" s="33">
        <f>E1245+F1245</f>
        <v/>
      </c>
      <c r="H1245" s="33" t="n"/>
      <c r="I1245" s="33" t="n"/>
      <c r="J1245" s="33" t="n"/>
      <c r="K1245" s="33">
        <f>L1245+M1245+N1245</f>
        <v/>
      </c>
      <c r="L1245" s="33" t="n"/>
      <c r="M1245" s="33" t="n"/>
      <c r="N1245" s="33" t="n"/>
      <c r="O1245" s="33">
        <f>P1245+Q1245</f>
        <v/>
      </c>
      <c r="P1245" s="33" t="n"/>
      <c r="Q1245" s="33" t="n"/>
      <c r="R1245" s="33">
        <f>H1245+K1245-O1245</f>
        <v/>
      </c>
      <c r="S1245" s="33" t="n"/>
      <c r="T1245" s="33" t="n"/>
      <c r="U1245" s="33" t="n"/>
      <c r="V1245" s="33" t="n"/>
      <c r="W1245" s="33" t="n"/>
      <c r="X1245" s="33" t="n"/>
      <c r="Y1245" s="33" t="n"/>
      <c r="Z1245" s="33" t="n"/>
      <c r="AA1245" s="4">
        <f>R1245-G1245</f>
        <v/>
      </c>
      <c r="AB1245" s="4">
        <f>G1245-R1245</f>
        <v/>
      </c>
      <c r="AC1245" s="33" t="n"/>
    </row>
    <row r="1246" ht="18.75" customHeight="1">
      <c r="A1246" s="35">
        <f>SUBTOTAL(103,$B$24:B1246)</f>
        <v/>
      </c>
      <c r="B1246" s="36" t="inlineStr">
        <is>
          <t>Кипятильник газовий</t>
        </is>
      </c>
      <c r="C1246" s="37" t="inlineStr">
        <is>
          <t>к-т</t>
        </is>
      </c>
      <c r="D1246" s="33" t="n"/>
      <c r="E1246" s="33" t="n"/>
      <c r="F1246" s="33">
        <f>E1246*0.05</f>
        <v/>
      </c>
      <c r="G1246" s="33">
        <f>E1246+F1246</f>
        <v/>
      </c>
      <c r="H1246" s="33" t="n"/>
      <c r="I1246" s="33" t="n"/>
      <c r="J1246" s="33" t="n"/>
      <c r="K1246" s="33">
        <f>L1246+M1246+N1246</f>
        <v/>
      </c>
      <c r="L1246" s="33" t="n"/>
      <c r="M1246" s="33" t="n"/>
      <c r="N1246" s="33" t="n"/>
      <c r="O1246" s="33">
        <f>P1246+Q1246</f>
        <v/>
      </c>
      <c r="P1246" s="33" t="n"/>
      <c r="Q1246" s="33" t="n"/>
      <c r="R1246" s="33">
        <f>H1246+K1246-O1246</f>
        <v/>
      </c>
      <c r="S1246" s="33" t="n"/>
      <c r="T1246" s="33" t="n"/>
      <c r="U1246" s="33" t="n"/>
      <c r="V1246" s="33" t="n"/>
      <c r="W1246" s="33" t="n"/>
      <c r="X1246" s="33" t="n"/>
      <c r="Y1246" s="33" t="n"/>
      <c r="Z1246" s="33" t="n"/>
      <c r="AA1246" s="4">
        <f>R1246-G1246</f>
        <v/>
      </c>
      <c r="AB1246" s="4">
        <f>G1246-R1246</f>
        <v/>
      </c>
      <c r="AC1246" s="33" t="n"/>
    </row>
    <row r="1247" ht="18.75" customHeight="1">
      <c r="A1247" s="35">
        <f>SUBTOTAL(103,$B$24:B1247)</f>
        <v/>
      </c>
      <c r="B1247" s="39" t="inlineStr">
        <is>
          <t>ПЛИТИ ЕЛЕКТРИЧНІ</t>
        </is>
      </c>
      <c r="C1247" s="37" t="n"/>
      <c r="D1247" s="33" t="n"/>
      <c r="E1247" s="33" t="n"/>
      <c r="F1247" s="33">
        <f>E1247*0.05</f>
        <v/>
      </c>
      <c r="G1247" s="33">
        <f>E1247+F1247</f>
        <v/>
      </c>
      <c r="H1247" s="33" t="n"/>
      <c r="I1247" s="33" t="n"/>
      <c r="J1247" s="33" t="n"/>
      <c r="K1247" s="33">
        <f>L1247+M1247+N1247</f>
        <v/>
      </c>
      <c r="L1247" s="33" t="n"/>
      <c r="M1247" s="33" t="n"/>
      <c r="N1247" s="33" t="n"/>
      <c r="O1247" s="33">
        <f>P1247+Q1247</f>
        <v/>
      </c>
      <c r="P1247" s="33" t="n"/>
      <c r="Q1247" s="33" t="n"/>
      <c r="R1247" s="33">
        <f>H1247+K1247-O1247</f>
        <v/>
      </c>
      <c r="S1247" s="33" t="n"/>
      <c r="T1247" s="33" t="n"/>
      <c r="U1247" s="33" t="n"/>
      <c r="V1247" s="33" t="n"/>
      <c r="W1247" s="33" t="n"/>
      <c r="X1247" s="33" t="n"/>
      <c r="Y1247" s="33" t="n"/>
      <c r="Z1247" s="33" t="n"/>
      <c r="AA1247" s="4">
        <f>R1247-G1247</f>
        <v/>
      </c>
      <c r="AB1247" s="4">
        <f>G1247-R1247</f>
        <v/>
      </c>
      <c r="AC1247" s="33" t="n"/>
    </row>
    <row r="1248" ht="18.75" customHeight="1">
      <c r="A1248" s="35">
        <f>SUBTOTAL(103,$B$24:B1248)</f>
        <v/>
      </c>
      <c r="B1248" s="36" t="inlineStr">
        <is>
          <t>Плити електричні ЕП-17/01</t>
        </is>
      </c>
      <c r="C1248" s="37" t="inlineStr">
        <is>
          <t>к-т</t>
        </is>
      </c>
      <c r="D1248" s="33" t="n"/>
      <c r="E1248" s="33" t="n"/>
      <c r="F1248" s="33">
        <f>E1248*0.05</f>
        <v/>
      </c>
      <c r="G1248" s="33">
        <f>E1248+F1248</f>
        <v/>
      </c>
      <c r="H1248" s="33" t="n"/>
      <c r="I1248" s="33" t="n"/>
      <c r="J1248" s="33" t="n"/>
      <c r="K1248" s="33">
        <f>L1248+M1248+N1248</f>
        <v/>
      </c>
      <c r="L1248" s="33" t="n"/>
      <c r="M1248" s="33" t="n"/>
      <c r="N1248" s="33" t="n"/>
      <c r="O1248" s="33">
        <f>P1248+Q1248</f>
        <v/>
      </c>
      <c r="P1248" s="33" t="n"/>
      <c r="Q1248" s="33" t="n"/>
      <c r="R1248" s="33">
        <f>H1248+K1248-O1248</f>
        <v/>
      </c>
      <c r="S1248" s="33" t="n"/>
      <c r="T1248" s="33" t="n"/>
      <c r="U1248" s="33" t="n"/>
      <c r="V1248" s="33" t="n"/>
      <c r="W1248" s="33" t="n"/>
      <c r="X1248" s="33" t="n"/>
      <c r="Y1248" s="33" t="n"/>
      <c r="Z1248" s="33" t="n"/>
      <c r="AA1248" s="4">
        <f>R1248-G1248</f>
        <v/>
      </c>
      <c r="AB1248" s="4">
        <f>G1248-R1248</f>
        <v/>
      </c>
      <c r="AC1248" s="33" t="n"/>
    </row>
    <row r="1249" ht="18.75" customHeight="1">
      <c r="A1249" s="35">
        <f>SUBTOTAL(103,$B$24:B1249)</f>
        <v/>
      </c>
      <c r="B1249" s="36" t="inlineStr">
        <is>
          <t>Плити електричні ЕП-7</t>
        </is>
      </c>
      <c r="C1249" s="37" t="inlineStr">
        <is>
          <t>к-т</t>
        </is>
      </c>
      <c r="D1249" s="33" t="n"/>
      <c r="E1249" s="33" t="n"/>
      <c r="F1249" s="33">
        <f>E1249*0.05</f>
        <v/>
      </c>
      <c r="G1249" s="33">
        <f>E1249+F1249</f>
        <v/>
      </c>
      <c r="H1249" s="33" t="n"/>
      <c r="I1249" s="33" t="n"/>
      <c r="J1249" s="33" t="n"/>
      <c r="K1249" s="33">
        <f>L1249+M1249+N1249</f>
        <v/>
      </c>
      <c r="L1249" s="33" t="n"/>
      <c r="M1249" s="33" t="n"/>
      <c r="N1249" s="33" t="n"/>
      <c r="O1249" s="33">
        <f>P1249+Q1249</f>
        <v/>
      </c>
      <c r="P1249" s="33" t="n"/>
      <c r="Q1249" s="33" t="n"/>
      <c r="R1249" s="33">
        <f>H1249+K1249-O1249</f>
        <v/>
      </c>
      <c r="S1249" s="33" t="n"/>
      <c r="T1249" s="33" t="n"/>
      <c r="U1249" s="33" t="n"/>
      <c r="V1249" s="33" t="n"/>
      <c r="W1249" s="33" t="n"/>
      <c r="X1249" s="33" t="n"/>
      <c r="Y1249" s="33" t="n"/>
      <c r="Z1249" s="33" t="n"/>
      <c r="AA1249" s="4">
        <f>R1249-G1249</f>
        <v/>
      </c>
      <c r="AB1249" s="4">
        <f>G1249-R1249</f>
        <v/>
      </c>
      <c r="AC1249" s="33" t="n"/>
    </row>
    <row r="1250" ht="18.75" customHeight="1">
      <c r="A1250" s="35">
        <f>SUBTOTAL(103,$B$24:B1250)</f>
        <v/>
      </c>
      <c r="B1250" s="36" t="inlineStr">
        <is>
          <t>Плити електричні ЕП-4</t>
        </is>
      </c>
      <c r="C1250" s="37" t="inlineStr">
        <is>
          <t>к-т</t>
        </is>
      </c>
      <c r="D1250" s="33" t="n"/>
      <c r="E1250" s="33" t="n"/>
      <c r="F1250" s="33">
        <f>E1250*0.05</f>
        <v/>
      </c>
      <c r="G1250" s="33">
        <f>E1250+F1250</f>
        <v/>
      </c>
      <c r="H1250" s="33" t="n"/>
      <c r="I1250" s="33" t="n"/>
      <c r="J1250" s="33" t="n"/>
      <c r="K1250" s="33">
        <f>L1250+M1250+N1250</f>
        <v/>
      </c>
      <c r="L1250" s="33" t="n"/>
      <c r="M1250" s="33" t="n"/>
      <c r="N1250" s="33" t="n"/>
      <c r="O1250" s="33">
        <f>P1250+Q1250</f>
        <v/>
      </c>
      <c r="P1250" s="33" t="n"/>
      <c r="Q1250" s="33" t="n"/>
      <c r="R1250" s="33">
        <f>H1250+K1250-O1250</f>
        <v/>
      </c>
      <c r="S1250" s="33" t="n"/>
      <c r="T1250" s="33" t="n"/>
      <c r="U1250" s="33" t="n"/>
      <c r="V1250" s="33" t="n"/>
      <c r="W1250" s="33" t="n"/>
      <c r="X1250" s="33" t="n"/>
      <c r="Y1250" s="33" t="n"/>
      <c r="Z1250" s="33" t="n"/>
      <c r="AA1250" s="4">
        <f>R1250-G1250</f>
        <v/>
      </c>
      <c r="AB1250" s="4">
        <f>G1250-R1250</f>
        <v/>
      </c>
      <c r="AC1250" s="33" t="n"/>
    </row>
    <row r="1251" ht="18.75" customHeight="1">
      <c r="A1251" s="35">
        <f>SUBTOTAL(103,$B$24:B1251)</f>
        <v/>
      </c>
      <c r="B1251" s="36" t="inlineStr">
        <is>
          <t>Плити електричні ЕП-4ЖШ</t>
        </is>
      </c>
      <c r="C1251" s="37" t="inlineStr">
        <is>
          <t>к-т</t>
        </is>
      </c>
      <c r="D1251" s="33" t="n"/>
      <c r="E1251" s="33" t="n"/>
      <c r="F1251" s="33">
        <f>E1251*0.05</f>
        <v/>
      </c>
      <c r="G1251" s="33">
        <f>E1251+F1251</f>
        <v/>
      </c>
      <c r="H1251" s="33" t="n"/>
      <c r="I1251" s="33" t="n"/>
      <c r="J1251" s="33" t="n"/>
      <c r="K1251" s="33">
        <f>L1251+M1251+N1251</f>
        <v/>
      </c>
      <c r="L1251" s="33" t="n"/>
      <c r="M1251" s="33" t="n"/>
      <c r="N1251" s="33" t="n"/>
      <c r="O1251" s="33">
        <f>P1251+Q1251</f>
        <v/>
      </c>
      <c r="P1251" s="33" t="n"/>
      <c r="Q1251" s="33" t="n"/>
      <c r="R1251" s="33">
        <f>H1251+K1251-O1251</f>
        <v/>
      </c>
      <c r="S1251" s="33" t="n"/>
      <c r="T1251" s="33" t="n"/>
      <c r="U1251" s="33" t="n"/>
      <c r="V1251" s="33" t="n"/>
      <c r="W1251" s="33" t="n"/>
      <c r="X1251" s="33" t="n"/>
      <c r="Y1251" s="33" t="n"/>
      <c r="Z1251" s="33" t="n"/>
      <c r="AA1251" s="4">
        <f>R1251-G1251</f>
        <v/>
      </c>
      <c r="AB1251" s="4">
        <f>G1251-R1251</f>
        <v/>
      </c>
      <c r="AC1251" s="33" t="n"/>
    </row>
    <row r="1252" ht="18.75" customHeight="1">
      <c r="A1252" s="35">
        <f>SUBTOTAL(103,$B$24:B1252)</f>
        <v/>
      </c>
      <c r="B1252" s="36" t="inlineStr">
        <is>
          <t>Плити електричні ПЕ-2Н</t>
        </is>
      </c>
      <c r="C1252" s="37" t="inlineStr">
        <is>
          <t>к-т</t>
        </is>
      </c>
      <c r="D1252" s="33" t="n"/>
      <c r="E1252" s="33" t="n"/>
      <c r="F1252" s="33">
        <f>E1252*0.05</f>
        <v/>
      </c>
      <c r="G1252" s="33">
        <f>E1252+F1252</f>
        <v/>
      </c>
      <c r="H1252" s="33" t="n"/>
      <c r="I1252" s="33" t="n"/>
      <c r="J1252" s="33" t="n"/>
      <c r="K1252" s="33">
        <f>L1252+M1252+N1252</f>
        <v/>
      </c>
      <c r="L1252" s="33" t="n"/>
      <c r="M1252" s="33" t="n"/>
      <c r="N1252" s="33" t="n"/>
      <c r="O1252" s="33">
        <f>P1252+Q1252</f>
        <v/>
      </c>
      <c r="P1252" s="33" t="n"/>
      <c r="Q1252" s="33" t="n"/>
      <c r="R1252" s="33">
        <f>H1252+K1252-O1252</f>
        <v/>
      </c>
      <c r="S1252" s="33" t="n"/>
      <c r="T1252" s="33" t="n"/>
      <c r="U1252" s="33" t="n"/>
      <c r="V1252" s="33" t="n"/>
      <c r="W1252" s="33" t="n"/>
      <c r="X1252" s="33" t="n"/>
      <c r="Y1252" s="33" t="n"/>
      <c r="Z1252" s="33" t="n"/>
      <c r="AA1252" s="4">
        <f>R1252-G1252</f>
        <v/>
      </c>
      <c r="AB1252" s="4">
        <f>G1252-R1252</f>
        <v/>
      </c>
      <c r="AC1252" s="33" t="n"/>
    </row>
    <row r="1253" ht="18.75" customHeight="1">
      <c r="A1253" s="35">
        <f>SUBTOTAL(103,$B$24:B1253)</f>
        <v/>
      </c>
      <c r="B1253" s="36" t="inlineStr">
        <is>
          <t>Плити електричні ЕП-2</t>
        </is>
      </c>
      <c r="C1253" s="37" t="inlineStr">
        <is>
          <t>к-т</t>
        </is>
      </c>
      <c r="D1253" s="33" t="n"/>
      <c r="E1253" s="33" t="n"/>
      <c r="F1253" s="33">
        <f>E1253*0.05</f>
        <v/>
      </c>
      <c r="G1253" s="33">
        <f>E1253+F1253</f>
        <v/>
      </c>
      <c r="H1253" s="33" t="n"/>
      <c r="I1253" s="33" t="n"/>
      <c r="J1253" s="33" t="n"/>
      <c r="K1253" s="33">
        <f>L1253+M1253+N1253</f>
        <v/>
      </c>
      <c r="L1253" s="33" t="n"/>
      <c r="M1253" s="33" t="n"/>
      <c r="N1253" s="33" t="n"/>
      <c r="O1253" s="33">
        <f>P1253+Q1253</f>
        <v/>
      </c>
      <c r="P1253" s="33" t="n"/>
      <c r="Q1253" s="33" t="n"/>
      <c r="R1253" s="33">
        <f>H1253+K1253-O1253</f>
        <v/>
      </c>
      <c r="S1253" s="33" t="n"/>
      <c r="T1253" s="33" t="n"/>
      <c r="U1253" s="33" t="n"/>
      <c r="V1253" s="33" t="n"/>
      <c r="W1253" s="33" t="n"/>
      <c r="X1253" s="33" t="n"/>
      <c r="Y1253" s="33" t="n"/>
      <c r="Z1253" s="33" t="n"/>
      <c r="AA1253" s="4">
        <f>R1253-G1253</f>
        <v/>
      </c>
      <c r="AB1253" s="4">
        <f>G1253-R1253</f>
        <v/>
      </c>
      <c r="AC1253" s="33" t="n"/>
    </row>
    <row r="1254" ht="18.75" customHeight="1">
      <c r="A1254" s="35">
        <f>SUBTOTAL(103,$B$24:B1254)</f>
        <v/>
      </c>
      <c r="B1254" s="36" t="inlineStr">
        <is>
          <t>Плити електричні ПЕ-6ШН</t>
        </is>
      </c>
      <c r="C1254" s="37" t="inlineStr">
        <is>
          <t>к-т</t>
        </is>
      </c>
      <c r="D1254" s="33" t="n"/>
      <c r="E1254" s="33" t="n"/>
      <c r="F1254" s="33">
        <f>E1254*0.05</f>
        <v/>
      </c>
      <c r="G1254" s="33">
        <f>E1254+F1254</f>
        <v/>
      </c>
      <c r="H1254" s="33" t="n"/>
      <c r="I1254" s="33" t="n"/>
      <c r="J1254" s="33" t="n"/>
      <c r="K1254" s="33">
        <f>L1254+M1254+N1254</f>
        <v/>
      </c>
      <c r="L1254" s="33" t="n"/>
      <c r="M1254" s="33" t="n"/>
      <c r="N1254" s="33" t="n"/>
      <c r="O1254" s="33">
        <f>P1254+Q1254</f>
        <v/>
      </c>
      <c r="P1254" s="33" t="n"/>
      <c r="Q1254" s="33" t="n"/>
      <c r="R1254" s="33">
        <f>H1254+K1254-O1254</f>
        <v/>
      </c>
      <c r="S1254" s="33" t="n"/>
      <c r="T1254" s="33" t="n"/>
      <c r="U1254" s="33" t="n"/>
      <c r="V1254" s="33" t="n"/>
      <c r="W1254" s="33" t="n"/>
      <c r="X1254" s="33" t="n"/>
      <c r="Y1254" s="33" t="n"/>
      <c r="Z1254" s="33" t="n"/>
      <c r="AA1254" s="4">
        <f>R1254-G1254</f>
        <v/>
      </c>
      <c r="AB1254" s="4">
        <f>G1254-R1254</f>
        <v/>
      </c>
      <c r="AC1254" s="33" t="n"/>
    </row>
    <row r="1255" ht="18.75" customHeight="1">
      <c r="A1255" s="35">
        <f>SUBTOTAL(103,$B$24:B1255)</f>
        <v/>
      </c>
      <c r="B1255" s="36" t="inlineStr">
        <is>
          <t>Плита електрична ПЕД-6</t>
        </is>
      </c>
      <c r="C1255" s="37" t="inlineStr">
        <is>
          <t>к-т</t>
        </is>
      </c>
      <c r="D1255" s="33" t="n"/>
      <c r="E1255" s="33" t="n"/>
      <c r="F1255" s="33">
        <f>E1255*0.05</f>
        <v/>
      </c>
      <c r="G1255" s="33">
        <f>E1255+F1255</f>
        <v/>
      </c>
      <c r="H1255" s="33" t="n"/>
      <c r="I1255" s="33" t="n"/>
      <c r="J1255" s="33" t="n"/>
      <c r="K1255" s="33">
        <f>L1255+M1255+N1255</f>
        <v/>
      </c>
      <c r="L1255" s="33" t="n"/>
      <c r="M1255" s="33" t="n"/>
      <c r="N1255" s="33" t="n"/>
      <c r="O1255" s="33">
        <f>P1255+Q1255</f>
        <v/>
      </c>
      <c r="P1255" s="33" t="n"/>
      <c r="Q1255" s="33" t="n"/>
      <c r="R1255" s="33">
        <f>H1255+K1255-O1255</f>
        <v/>
      </c>
      <c r="S1255" s="33" t="n"/>
      <c r="T1255" s="33" t="n"/>
      <c r="U1255" s="33" t="n"/>
      <c r="V1255" s="33" t="n"/>
      <c r="W1255" s="33" t="n"/>
      <c r="X1255" s="33" t="n"/>
      <c r="Y1255" s="33" t="n"/>
      <c r="Z1255" s="33" t="n"/>
      <c r="AA1255" s="4">
        <f>R1255-G1255</f>
        <v/>
      </c>
      <c r="AB1255" s="4">
        <f>G1255-R1255</f>
        <v/>
      </c>
      <c r="AC1255" s="33" t="n"/>
    </row>
    <row r="1256" ht="37.5" customHeight="1">
      <c r="A1256" s="35">
        <f>SUBTOTAL(103,$B$24:B1256)</f>
        <v/>
      </c>
      <c r="B1256" s="36" t="inlineStr">
        <is>
          <t>Плита електрична 6-х комфорочна ПЕ-6 КИЙ-В</t>
        </is>
      </c>
      <c r="C1256" s="37" t="inlineStr">
        <is>
          <t>к-т</t>
        </is>
      </c>
      <c r="D1256" s="33" t="n"/>
      <c r="E1256" s="33" t="n"/>
      <c r="F1256" s="33">
        <f>E1256*0.05</f>
        <v/>
      </c>
      <c r="G1256" s="33">
        <f>E1256+F1256</f>
        <v/>
      </c>
      <c r="H1256" s="33" t="n"/>
      <c r="I1256" s="33" t="n"/>
      <c r="J1256" s="33" t="n"/>
      <c r="K1256" s="33">
        <f>L1256+M1256+N1256</f>
        <v/>
      </c>
      <c r="L1256" s="33" t="n"/>
      <c r="M1256" s="33" t="n"/>
      <c r="N1256" s="33" t="n"/>
      <c r="O1256" s="33">
        <f>P1256+Q1256</f>
        <v/>
      </c>
      <c r="P1256" s="33" t="n"/>
      <c r="Q1256" s="33" t="n"/>
      <c r="R1256" s="33">
        <f>H1256+K1256-O1256</f>
        <v/>
      </c>
      <c r="S1256" s="33" t="n"/>
      <c r="T1256" s="33" t="n"/>
      <c r="U1256" s="33" t="n"/>
      <c r="V1256" s="33" t="n"/>
      <c r="W1256" s="33" t="n"/>
      <c r="X1256" s="33" t="n"/>
      <c r="Y1256" s="33" t="n"/>
      <c r="Z1256" s="33" t="n"/>
      <c r="AA1256" s="4">
        <f>R1256-G1256</f>
        <v/>
      </c>
      <c r="AB1256" s="4">
        <f>G1256-R1256</f>
        <v/>
      </c>
      <c r="AC1256" s="33" t="n"/>
    </row>
    <row r="1257" ht="37.5" customHeight="1">
      <c r="A1257" s="35">
        <f>SUBTOTAL(103,$B$24:B1257)</f>
        <v/>
      </c>
      <c r="B1257" s="36" t="inlineStr">
        <is>
          <t>Плита електрична 6-х комфорочна ПЕД-6 КИЙ-В</t>
        </is>
      </c>
      <c r="C1257" s="37" t="inlineStr">
        <is>
          <t>шт.</t>
        </is>
      </c>
      <c r="D1257" s="33" t="n"/>
      <c r="E1257" s="33" t="n"/>
      <c r="F1257" s="33">
        <f>E1257*0.05</f>
        <v/>
      </c>
      <c r="G1257" s="33">
        <f>E1257+F1257</f>
        <v/>
      </c>
      <c r="H1257" s="33" t="n"/>
      <c r="I1257" s="33" t="n"/>
      <c r="J1257" s="33" t="n"/>
      <c r="K1257" s="33">
        <f>L1257+M1257+N1257</f>
        <v/>
      </c>
      <c r="L1257" s="33" t="n"/>
      <c r="M1257" s="33" t="n"/>
      <c r="N1257" s="33" t="n"/>
      <c r="O1257" s="33">
        <f>P1257+Q1257</f>
        <v/>
      </c>
      <c r="P1257" s="33" t="n"/>
      <c r="Q1257" s="33" t="n"/>
      <c r="R1257" s="33">
        <f>H1257+K1257-O1257</f>
        <v/>
      </c>
      <c r="S1257" s="33" t="n"/>
      <c r="T1257" s="33" t="n"/>
      <c r="U1257" s="33" t="n"/>
      <c r="V1257" s="33" t="n"/>
      <c r="W1257" s="33" t="n"/>
      <c r="X1257" s="33" t="n"/>
      <c r="Y1257" s="33" t="n"/>
      <c r="Z1257" s="33" t="n"/>
      <c r="AA1257" s="4">
        <f>R1257-G1257</f>
        <v/>
      </c>
      <c r="AB1257" s="4">
        <f>G1257-R1257</f>
        <v/>
      </c>
      <c r="AC1257" s="33" t="n"/>
    </row>
    <row r="1258" ht="37.5" customHeight="1">
      <c r="A1258" s="35">
        <f>SUBTOTAL(103,$B$24:B1258)</f>
        <v/>
      </c>
      <c r="B1258" s="36" t="inlineStr">
        <is>
          <t>Плита електрична 6-х комфорочна ПЕ-6-Ш "Еталон"</t>
        </is>
      </c>
      <c r="C1258" s="37" t="inlineStr">
        <is>
          <t>к-т</t>
        </is>
      </c>
      <c r="D1258" s="33" t="n"/>
      <c r="E1258" s="33" t="n"/>
      <c r="F1258" s="33">
        <f>E1258*0.05</f>
        <v/>
      </c>
      <c r="G1258" s="33">
        <f>E1258+F1258</f>
        <v/>
      </c>
      <c r="H1258" s="33" t="n"/>
      <c r="I1258" s="33" t="n"/>
      <c r="J1258" s="33" t="n"/>
      <c r="K1258" s="33">
        <f>L1258+M1258+N1258</f>
        <v/>
      </c>
      <c r="L1258" s="33" t="n"/>
      <c r="M1258" s="33" t="n"/>
      <c r="N1258" s="33" t="n"/>
      <c r="O1258" s="33">
        <f>P1258+Q1258</f>
        <v/>
      </c>
      <c r="P1258" s="33" t="n"/>
      <c r="Q1258" s="33" t="n"/>
      <c r="R1258" s="33">
        <f>H1258+K1258-O1258</f>
        <v/>
      </c>
      <c r="S1258" s="33" t="n"/>
      <c r="T1258" s="33" t="n"/>
      <c r="U1258" s="33" t="n"/>
      <c r="V1258" s="33" t="n"/>
      <c r="W1258" s="33" t="n"/>
      <c r="X1258" s="33" t="n"/>
      <c r="Y1258" s="33" t="n"/>
      <c r="Z1258" s="33" t="n"/>
      <c r="AA1258" s="4">
        <f>R1258-G1258</f>
        <v/>
      </c>
      <c r="AB1258" s="4">
        <f>G1258-R1258</f>
        <v/>
      </c>
      <c r="AC1258" s="33" t="n"/>
    </row>
    <row r="1259" ht="18.75" customHeight="1">
      <c r="A1259" s="35">
        <f>SUBTOTAL(103,$B$24:B1259)</f>
        <v/>
      </c>
      <c r="B1259" s="36" t="inlineStr">
        <is>
          <t>Плити електричні ПЕ-4</t>
        </is>
      </c>
      <c r="C1259" s="37" t="inlineStr">
        <is>
          <t>к-т</t>
        </is>
      </c>
      <c r="D1259" s="33" t="n"/>
      <c r="E1259" s="33" t="n"/>
      <c r="F1259" s="33">
        <f>E1259*0.05</f>
        <v/>
      </c>
      <c r="G1259" s="33">
        <f>E1259+F1259</f>
        <v/>
      </c>
      <c r="H1259" s="33" t="n"/>
      <c r="I1259" s="33" t="n"/>
      <c r="J1259" s="33" t="n"/>
      <c r="K1259" s="33">
        <f>L1259+M1259+N1259</f>
        <v/>
      </c>
      <c r="L1259" s="33" t="n"/>
      <c r="M1259" s="33" t="n"/>
      <c r="N1259" s="33" t="n"/>
      <c r="O1259" s="33">
        <f>P1259+Q1259</f>
        <v/>
      </c>
      <c r="P1259" s="33" t="n"/>
      <c r="Q1259" s="33" t="n"/>
      <c r="R1259" s="33">
        <f>H1259+K1259-O1259</f>
        <v/>
      </c>
      <c r="S1259" s="33" t="n"/>
      <c r="T1259" s="33" t="n"/>
      <c r="U1259" s="33" t="n"/>
      <c r="V1259" s="33" t="n"/>
      <c r="W1259" s="33" t="n"/>
      <c r="X1259" s="33" t="n"/>
      <c r="Y1259" s="33" t="n"/>
      <c r="Z1259" s="33" t="n"/>
      <c r="AA1259" s="4">
        <f>R1259-G1259</f>
        <v/>
      </c>
      <c r="AB1259" s="4">
        <f>G1259-R1259</f>
        <v/>
      </c>
      <c r="AC1259" s="33" t="n"/>
    </row>
    <row r="1260" ht="18.75" customHeight="1">
      <c r="A1260" s="35">
        <f>SUBTOTAL(103,$B$24:B1260)</f>
        <v/>
      </c>
      <c r="B1260" s="36" t="inlineStr">
        <is>
          <t>Плити електричні ПЕ-4Ш</t>
        </is>
      </c>
      <c r="C1260" s="37" t="inlineStr">
        <is>
          <t>к-т</t>
        </is>
      </c>
      <c r="D1260" s="33" t="n"/>
      <c r="E1260" s="33" t="n"/>
      <c r="F1260" s="33">
        <f>E1260*0.05</f>
        <v/>
      </c>
      <c r="G1260" s="33">
        <f>E1260+F1260</f>
        <v/>
      </c>
      <c r="H1260" s="33" t="n"/>
      <c r="I1260" s="33" t="n"/>
      <c r="J1260" s="33" t="n"/>
      <c r="K1260" s="33">
        <f>L1260+M1260+N1260</f>
        <v/>
      </c>
      <c r="L1260" s="33" t="n"/>
      <c r="M1260" s="33" t="n"/>
      <c r="N1260" s="33" t="n"/>
      <c r="O1260" s="33">
        <f>P1260+Q1260</f>
        <v/>
      </c>
      <c r="P1260" s="33" t="n"/>
      <c r="Q1260" s="33" t="n"/>
      <c r="R1260" s="33">
        <f>H1260+K1260-O1260</f>
        <v/>
      </c>
      <c r="S1260" s="33" t="n"/>
      <c r="T1260" s="33" t="n"/>
      <c r="U1260" s="33" t="n"/>
      <c r="V1260" s="33" t="n"/>
      <c r="W1260" s="33" t="n"/>
      <c r="X1260" s="33" t="n"/>
      <c r="Y1260" s="33" t="n"/>
      <c r="Z1260" s="33" t="n"/>
      <c r="AA1260" s="4">
        <f>R1260-G1260</f>
        <v/>
      </c>
      <c r="AB1260" s="4">
        <f>G1260-R1260</f>
        <v/>
      </c>
      <c r="AC1260" s="33" t="n"/>
    </row>
    <row r="1261" ht="18.75" customHeight="1">
      <c r="A1261" s="35">
        <f>SUBTOTAL(103,$B$24:B1261)</f>
        <v/>
      </c>
      <c r="B1261" s="36" t="inlineStr">
        <is>
          <t>Плити електричні ПЕ-4ШН</t>
        </is>
      </c>
      <c r="C1261" s="37" t="inlineStr">
        <is>
          <t>к-т</t>
        </is>
      </c>
      <c r="D1261" s="33" t="n"/>
      <c r="E1261" s="33" t="n"/>
      <c r="F1261" s="33">
        <f>E1261*0.05</f>
        <v/>
      </c>
      <c r="G1261" s="33">
        <f>E1261+F1261</f>
        <v/>
      </c>
      <c r="H1261" s="33" t="n"/>
      <c r="I1261" s="33" t="n"/>
      <c r="J1261" s="33" t="n"/>
      <c r="K1261" s="33">
        <f>L1261+M1261+N1261</f>
        <v/>
      </c>
      <c r="L1261" s="33" t="n"/>
      <c r="M1261" s="33" t="n"/>
      <c r="N1261" s="33" t="n"/>
      <c r="O1261" s="33">
        <f>P1261+Q1261</f>
        <v/>
      </c>
      <c r="P1261" s="33" t="n"/>
      <c r="Q1261" s="33" t="n"/>
      <c r="R1261" s="33">
        <f>H1261+K1261-O1261</f>
        <v/>
      </c>
      <c r="S1261" s="33" t="n"/>
      <c r="T1261" s="33" t="n"/>
      <c r="U1261" s="33" t="n"/>
      <c r="V1261" s="33" t="n"/>
      <c r="W1261" s="33" t="n"/>
      <c r="X1261" s="33" t="n"/>
      <c r="Y1261" s="33" t="n"/>
      <c r="Z1261" s="33" t="n"/>
      <c r="AA1261" s="4">
        <f>R1261-G1261</f>
        <v/>
      </c>
      <c r="AB1261" s="4">
        <f>G1261-R1261</f>
        <v/>
      </c>
      <c r="AC1261" s="33" t="n"/>
    </row>
    <row r="1262" ht="37.5" customHeight="1">
      <c r="A1262" s="35">
        <f>SUBTOTAL(103,$B$24:B1262)</f>
        <v/>
      </c>
      <c r="B1262" s="36" t="inlineStr">
        <is>
          <t>Плита електрична 4-х комфорочна ПЕ-4ШН АРМ-ЕКО</t>
        </is>
      </c>
      <c r="C1262" s="37" t="inlineStr">
        <is>
          <t>к-т</t>
        </is>
      </c>
      <c r="D1262" s="33" t="n"/>
      <c r="E1262" s="33" t="n"/>
      <c r="F1262" s="33">
        <f>E1262*0.05</f>
        <v/>
      </c>
      <c r="G1262" s="33">
        <f>E1262+F1262</f>
        <v/>
      </c>
      <c r="H1262" s="33" t="n"/>
      <c r="I1262" s="33" t="n"/>
      <c r="J1262" s="33" t="n"/>
      <c r="K1262" s="33">
        <f>L1262+M1262+N1262</f>
        <v/>
      </c>
      <c r="L1262" s="33" t="n"/>
      <c r="M1262" s="33" t="n"/>
      <c r="N1262" s="33" t="n"/>
      <c r="O1262" s="33">
        <f>P1262+Q1262</f>
        <v/>
      </c>
      <c r="P1262" s="33" t="n"/>
      <c r="Q1262" s="33" t="n"/>
      <c r="R1262" s="33">
        <f>H1262+K1262-O1262</f>
        <v/>
      </c>
      <c r="S1262" s="33" t="n"/>
      <c r="T1262" s="33" t="n"/>
      <c r="U1262" s="33" t="n"/>
      <c r="V1262" s="33" t="n"/>
      <c r="W1262" s="33" t="n"/>
      <c r="X1262" s="33" t="n"/>
      <c r="Y1262" s="33" t="n"/>
      <c r="Z1262" s="33" t="n"/>
      <c r="AA1262" s="4">
        <f>R1262-G1262</f>
        <v/>
      </c>
      <c r="AB1262" s="4">
        <f>G1262-R1262</f>
        <v/>
      </c>
      <c r="AC1262" s="33" t="n"/>
    </row>
    <row r="1263" ht="18.75" customHeight="1">
      <c r="A1263" s="35">
        <f>SUBTOTAL(103,$B$24:B1263)</f>
        <v/>
      </c>
      <c r="B1263" s="36" t="inlineStr">
        <is>
          <t>Плити електричні ПЕД-4</t>
        </is>
      </c>
      <c r="C1263" s="37" t="inlineStr">
        <is>
          <t>к-т</t>
        </is>
      </c>
      <c r="D1263" s="33" t="n"/>
      <c r="E1263" s="33" t="n"/>
      <c r="F1263" s="33">
        <f>E1263*0.05</f>
        <v/>
      </c>
      <c r="G1263" s="33">
        <f>E1263+F1263</f>
        <v/>
      </c>
      <c r="H1263" s="33" t="n"/>
      <c r="I1263" s="33" t="n"/>
      <c r="J1263" s="33" t="n"/>
      <c r="K1263" s="33">
        <f>L1263+M1263+N1263</f>
        <v/>
      </c>
      <c r="L1263" s="33" t="n"/>
      <c r="M1263" s="33" t="n"/>
      <c r="N1263" s="33" t="n"/>
      <c r="O1263" s="33">
        <f>P1263+Q1263</f>
        <v/>
      </c>
      <c r="P1263" s="33" t="n"/>
      <c r="Q1263" s="33" t="n"/>
      <c r="R1263" s="33">
        <f>H1263+K1263-O1263</f>
        <v/>
      </c>
      <c r="S1263" s="33" t="n"/>
      <c r="T1263" s="33" t="n"/>
      <c r="U1263" s="33" t="n"/>
      <c r="V1263" s="33" t="n"/>
      <c r="W1263" s="33" t="n"/>
      <c r="X1263" s="33" t="n"/>
      <c r="Y1263" s="33" t="n"/>
      <c r="Z1263" s="33" t="n"/>
      <c r="AA1263" s="4">
        <f>R1263-G1263</f>
        <v/>
      </c>
      <c r="AB1263" s="4">
        <f>G1263-R1263</f>
        <v/>
      </c>
      <c r="AC1263" s="33" t="n"/>
    </row>
    <row r="1264" ht="18.75" customHeight="1">
      <c r="A1264" s="35">
        <f>SUBTOTAL(103,$B$24:B1264)</f>
        <v/>
      </c>
      <c r="B1264" s="36" t="inlineStr">
        <is>
          <t>Плита електрична ЕПК-4</t>
        </is>
      </c>
      <c r="C1264" s="37" t="inlineStr">
        <is>
          <t>шт.</t>
        </is>
      </c>
      <c r="D1264" s="33" t="n"/>
      <c r="E1264" s="33" t="n"/>
      <c r="F1264" s="33">
        <f>E1264*0.05</f>
        <v/>
      </c>
      <c r="G1264" s="33">
        <f>E1264+F1264</f>
        <v/>
      </c>
      <c r="H1264" s="33" t="n"/>
      <c r="I1264" s="33" t="n"/>
      <c r="J1264" s="33" t="n"/>
      <c r="K1264" s="33">
        <f>L1264+M1264+N1264</f>
        <v/>
      </c>
      <c r="L1264" s="33" t="n"/>
      <c r="M1264" s="33" t="n"/>
      <c r="N1264" s="33" t="n"/>
      <c r="O1264" s="33">
        <f>P1264+Q1264</f>
        <v/>
      </c>
      <c r="P1264" s="33" t="n"/>
      <c r="Q1264" s="33" t="n"/>
      <c r="R1264" s="33">
        <f>H1264+K1264-O1264</f>
        <v/>
      </c>
      <c r="S1264" s="33" t="n"/>
      <c r="T1264" s="33" t="n"/>
      <c r="U1264" s="33" t="n"/>
      <c r="V1264" s="33" t="n"/>
      <c r="W1264" s="33" t="n"/>
      <c r="X1264" s="33" t="n"/>
      <c r="Y1264" s="33" t="n"/>
      <c r="Z1264" s="33" t="n"/>
      <c r="AA1264" s="4">
        <f>R1264-G1264</f>
        <v/>
      </c>
      <c r="AB1264" s="4">
        <f>G1264-R1264</f>
        <v/>
      </c>
      <c r="AC1264" s="33" t="n"/>
    </row>
    <row r="1265" ht="18.75" customHeight="1">
      <c r="A1265" s="35">
        <f>SUBTOTAL(103,$B$24:B1265)</f>
        <v/>
      </c>
      <c r="B1265" s="36" t="inlineStr">
        <is>
          <t>Плита електрична ЕПК-4ШБ</t>
        </is>
      </c>
      <c r="C1265" s="37" t="inlineStr">
        <is>
          <t>к-т</t>
        </is>
      </c>
      <c r="D1265" s="33" t="n"/>
      <c r="E1265" s="33" t="n"/>
      <c r="F1265" s="33">
        <f>E1265*0.05</f>
        <v/>
      </c>
      <c r="G1265" s="33">
        <f>E1265+F1265</f>
        <v/>
      </c>
      <c r="H1265" s="33" t="n"/>
      <c r="I1265" s="33" t="n"/>
      <c r="J1265" s="33" t="n"/>
      <c r="K1265" s="33">
        <f>L1265+M1265+N1265</f>
        <v/>
      </c>
      <c r="L1265" s="33" t="n"/>
      <c r="M1265" s="33" t="n"/>
      <c r="N1265" s="33" t="n"/>
      <c r="O1265" s="33">
        <f>P1265+Q1265</f>
        <v/>
      </c>
      <c r="P1265" s="33" t="n"/>
      <c r="Q1265" s="33" t="n"/>
      <c r="R1265" s="33">
        <f>H1265+K1265-O1265</f>
        <v/>
      </c>
      <c r="S1265" s="33" t="n"/>
      <c r="T1265" s="33" t="n"/>
      <c r="U1265" s="33" t="n"/>
      <c r="V1265" s="33" t="n"/>
      <c r="W1265" s="33" t="n"/>
      <c r="X1265" s="33" t="n"/>
      <c r="Y1265" s="33" t="n"/>
      <c r="Z1265" s="33" t="n"/>
      <c r="AA1265" s="4">
        <f>R1265-G1265</f>
        <v/>
      </c>
      <c r="AB1265" s="4">
        <f>G1265-R1265</f>
        <v/>
      </c>
      <c r="AC1265" s="33" t="n"/>
    </row>
    <row r="1266" ht="18.75" customHeight="1">
      <c r="A1266" s="35">
        <f>SUBTOTAL(103,$B$24:B1266)</f>
        <v/>
      </c>
      <c r="B1266" s="36" t="inlineStr">
        <is>
          <t>Плита електрична ЕПК-4М-ШЕ</t>
        </is>
      </c>
      <c r="C1266" s="37" t="inlineStr">
        <is>
          <t>к-т</t>
        </is>
      </c>
      <c r="D1266" s="33" t="n"/>
      <c r="E1266" s="33" t="n"/>
      <c r="F1266" s="33">
        <f>E1266*0.05</f>
        <v/>
      </c>
      <c r="G1266" s="33">
        <f>E1266+F1266</f>
        <v/>
      </c>
      <c r="H1266" s="33" t="n"/>
      <c r="I1266" s="33" t="n"/>
      <c r="J1266" s="33" t="n"/>
      <c r="K1266" s="33">
        <f>L1266+M1266+N1266</f>
        <v/>
      </c>
      <c r="L1266" s="33" t="n"/>
      <c r="M1266" s="33" t="n"/>
      <c r="N1266" s="33" t="n"/>
      <c r="O1266" s="33">
        <f>P1266+Q1266</f>
        <v/>
      </c>
      <c r="P1266" s="33" t="n"/>
      <c r="Q1266" s="33" t="n"/>
      <c r="R1266" s="33">
        <f>H1266+K1266-O1266</f>
        <v/>
      </c>
      <c r="S1266" s="33" t="n"/>
      <c r="T1266" s="33" t="n"/>
      <c r="U1266" s="33" t="n"/>
      <c r="V1266" s="33" t="n"/>
      <c r="W1266" s="33" t="n"/>
      <c r="X1266" s="33" t="n"/>
      <c r="Y1266" s="33" t="n"/>
      <c r="Z1266" s="33" t="n"/>
      <c r="AA1266" s="4">
        <f>R1266-G1266</f>
        <v/>
      </c>
      <c r="AB1266" s="4">
        <f>G1266-R1266</f>
        <v/>
      </c>
      <c r="AC1266" s="33" t="n"/>
    </row>
    <row r="1267" ht="18.75" customHeight="1">
      <c r="A1267" s="35">
        <f>SUBTOTAL(103,$B$24:B1267)</f>
        <v/>
      </c>
      <c r="B1267" s="36" t="inlineStr">
        <is>
          <t>Плита електрична ЕПК-2ШБ</t>
        </is>
      </c>
      <c r="C1267" s="37" t="inlineStr">
        <is>
          <t>шт.</t>
        </is>
      </c>
      <c r="D1267" s="33" t="n"/>
      <c r="E1267" s="33" t="n"/>
      <c r="F1267" s="33">
        <f>E1267*0.05</f>
        <v/>
      </c>
      <c r="G1267" s="33">
        <f>E1267+F1267</f>
        <v/>
      </c>
      <c r="H1267" s="33" t="n"/>
      <c r="I1267" s="33" t="n"/>
      <c r="J1267" s="33" t="n"/>
      <c r="K1267" s="33">
        <f>L1267+M1267+N1267</f>
        <v/>
      </c>
      <c r="L1267" s="33" t="n"/>
      <c r="M1267" s="33" t="n"/>
      <c r="N1267" s="33" t="n"/>
      <c r="O1267" s="33">
        <f>P1267+Q1267</f>
        <v/>
      </c>
      <c r="P1267" s="33" t="n"/>
      <c r="Q1267" s="33" t="n"/>
      <c r="R1267" s="33">
        <f>H1267+K1267-O1267</f>
        <v/>
      </c>
      <c r="S1267" s="33" t="n"/>
      <c r="T1267" s="33" t="n"/>
      <c r="U1267" s="33" t="n"/>
      <c r="V1267" s="33" t="n"/>
      <c r="W1267" s="33" t="n"/>
      <c r="X1267" s="33" t="n"/>
      <c r="Y1267" s="33" t="n"/>
      <c r="Z1267" s="33" t="n"/>
      <c r="AA1267" s="4">
        <f>R1267-G1267</f>
        <v/>
      </c>
      <c r="AB1267" s="4">
        <f>G1267-R1267</f>
        <v/>
      </c>
      <c r="AC1267" s="33" t="n"/>
    </row>
    <row r="1268" ht="37.5" customHeight="1">
      <c r="A1268" s="35">
        <f>SUBTOTAL(103,$B$24:B1268)</f>
        <v/>
      </c>
      <c r="B1268" s="36" t="inlineStr">
        <is>
          <t>Плита електрична 4-х комфорочна ПЕД-4 КИЙ-В</t>
        </is>
      </c>
      <c r="C1268" s="37" t="inlineStr">
        <is>
          <t>к-т</t>
        </is>
      </c>
      <c r="D1268" s="33" t="n"/>
      <c r="E1268" s="33" t="n"/>
      <c r="F1268" s="33">
        <f>E1268*0.05</f>
        <v/>
      </c>
      <c r="G1268" s="33">
        <f>E1268+F1268</f>
        <v/>
      </c>
      <c r="H1268" s="33" t="n"/>
      <c r="I1268" s="33" t="n"/>
      <c r="J1268" s="33" t="n"/>
      <c r="K1268" s="33">
        <f>L1268+M1268+N1268</f>
        <v/>
      </c>
      <c r="L1268" s="33" t="n"/>
      <c r="M1268" s="33" t="n"/>
      <c r="N1268" s="33" t="n"/>
      <c r="O1268" s="33">
        <f>P1268+Q1268</f>
        <v/>
      </c>
      <c r="P1268" s="33" t="n"/>
      <c r="Q1268" s="33" t="n"/>
      <c r="R1268" s="33">
        <f>H1268+K1268-O1268</f>
        <v/>
      </c>
      <c r="S1268" s="33" t="n"/>
      <c r="T1268" s="33" t="n"/>
      <c r="U1268" s="33" t="n"/>
      <c r="V1268" s="33" t="n"/>
      <c r="W1268" s="33" t="n"/>
      <c r="X1268" s="33" t="n"/>
      <c r="Y1268" s="33" t="n"/>
      <c r="Z1268" s="33" t="n"/>
      <c r="AA1268" s="4">
        <f>R1268-G1268</f>
        <v/>
      </c>
      <c r="AB1268" s="4">
        <f>G1268-R1268</f>
        <v/>
      </c>
      <c r="AC1268" s="33" t="n"/>
    </row>
    <row r="1269" ht="37.5" customHeight="1">
      <c r="A1269" s="35">
        <f>SUBTOTAL(103,$B$24:B1269)</f>
        <v/>
      </c>
      <c r="B1269" s="36" t="inlineStr">
        <is>
          <t>Плита електрична 4-х комфорочна ПЕ-4-Ш "Еталон"</t>
        </is>
      </c>
      <c r="C1269" s="37" t="inlineStr">
        <is>
          <t>шт.</t>
        </is>
      </c>
      <c r="D1269" s="33" t="n"/>
      <c r="E1269" s="33" t="n"/>
      <c r="F1269" s="33">
        <f>E1269*0.05</f>
        <v/>
      </c>
      <c r="G1269" s="33">
        <f>E1269+F1269</f>
        <v/>
      </c>
      <c r="H1269" s="33" t="n"/>
      <c r="I1269" s="33" t="n"/>
      <c r="J1269" s="33" t="n"/>
      <c r="K1269" s="33">
        <f>L1269+M1269+N1269</f>
        <v/>
      </c>
      <c r="L1269" s="33" t="n"/>
      <c r="M1269" s="33" t="n"/>
      <c r="N1269" s="33" t="n"/>
      <c r="O1269" s="33">
        <f>P1269+Q1269</f>
        <v/>
      </c>
      <c r="P1269" s="33" t="n"/>
      <c r="Q1269" s="33" t="n"/>
      <c r="R1269" s="33">
        <f>H1269+K1269-O1269</f>
        <v/>
      </c>
      <c r="S1269" s="33" t="n"/>
      <c r="T1269" s="33" t="n"/>
      <c r="U1269" s="33" t="n"/>
      <c r="V1269" s="33" t="n"/>
      <c r="W1269" s="33" t="n"/>
      <c r="X1269" s="33" t="n"/>
      <c r="Y1269" s="33" t="n"/>
      <c r="Z1269" s="33" t="n"/>
      <c r="AA1269" s="4">
        <f>R1269-G1269</f>
        <v/>
      </c>
      <c r="AB1269" s="4">
        <f>G1269-R1269</f>
        <v/>
      </c>
      <c r="AC1269" s="33" t="n"/>
    </row>
    <row r="1270" ht="37.5" customHeight="1">
      <c r="A1270" s="35">
        <f>SUBTOTAL(103,$B$24:B1270)</f>
        <v/>
      </c>
      <c r="B1270" s="36" t="inlineStr">
        <is>
          <t>Плита електрична 1-2-х комфорочна ПЕД-2 КИЙ-В</t>
        </is>
      </c>
      <c r="C1270" s="37" t="inlineStr">
        <is>
          <t>к-т</t>
        </is>
      </c>
      <c r="D1270" s="33" t="n"/>
      <c r="E1270" s="33" t="n"/>
      <c r="F1270" s="33">
        <f>E1270*0.05</f>
        <v/>
      </c>
      <c r="G1270" s="33">
        <f>E1270+F1270</f>
        <v/>
      </c>
      <c r="H1270" s="33" t="n"/>
      <c r="I1270" s="33" t="n"/>
      <c r="J1270" s="33" t="n"/>
      <c r="K1270" s="33">
        <f>L1270+M1270+N1270</f>
        <v/>
      </c>
      <c r="L1270" s="33" t="n"/>
      <c r="M1270" s="33" t="n"/>
      <c r="N1270" s="33" t="n"/>
      <c r="O1270" s="33">
        <f>P1270+Q1270</f>
        <v/>
      </c>
      <c r="P1270" s="33" t="n"/>
      <c r="Q1270" s="33" t="n"/>
      <c r="R1270" s="33">
        <f>H1270+K1270-O1270</f>
        <v/>
      </c>
      <c r="S1270" s="33" t="n"/>
      <c r="T1270" s="33" t="n"/>
      <c r="U1270" s="33" t="n"/>
      <c r="V1270" s="33" t="n"/>
      <c r="W1270" s="33" t="n"/>
      <c r="X1270" s="33" t="n"/>
      <c r="Y1270" s="33" t="n"/>
      <c r="Z1270" s="33" t="n"/>
      <c r="AA1270" s="4">
        <f>R1270-G1270</f>
        <v/>
      </c>
      <c r="AB1270" s="4">
        <f>G1270-R1270</f>
        <v/>
      </c>
      <c r="AC1270" s="33" t="n"/>
    </row>
    <row r="1271" ht="37.5" customHeight="1">
      <c r="A1271" s="35">
        <f>SUBTOTAL(103,$B$24:B1271)</f>
        <v/>
      </c>
      <c r="B1271" s="36" t="inlineStr">
        <is>
          <t>Плита електрична 2-х комфорочна ПЕ-2-Ш "Еталон"</t>
        </is>
      </c>
      <c r="C1271" s="37" t="inlineStr">
        <is>
          <t>к-т</t>
        </is>
      </c>
      <c r="D1271" s="33" t="n"/>
      <c r="E1271" s="33" t="n"/>
      <c r="F1271" s="33">
        <f>E1271*0.05</f>
        <v/>
      </c>
      <c r="G1271" s="33">
        <f>E1271+F1271</f>
        <v/>
      </c>
      <c r="H1271" s="33" t="n"/>
      <c r="I1271" s="33" t="n"/>
      <c r="J1271" s="33" t="n"/>
      <c r="K1271" s="33">
        <f>L1271+M1271+N1271</f>
        <v/>
      </c>
      <c r="L1271" s="33" t="n"/>
      <c r="M1271" s="33" t="n"/>
      <c r="N1271" s="33" t="n"/>
      <c r="O1271" s="33">
        <f>P1271+Q1271</f>
        <v/>
      </c>
      <c r="P1271" s="33" t="n"/>
      <c r="Q1271" s="33" t="n"/>
      <c r="R1271" s="33">
        <f>H1271+K1271-O1271</f>
        <v/>
      </c>
      <c r="S1271" s="33" t="n"/>
      <c r="T1271" s="33" t="n"/>
      <c r="U1271" s="33" t="n"/>
      <c r="V1271" s="33" t="n"/>
      <c r="W1271" s="33" t="n"/>
      <c r="X1271" s="33" t="n"/>
      <c r="Y1271" s="33" t="n"/>
      <c r="Z1271" s="33" t="n"/>
      <c r="AA1271" s="4">
        <f>R1271-G1271</f>
        <v/>
      </c>
      <c r="AB1271" s="4">
        <f>G1271-R1271</f>
        <v/>
      </c>
      <c r="AC1271" s="33" t="n"/>
    </row>
    <row r="1272" ht="37.5" customHeight="1">
      <c r="A1272" s="35">
        <f>SUBTOTAL(103,$B$24:B1272)</f>
        <v/>
      </c>
      <c r="B1272" s="36" t="inlineStr">
        <is>
          <t>Плита електрична 2-х комфорочна ПЕ-ШН АРМ ЕКО</t>
        </is>
      </c>
      <c r="C1272" s="37" t="inlineStr">
        <is>
          <t>к-т</t>
        </is>
      </c>
      <c r="D1272" s="33" t="n"/>
      <c r="E1272" s="33" t="n"/>
      <c r="F1272" s="33">
        <f>E1272*0.05</f>
        <v/>
      </c>
      <c r="G1272" s="33">
        <f>E1272+F1272</f>
        <v/>
      </c>
      <c r="H1272" s="33" t="n"/>
      <c r="I1272" s="33" t="n"/>
      <c r="J1272" s="33" t="n"/>
      <c r="K1272" s="33">
        <f>L1272+M1272+N1272</f>
        <v/>
      </c>
      <c r="L1272" s="33" t="n"/>
      <c r="M1272" s="33" t="n"/>
      <c r="N1272" s="33" t="n"/>
      <c r="O1272" s="33">
        <f>P1272+Q1272</f>
        <v/>
      </c>
      <c r="P1272" s="33" t="n"/>
      <c r="Q1272" s="33" t="n"/>
      <c r="R1272" s="33">
        <f>H1272+K1272-O1272</f>
        <v/>
      </c>
      <c r="S1272" s="33" t="n"/>
      <c r="T1272" s="33" t="n"/>
      <c r="U1272" s="33" t="n"/>
      <c r="V1272" s="33" t="n"/>
      <c r="W1272" s="33" t="n"/>
      <c r="X1272" s="33" t="n"/>
      <c r="Y1272" s="33" t="n"/>
      <c r="Z1272" s="33" t="n"/>
      <c r="AA1272" s="4">
        <f>R1272-G1272</f>
        <v/>
      </c>
      <c r="AB1272" s="4">
        <f>G1272-R1272</f>
        <v/>
      </c>
      <c r="AC1272" s="33" t="n"/>
    </row>
    <row r="1273" ht="37.5" customHeight="1">
      <c r="A1273" s="35">
        <f>SUBTOTAL(103,$B$24:B1273)</f>
        <v/>
      </c>
      <c r="B1273" s="36" t="inlineStr">
        <is>
          <t>Плита електрична 2-х комфорочна PRIME</t>
        </is>
      </c>
      <c r="C1273" s="37" t="inlineStr">
        <is>
          <t>к-т</t>
        </is>
      </c>
      <c r="D1273" s="33" t="n"/>
      <c r="E1273" s="33" t="n"/>
      <c r="F1273" s="33">
        <f>E1273*0.05</f>
        <v/>
      </c>
      <c r="G1273" s="33">
        <f>E1273+F1273</f>
        <v/>
      </c>
      <c r="H1273" s="33" t="n"/>
      <c r="I1273" s="33" t="n"/>
      <c r="J1273" s="33" t="n"/>
      <c r="K1273" s="33">
        <f>L1273+M1273+N1273</f>
        <v/>
      </c>
      <c r="L1273" s="33" t="n"/>
      <c r="M1273" s="33" t="n"/>
      <c r="N1273" s="33" t="n"/>
      <c r="O1273" s="33">
        <f>P1273+Q1273</f>
        <v/>
      </c>
      <c r="P1273" s="33" t="n"/>
      <c r="Q1273" s="33" t="n"/>
      <c r="R1273" s="33">
        <f>H1273+K1273-O1273</f>
        <v/>
      </c>
      <c r="S1273" s="33" t="n"/>
      <c r="T1273" s="33" t="n"/>
      <c r="U1273" s="33" t="n"/>
      <c r="V1273" s="33" t="n"/>
      <c r="W1273" s="33" t="n"/>
      <c r="X1273" s="33" t="n"/>
      <c r="Y1273" s="33" t="n"/>
      <c r="Z1273" s="33" t="n"/>
      <c r="AA1273" s="4">
        <f>R1273-G1273</f>
        <v/>
      </c>
      <c r="AB1273" s="4">
        <f>G1273-R1273</f>
        <v/>
      </c>
      <c r="AC1273" s="33" t="n"/>
    </row>
    <row r="1274" ht="37.5" customHeight="1">
      <c r="A1274" s="35">
        <f>SUBTOTAL(103,$B$24:B1274)</f>
        <v/>
      </c>
      <c r="B1274" s="36" t="inlineStr">
        <is>
          <t>Плита електрична однокомфорочна ПЄ-1Н</t>
        </is>
      </c>
      <c r="C1274" s="37" t="inlineStr">
        <is>
          <t>к-т</t>
        </is>
      </c>
      <c r="D1274" s="33" t="n"/>
      <c r="E1274" s="33" t="n"/>
      <c r="F1274" s="33">
        <f>E1274*0.05</f>
        <v/>
      </c>
      <c r="G1274" s="33">
        <f>E1274+F1274</f>
        <v/>
      </c>
      <c r="H1274" s="33" t="n"/>
      <c r="I1274" s="33" t="n"/>
      <c r="J1274" s="33" t="n"/>
      <c r="K1274" s="33">
        <f>L1274+M1274+N1274</f>
        <v/>
      </c>
      <c r="L1274" s="33" t="n"/>
      <c r="M1274" s="33" t="n"/>
      <c r="N1274" s="33" t="n"/>
      <c r="O1274" s="33">
        <f>P1274+Q1274</f>
        <v/>
      </c>
      <c r="P1274" s="33" t="n"/>
      <c r="Q1274" s="33" t="n"/>
      <c r="R1274" s="33">
        <f>H1274+K1274-O1274</f>
        <v/>
      </c>
      <c r="S1274" s="33" t="n"/>
      <c r="T1274" s="33" t="n"/>
      <c r="U1274" s="33" t="n"/>
      <c r="V1274" s="33" t="n"/>
      <c r="W1274" s="33" t="n"/>
      <c r="X1274" s="33" t="n"/>
      <c r="Y1274" s="33" t="n"/>
      <c r="Z1274" s="33" t="n"/>
      <c r="AA1274" s="4">
        <f>R1274-G1274</f>
        <v/>
      </c>
      <c r="AB1274" s="4">
        <f>G1274-R1274</f>
        <v/>
      </c>
      <c r="AC1274" s="33" t="n"/>
    </row>
    <row r="1275" ht="18.75" customHeight="1">
      <c r="A1275" s="35">
        <f>SUBTOTAL(103,$B$24:B1275)</f>
        <v/>
      </c>
      <c r="B1275" s="36" t="inlineStr">
        <is>
          <t>Плити електричні ПЕ-2м</t>
        </is>
      </c>
      <c r="C1275" s="37" t="inlineStr">
        <is>
          <t>к-т</t>
        </is>
      </c>
      <c r="D1275" s="33" t="n"/>
      <c r="E1275" s="33" t="n"/>
      <c r="F1275" s="33">
        <f>E1275*0.05</f>
        <v/>
      </c>
      <c r="G1275" s="33">
        <f>E1275+F1275</f>
        <v/>
      </c>
      <c r="H1275" s="33" t="n"/>
      <c r="I1275" s="33" t="n"/>
      <c r="J1275" s="33" t="n"/>
      <c r="K1275" s="33">
        <f>L1275+M1275+N1275</f>
        <v/>
      </c>
      <c r="L1275" s="33" t="n"/>
      <c r="M1275" s="33" t="n"/>
      <c r="N1275" s="33" t="n"/>
      <c r="O1275" s="33">
        <f>P1275+Q1275</f>
        <v/>
      </c>
      <c r="P1275" s="33" t="n"/>
      <c r="Q1275" s="33" t="n"/>
      <c r="R1275" s="33">
        <f>H1275+K1275-O1275</f>
        <v/>
      </c>
      <c r="S1275" s="33" t="n"/>
      <c r="T1275" s="33" t="n"/>
      <c r="U1275" s="33" t="n"/>
      <c r="V1275" s="33" t="n"/>
      <c r="W1275" s="33" t="n"/>
      <c r="X1275" s="33" t="n"/>
      <c r="Y1275" s="33" t="n"/>
      <c r="Z1275" s="33" t="n"/>
      <c r="AA1275" s="4">
        <f>R1275-G1275</f>
        <v/>
      </c>
      <c r="AB1275" s="4">
        <f>G1275-R1275</f>
        <v/>
      </c>
      <c r="AC1275" s="33" t="n"/>
    </row>
    <row r="1276" ht="18.75" customHeight="1">
      <c r="A1276" s="35">
        <f>SUBTOTAL(103,$B$24:B1276)</f>
        <v/>
      </c>
      <c r="B1276" s="36" t="inlineStr">
        <is>
          <t>Плити електричні КЕЗ-6</t>
        </is>
      </c>
      <c r="C1276" s="37" t="inlineStr">
        <is>
          <t>к-т</t>
        </is>
      </c>
      <c r="D1276" s="33" t="n"/>
      <c r="E1276" s="33" t="n"/>
      <c r="F1276" s="33">
        <f>E1276*0.05</f>
        <v/>
      </c>
      <c r="G1276" s="33">
        <f>E1276+F1276</f>
        <v/>
      </c>
      <c r="H1276" s="33" t="n"/>
      <c r="I1276" s="33" t="n"/>
      <c r="J1276" s="33" t="n"/>
      <c r="K1276" s="33">
        <f>L1276+M1276+N1276</f>
        <v/>
      </c>
      <c r="L1276" s="33" t="n"/>
      <c r="M1276" s="33" t="n"/>
      <c r="N1276" s="33" t="n"/>
      <c r="O1276" s="33">
        <f>P1276+Q1276</f>
        <v/>
      </c>
      <c r="P1276" s="33" t="n"/>
      <c r="Q1276" s="33" t="n"/>
      <c r="R1276" s="33">
        <f>H1276+K1276-O1276</f>
        <v/>
      </c>
      <c r="S1276" s="33" t="n"/>
      <c r="T1276" s="33" t="n"/>
      <c r="U1276" s="33" t="n"/>
      <c r="V1276" s="33" t="n"/>
      <c r="W1276" s="33" t="n"/>
      <c r="X1276" s="33" t="n"/>
      <c r="Y1276" s="33" t="n"/>
      <c r="Z1276" s="33" t="n"/>
      <c r="AA1276" s="4">
        <f>R1276-G1276</f>
        <v/>
      </c>
      <c r="AB1276" s="4">
        <f>G1276-R1276</f>
        <v/>
      </c>
      <c r="AC1276" s="33" t="n"/>
    </row>
    <row r="1277" ht="18.75" customHeight="1">
      <c r="A1277" s="35">
        <f>SUBTOTAL(103,$B$24:B1277)</f>
        <v/>
      </c>
      <c r="B1277" s="36" t="inlineStr">
        <is>
          <t>Плити електричні ПЕСМ-4</t>
        </is>
      </c>
      <c r="C1277" s="37" t="inlineStr">
        <is>
          <t>к-т</t>
        </is>
      </c>
      <c r="D1277" s="33" t="n"/>
      <c r="E1277" s="33" t="n"/>
      <c r="F1277" s="33">
        <f>E1277*0.05</f>
        <v/>
      </c>
      <c r="G1277" s="33">
        <f>E1277+F1277</f>
        <v/>
      </c>
      <c r="H1277" s="33" t="n"/>
      <c r="I1277" s="33" t="n"/>
      <c r="J1277" s="33" t="n"/>
      <c r="K1277" s="33">
        <f>L1277+M1277+N1277</f>
        <v/>
      </c>
      <c r="L1277" s="33" t="n"/>
      <c r="M1277" s="33" t="n"/>
      <c r="N1277" s="33" t="n"/>
      <c r="O1277" s="33">
        <f>P1277+Q1277</f>
        <v/>
      </c>
      <c r="P1277" s="33" t="n"/>
      <c r="Q1277" s="33" t="n"/>
      <c r="R1277" s="33">
        <f>H1277+K1277-O1277</f>
        <v/>
      </c>
      <c r="S1277" s="33" t="n"/>
      <c r="T1277" s="33" t="n"/>
      <c r="U1277" s="33" t="n"/>
      <c r="V1277" s="33" t="n"/>
      <c r="W1277" s="33" t="n"/>
      <c r="X1277" s="33" t="n"/>
      <c r="Y1277" s="33" t="n"/>
      <c r="Z1277" s="33" t="n"/>
      <c r="AA1277" s="4">
        <f>R1277-G1277</f>
        <v/>
      </c>
      <c r="AB1277" s="4">
        <f>G1277-R1277</f>
        <v/>
      </c>
      <c r="AC1277" s="33" t="n"/>
    </row>
    <row r="1278" ht="18.75" customHeight="1">
      <c r="A1278" s="35">
        <f>SUBTOTAL(103,$B$24:B1278)</f>
        <v/>
      </c>
      <c r="B1278" s="36" t="inlineStr">
        <is>
          <t>Плити електричні ПЕСМ-4Ш</t>
        </is>
      </c>
      <c r="C1278" s="37" t="inlineStr">
        <is>
          <t>к-т</t>
        </is>
      </c>
      <c r="D1278" s="33" t="n"/>
      <c r="E1278" s="33" t="n"/>
      <c r="F1278" s="33">
        <f>E1278*0.05</f>
        <v/>
      </c>
      <c r="G1278" s="33">
        <f>E1278+F1278</f>
        <v/>
      </c>
      <c r="H1278" s="33" t="n"/>
      <c r="I1278" s="33" t="n"/>
      <c r="J1278" s="33" t="n"/>
      <c r="K1278" s="33">
        <f>L1278+M1278+N1278</f>
        <v/>
      </c>
      <c r="L1278" s="33" t="n"/>
      <c r="M1278" s="33" t="n"/>
      <c r="N1278" s="33" t="n"/>
      <c r="O1278" s="33">
        <f>P1278+Q1278</f>
        <v/>
      </c>
      <c r="P1278" s="33" t="n"/>
      <c r="Q1278" s="33" t="n"/>
      <c r="R1278" s="33">
        <f>H1278+K1278-O1278</f>
        <v/>
      </c>
      <c r="S1278" s="33" t="n"/>
      <c r="T1278" s="33" t="n"/>
      <c r="U1278" s="33" t="n"/>
      <c r="V1278" s="33" t="n"/>
      <c r="W1278" s="33" t="n"/>
      <c r="X1278" s="33" t="n"/>
      <c r="Y1278" s="33" t="n"/>
      <c r="Z1278" s="33" t="n"/>
      <c r="AA1278" s="4">
        <f>R1278-G1278</f>
        <v/>
      </c>
      <c r="AB1278" s="4">
        <f>G1278-R1278</f>
        <v/>
      </c>
      <c r="AC1278" s="33" t="n"/>
    </row>
    <row r="1279" ht="18.75" customHeight="1">
      <c r="A1279" s="35">
        <f>SUBTOTAL(103,$B$24:B1279)</f>
        <v/>
      </c>
      <c r="B1279" s="36" t="inlineStr">
        <is>
          <t>Плити електричні ПЕСМ-2М</t>
        </is>
      </c>
      <c r="C1279" s="37" t="inlineStr">
        <is>
          <t>к-т</t>
        </is>
      </c>
      <c r="D1279" s="33" t="n"/>
      <c r="E1279" s="33" t="n"/>
      <c r="F1279" s="33">
        <f>E1279*0.05</f>
        <v/>
      </c>
      <c r="G1279" s="33">
        <f>E1279+F1279</f>
        <v/>
      </c>
      <c r="H1279" s="33" t="n"/>
      <c r="I1279" s="33" t="n"/>
      <c r="J1279" s="33" t="n"/>
      <c r="K1279" s="33">
        <f>L1279+M1279+N1279</f>
        <v/>
      </c>
      <c r="L1279" s="33" t="n"/>
      <c r="M1279" s="33" t="n"/>
      <c r="N1279" s="33" t="n"/>
      <c r="O1279" s="33">
        <f>P1279+Q1279</f>
        <v/>
      </c>
      <c r="P1279" s="33" t="n"/>
      <c r="Q1279" s="33" t="n"/>
      <c r="R1279" s="33">
        <f>H1279+K1279-O1279</f>
        <v/>
      </c>
      <c r="S1279" s="33" t="n"/>
      <c r="T1279" s="33" t="n"/>
      <c r="U1279" s="33" t="n"/>
      <c r="V1279" s="33" t="n"/>
      <c r="W1279" s="33" t="n"/>
      <c r="X1279" s="33" t="n"/>
      <c r="Y1279" s="33" t="n"/>
      <c r="Z1279" s="33" t="n"/>
      <c r="AA1279" s="4">
        <f>R1279-G1279</f>
        <v/>
      </c>
      <c r="AB1279" s="4">
        <f>G1279-R1279</f>
        <v/>
      </c>
      <c r="AC1279" s="33" t="n"/>
    </row>
    <row r="1280" ht="18.75" customHeight="1">
      <c r="A1280" s="35">
        <f>SUBTOTAL(103,$B$24:B1280)</f>
        <v/>
      </c>
      <c r="B1280" s="36" t="inlineStr">
        <is>
          <t>Плити електричні ПЕКШ-4</t>
        </is>
      </c>
      <c r="C1280" s="37" t="inlineStr">
        <is>
          <t>к-т</t>
        </is>
      </c>
      <c r="D1280" s="33" t="n"/>
      <c r="E1280" s="33" t="n"/>
      <c r="F1280" s="33">
        <f>E1280*0.05</f>
        <v/>
      </c>
      <c r="G1280" s="33">
        <f>E1280+F1280</f>
        <v/>
      </c>
      <c r="H1280" s="33" t="n"/>
      <c r="I1280" s="33" t="n"/>
      <c r="J1280" s="33" t="n"/>
      <c r="K1280" s="33">
        <f>L1280+M1280+N1280</f>
        <v/>
      </c>
      <c r="L1280" s="33" t="n"/>
      <c r="M1280" s="33" t="n"/>
      <c r="N1280" s="33" t="n"/>
      <c r="O1280" s="33">
        <f>P1280+Q1280</f>
        <v/>
      </c>
      <c r="P1280" s="33" t="n"/>
      <c r="Q1280" s="33" t="n"/>
      <c r="R1280" s="33">
        <f>H1280+K1280-O1280</f>
        <v/>
      </c>
      <c r="S1280" s="33" t="n"/>
      <c r="T1280" s="33" t="n"/>
      <c r="U1280" s="33" t="n"/>
      <c r="V1280" s="33" t="n"/>
      <c r="W1280" s="33" t="n"/>
      <c r="X1280" s="33" t="n"/>
      <c r="Y1280" s="33" t="n"/>
      <c r="Z1280" s="33" t="n"/>
      <c r="AA1280" s="4">
        <f>R1280-G1280</f>
        <v/>
      </c>
      <c r="AB1280" s="4">
        <f>G1280-R1280</f>
        <v/>
      </c>
      <c r="AC1280" s="33" t="n"/>
    </row>
    <row r="1281" ht="18.75" customHeight="1">
      <c r="A1281" s="35">
        <f>SUBTOTAL(103,$B$24:B1281)</f>
        <v/>
      </c>
      <c r="B1281" s="36" t="inlineStr">
        <is>
          <t>Плити електричні ПЕ-4Ш Ч</t>
        </is>
      </c>
      <c r="C1281" s="37" t="inlineStr">
        <is>
          <t>к-т</t>
        </is>
      </c>
      <c r="D1281" s="33" t="n"/>
      <c r="E1281" s="33" t="n"/>
      <c r="F1281" s="33">
        <f>E1281*0.05</f>
        <v/>
      </c>
      <c r="G1281" s="33">
        <f>E1281+F1281</f>
        <v/>
      </c>
      <c r="H1281" s="33" t="n"/>
      <c r="I1281" s="33" t="n"/>
      <c r="J1281" s="33" t="n"/>
      <c r="K1281" s="33">
        <f>L1281+M1281+N1281</f>
        <v/>
      </c>
      <c r="L1281" s="33" t="n"/>
      <c r="M1281" s="33" t="n"/>
      <c r="N1281" s="33" t="n"/>
      <c r="O1281" s="33">
        <f>P1281+Q1281</f>
        <v/>
      </c>
      <c r="P1281" s="33" t="n"/>
      <c r="Q1281" s="33" t="n"/>
      <c r="R1281" s="33">
        <f>H1281+K1281-O1281</f>
        <v/>
      </c>
      <c r="S1281" s="33" t="n"/>
      <c r="T1281" s="33" t="n"/>
      <c r="U1281" s="33" t="n"/>
      <c r="V1281" s="33" t="n"/>
      <c r="W1281" s="33" t="n"/>
      <c r="X1281" s="33" t="n"/>
      <c r="Y1281" s="33" t="n"/>
      <c r="Z1281" s="33" t="n"/>
      <c r="AA1281" s="4">
        <f>R1281-G1281</f>
        <v/>
      </c>
      <c r="AB1281" s="4">
        <f>G1281-R1281</f>
        <v/>
      </c>
      <c r="AC1281" s="33" t="n"/>
    </row>
    <row r="1282" ht="18.75" customHeight="1">
      <c r="A1282" s="35">
        <f>SUBTOTAL(103,$B$24:B1282)</f>
        <v/>
      </c>
      <c r="B1282" s="36" t="inlineStr">
        <is>
          <t>Плити електричні ПЕ-0,34</t>
        </is>
      </c>
      <c r="C1282" s="37" t="inlineStr">
        <is>
          <t>к-т</t>
        </is>
      </c>
      <c r="D1282" s="33" t="n"/>
      <c r="E1282" s="33" t="n"/>
      <c r="F1282" s="33">
        <f>E1282*0.05</f>
        <v/>
      </c>
      <c r="G1282" s="33">
        <f>E1282+F1282</f>
        <v/>
      </c>
      <c r="H1282" s="33" t="n"/>
      <c r="I1282" s="33" t="n"/>
      <c r="J1282" s="33" t="n"/>
      <c r="K1282" s="33">
        <f>L1282+M1282+N1282</f>
        <v/>
      </c>
      <c r="L1282" s="33" t="n"/>
      <c r="M1282" s="33" t="n"/>
      <c r="N1282" s="33" t="n"/>
      <c r="O1282" s="33">
        <f>P1282+Q1282</f>
        <v/>
      </c>
      <c r="P1282" s="33" t="n"/>
      <c r="Q1282" s="33" t="n"/>
      <c r="R1282" s="33">
        <f>H1282+K1282-O1282</f>
        <v/>
      </c>
      <c r="S1282" s="33" t="n"/>
      <c r="T1282" s="33" t="n"/>
      <c r="U1282" s="33" t="n"/>
      <c r="V1282" s="33" t="n"/>
      <c r="W1282" s="33" t="n"/>
      <c r="X1282" s="33" t="n"/>
      <c r="Y1282" s="33" t="n"/>
      <c r="Z1282" s="33" t="n"/>
      <c r="AA1282" s="4">
        <f>R1282-G1282</f>
        <v/>
      </c>
      <c r="AB1282" s="4">
        <f>G1282-R1282</f>
        <v/>
      </c>
      <c r="AC1282" s="33" t="n"/>
    </row>
    <row r="1283" ht="18.75" customHeight="1">
      <c r="A1283" s="35">
        <f>SUBTOTAL(103,$B$24:B1283)</f>
        <v/>
      </c>
      <c r="B1283" s="36" t="inlineStr">
        <is>
          <t>Плити електричні ПЕТ-0,34</t>
        </is>
      </c>
      <c r="C1283" s="37" t="inlineStr">
        <is>
          <t>к-т</t>
        </is>
      </c>
      <c r="D1283" s="33" t="n"/>
      <c r="E1283" s="33" t="n"/>
      <c r="F1283" s="33">
        <f>E1283*0.05</f>
        <v/>
      </c>
      <c r="G1283" s="33">
        <f>E1283+F1283</f>
        <v/>
      </c>
      <c r="H1283" s="33" t="n"/>
      <c r="I1283" s="33" t="n"/>
      <c r="J1283" s="33" t="n"/>
      <c r="K1283" s="33">
        <f>L1283+M1283+N1283</f>
        <v/>
      </c>
      <c r="L1283" s="33" t="n"/>
      <c r="M1283" s="33" t="n"/>
      <c r="N1283" s="33" t="n"/>
      <c r="O1283" s="33">
        <f>P1283+Q1283</f>
        <v/>
      </c>
      <c r="P1283" s="33" t="n"/>
      <c r="Q1283" s="33" t="n"/>
      <c r="R1283" s="33">
        <f>H1283+K1283-O1283</f>
        <v/>
      </c>
      <c r="S1283" s="33" t="n"/>
      <c r="T1283" s="33" t="n"/>
      <c r="U1283" s="33" t="n"/>
      <c r="V1283" s="33" t="n"/>
      <c r="W1283" s="33" t="n"/>
      <c r="X1283" s="33" t="n"/>
      <c r="Y1283" s="33" t="n"/>
      <c r="Z1283" s="33" t="n"/>
      <c r="AA1283" s="4">
        <f>R1283-G1283</f>
        <v/>
      </c>
      <c r="AB1283" s="4">
        <f>G1283-R1283</f>
        <v/>
      </c>
      <c r="AC1283" s="33" t="n"/>
    </row>
    <row r="1284" ht="18.75" customHeight="1">
      <c r="A1284" s="35">
        <f>SUBTOTAL(103,$B$24:B1284)</f>
        <v/>
      </c>
      <c r="B1284" s="36" t="inlineStr">
        <is>
          <t>Плити електричні ПЕ-0,17</t>
        </is>
      </c>
      <c r="C1284" s="37" t="inlineStr">
        <is>
          <t>к-т</t>
        </is>
      </c>
      <c r="D1284" s="33" t="n"/>
      <c r="E1284" s="33" t="n"/>
      <c r="F1284" s="33">
        <f>E1284*0.05</f>
        <v/>
      </c>
      <c r="G1284" s="33">
        <f>E1284+F1284</f>
        <v/>
      </c>
      <c r="H1284" s="33" t="n"/>
      <c r="I1284" s="33" t="n"/>
      <c r="J1284" s="33" t="n"/>
      <c r="K1284" s="33">
        <f>L1284+M1284+N1284</f>
        <v/>
      </c>
      <c r="L1284" s="33" t="n"/>
      <c r="M1284" s="33" t="n"/>
      <c r="N1284" s="33" t="n"/>
      <c r="O1284" s="33">
        <f>P1284+Q1284</f>
        <v/>
      </c>
      <c r="P1284" s="33" t="n"/>
      <c r="Q1284" s="33" t="n"/>
      <c r="R1284" s="33">
        <f>H1284+K1284-O1284</f>
        <v/>
      </c>
      <c r="S1284" s="33" t="n"/>
      <c r="T1284" s="33" t="n"/>
      <c r="U1284" s="33" t="n"/>
      <c r="V1284" s="33" t="n"/>
      <c r="W1284" s="33" t="n"/>
      <c r="X1284" s="33" t="n"/>
      <c r="Y1284" s="33" t="n"/>
      <c r="Z1284" s="33" t="n"/>
      <c r="AA1284" s="4">
        <f>R1284-G1284</f>
        <v/>
      </c>
      <c r="AB1284" s="4">
        <f>G1284-R1284</f>
        <v/>
      </c>
      <c r="AC1284" s="33" t="n"/>
    </row>
    <row r="1285" ht="18.75" customHeight="1">
      <c r="A1285" s="35">
        <f>SUBTOTAL(103,$B$24:B1285)</f>
        <v/>
      </c>
      <c r="B1285" s="36" t="inlineStr">
        <is>
          <t>Плити електричні ПЕТ-0,51</t>
        </is>
      </c>
      <c r="C1285" s="37" t="inlineStr">
        <is>
          <t>к-т</t>
        </is>
      </c>
      <c r="D1285" s="33" t="n"/>
      <c r="E1285" s="33" t="n"/>
      <c r="F1285" s="33">
        <f>E1285*0.05</f>
        <v/>
      </c>
      <c r="G1285" s="33">
        <f>E1285+F1285</f>
        <v/>
      </c>
      <c r="H1285" s="33" t="n"/>
      <c r="I1285" s="33" t="n"/>
      <c r="J1285" s="33" t="n"/>
      <c r="K1285" s="33">
        <f>L1285+M1285+N1285</f>
        <v/>
      </c>
      <c r="L1285" s="33" t="n"/>
      <c r="M1285" s="33" t="n"/>
      <c r="N1285" s="33" t="n"/>
      <c r="O1285" s="33">
        <f>P1285+Q1285</f>
        <v/>
      </c>
      <c r="P1285" s="33" t="n"/>
      <c r="Q1285" s="33" t="n"/>
      <c r="R1285" s="33">
        <f>H1285+K1285-O1285</f>
        <v/>
      </c>
      <c r="S1285" s="33" t="n"/>
      <c r="T1285" s="33" t="n"/>
      <c r="U1285" s="33" t="n"/>
      <c r="V1285" s="33" t="n"/>
      <c r="W1285" s="33" t="n"/>
      <c r="X1285" s="33" t="n"/>
      <c r="Y1285" s="33" t="n"/>
      <c r="Z1285" s="33" t="n"/>
      <c r="AA1285" s="4">
        <f>R1285-G1285</f>
        <v/>
      </c>
      <c r="AB1285" s="4">
        <f>G1285-R1285</f>
        <v/>
      </c>
      <c r="AC1285" s="33" t="n"/>
    </row>
    <row r="1286" ht="18.75" customHeight="1">
      <c r="A1286" s="35">
        <f>SUBTOTAL(103,$B$24:B1286)</f>
        <v/>
      </c>
      <c r="B1286" s="36" t="inlineStr">
        <is>
          <t>Плити електричні ПЕТ-0,17</t>
        </is>
      </c>
      <c r="C1286" s="37" t="inlineStr">
        <is>
          <t>к-т</t>
        </is>
      </c>
      <c r="D1286" s="33" t="n"/>
      <c r="E1286" s="33" t="n"/>
      <c r="F1286" s="33">
        <f>E1286*0.05</f>
        <v/>
      </c>
      <c r="G1286" s="33">
        <f>E1286+F1286</f>
        <v/>
      </c>
      <c r="H1286" s="33" t="n"/>
      <c r="I1286" s="33" t="n"/>
      <c r="J1286" s="33" t="n"/>
      <c r="K1286" s="33">
        <f>L1286+M1286+N1286</f>
        <v/>
      </c>
      <c r="L1286" s="33" t="n"/>
      <c r="M1286" s="33" t="n"/>
      <c r="N1286" s="33" t="n"/>
      <c r="O1286" s="33">
        <f>P1286+Q1286</f>
        <v/>
      </c>
      <c r="P1286" s="33" t="n"/>
      <c r="Q1286" s="33" t="n"/>
      <c r="R1286" s="33">
        <f>H1286+K1286-O1286</f>
        <v/>
      </c>
      <c r="S1286" s="33" t="n"/>
      <c r="T1286" s="33" t="n"/>
      <c r="U1286" s="33" t="n"/>
      <c r="V1286" s="33" t="n"/>
      <c r="W1286" s="33" t="n"/>
      <c r="X1286" s="33" t="n"/>
      <c r="Y1286" s="33" t="n"/>
      <c r="Z1286" s="33" t="n"/>
      <c r="AA1286" s="4">
        <f>R1286-G1286</f>
        <v/>
      </c>
      <c r="AB1286" s="4">
        <f>G1286-R1286</f>
        <v/>
      </c>
      <c r="AC1286" s="33" t="n"/>
    </row>
    <row r="1287" ht="18.75" customHeight="1">
      <c r="A1287" s="35">
        <f>SUBTOTAL(103,$B$24:B1287)</f>
        <v/>
      </c>
      <c r="B1287" s="36" t="inlineStr">
        <is>
          <t>Плити електричні ПЕ-0,5</t>
        </is>
      </c>
      <c r="C1287" s="37" t="inlineStr">
        <is>
          <t>к-т</t>
        </is>
      </c>
      <c r="D1287" s="33" t="n"/>
      <c r="E1287" s="33" t="n"/>
      <c r="F1287" s="33">
        <f>E1287*0.05</f>
        <v/>
      </c>
      <c r="G1287" s="33">
        <f>E1287+F1287</f>
        <v/>
      </c>
      <c r="H1287" s="33" t="n"/>
      <c r="I1287" s="33" t="n"/>
      <c r="J1287" s="33" t="n"/>
      <c r="K1287" s="33">
        <f>L1287+M1287+N1287</f>
        <v/>
      </c>
      <c r="L1287" s="33" t="n"/>
      <c r="M1287" s="33" t="n"/>
      <c r="N1287" s="33" t="n"/>
      <c r="O1287" s="33">
        <f>P1287+Q1287</f>
        <v/>
      </c>
      <c r="P1287" s="33" t="n"/>
      <c r="Q1287" s="33" t="n"/>
      <c r="R1287" s="33">
        <f>H1287+K1287-O1287</f>
        <v/>
      </c>
      <c r="S1287" s="33" t="n"/>
      <c r="T1287" s="33" t="n"/>
      <c r="U1287" s="33" t="n"/>
      <c r="V1287" s="33" t="n"/>
      <c r="W1287" s="33" t="n"/>
      <c r="X1287" s="33" t="n"/>
      <c r="Y1287" s="33" t="n"/>
      <c r="Z1287" s="33" t="n"/>
      <c r="AA1287" s="4">
        <f>R1287-G1287</f>
        <v/>
      </c>
      <c r="AB1287" s="4">
        <f>G1287-R1287</f>
        <v/>
      </c>
      <c r="AC1287" s="33" t="n"/>
    </row>
    <row r="1288" ht="18.75" customHeight="1">
      <c r="A1288" s="35">
        <f>SUBTOTAL(103,$B$24:B1288)</f>
        <v/>
      </c>
      <c r="B1288" s="36" t="inlineStr">
        <is>
          <t>Плити електричні ПЕ-0,24</t>
        </is>
      </c>
      <c r="C1288" s="37" t="inlineStr">
        <is>
          <t>к-т</t>
        </is>
      </c>
      <c r="D1288" s="33" t="n"/>
      <c r="E1288" s="33" t="n"/>
      <c r="F1288" s="33">
        <f>E1288*0.05</f>
        <v/>
      </c>
      <c r="G1288" s="33">
        <f>E1288+F1288</f>
        <v/>
      </c>
      <c r="H1288" s="33" t="n"/>
      <c r="I1288" s="33" t="n"/>
      <c r="J1288" s="33" t="n"/>
      <c r="K1288" s="33">
        <f>L1288+M1288+N1288</f>
        <v/>
      </c>
      <c r="L1288" s="33" t="n"/>
      <c r="M1288" s="33" t="n"/>
      <c r="N1288" s="33" t="n"/>
      <c r="O1288" s="33">
        <f>P1288+Q1288</f>
        <v/>
      </c>
      <c r="P1288" s="33" t="n"/>
      <c r="Q1288" s="33" t="n"/>
      <c r="R1288" s="33">
        <f>H1288+K1288-O1288</f>
        <v/>
      </c>
      <c r="S1288" s="33" t="n"/>
      <c r="T1288" s="33" t="n"/>
      <c r="U1288" s="33" t="n"/>
      <c r="V1288" s="33" t="n"/>
      <c r="W1288" s="33" t="n"/>
      <c r="X1288" s="33" t="n"/>
      <c r="Y1288" s="33" t="n"/>
      <c r="Z1288" s="33" t="n"/>
      <c r="AA1288" s="4">
        <f>R1288-G1288</f>
        <v/>
      </c>
      <c r="AB1288" s="4">
        <f>G1288-R1288</f>
        <v/>
      </c>
      <c r="AC1288" s="33" t="n"/>
    </row>
    <row r="1289" ht="18.75" customHeight="1">
      <c r="A1289" s="35">
        <f>SUBTOTAL(103,$B$24:B1289)</f>
        <v/>
      </c>
      <c r="B1289" s="36" t="inlineStr">
        <is>
          <t>Плити електричні ПЕ-0,34</t>
        </is>
      </c>
      <c r="C1289" s="37" t="inlineStr">
        <is>
          <t>к-т</t>
        </is>
      </c>
      <c r="D1289" s="33" t="n"/>
      <c r="E1289" s="33" t="n"/>
      <c r="F1289" s="33">
        <f>E1289*0.05</f>
        <v/>
      </c>
      <c r="G1289" s="33">
        <f>E1289+F1289</f>
        <v/>
      </c>
      <c r="H1289" s="33" t="n"/>
      <c r="I1289" s="33" t="n"/>
      <c r="J1289" s="33" t="n"/>
      <c r="K1289" s="33">
        <f>L1289+M1289+N1289</f>
        <v/>
      </c>
      <c r="L1289" s="33" t="n"/>
      <c r="M1289" s="33" t="n"/>
      <c r="N1289" s="33" t="n"/>
      <c r="O1289" s="33">
        <f>P1289+Q1289</f>
        <v/>
      </c>
      <c r="P1289" s="33" t="n"/>
      <c r="Q1289" s="33" t="n"/>
      <c r="R1289" s="33">
        <f>H1289+K1289-O1289</f>
        <v/>
      </c>
      <c r="S1289" s="33" t="n"/>
      <c r="T1289" s="33" t="n"/>
      <c r="U1289" s="33" t="n"/>
      <c r="V1289" s="33" t="n"/>
      <c r="W1289" s="33" t="n"/>
      <c r="X1289" s="33" t="n"/>
      <c r="Y1289" s="33" t="n"/>
      <c r="Z1289" s="33" t="n"/>
      <c r="AA1289" s="4">
        <f>R1289-G1289</f>
        <v/>
      </c>
      <c r="AB1289" s="4">
        <f>G1289-R1289</f>
        <v/>
      </c>
      <c r="AC1289" s="33" t="n"/>
    </row>
    <row r="1290" ht="18.75" customHeight="1">
      <c r="A1290" s="35">
        <f>SUBTOTAL(103,$B$24:B1290)</f>
        <v/>
      </c>
      <c r="B1290" s="36" t="inlineStr">
        <is>
          <t>Плити електричні ПЕ-0,48</t>
        </is>
      </c>
      <c r="C1290" s="37" t="inlineStr">
        <is>
          <t>к-т</t>
        </is>
      </c>
      <c r="D1290" s="33" t="n"/>
      <c r="E1290" s="33" t="n"/>
      <c r="F1290" s="33">
        <f>E1290*0.05</f>
        <v/>
      </c>
      <c r="G1290" s="33">
        <f>E1290+F1290</f>
        <v/>
      </c>
      <c r="H1290" s="33" t="n"/>
      <c r="I1290" s="33" t="n"/>
      <c r="J1290" s="33" t="n"/>
      <c r="K1290" s="33">
        <f>L1290+M1290+N1290</f>
        <v/>
      </c>
      <c r="L1290" s="33" t="n"/>
      <c r="M1290" s="33" t="n"/>
      <c r="N1290" s="33" t="n"/>
      <c r="O1290" s="33">
        <f>P1290+Q1290</f>
        <v/>
      </c>
      <c r="P1290" s="33" t="n"/>
      <c r="Q1290" s="33" t="n"/>
      <c r="R1290" s="33">
        <f>H1290+K1290-O1290</f>
        <v/>
      </c>
      <c r="S1290" s="33" t="n"/>
      <c r="T1290" s="33" t="n"/>
      <c r="U1290" s="33" t="n"/>
      <c r="V1290" s="33" t="n"/>
      <c r="W1290" s="33" t="n"/>
      <c r="X1290" s="33" t="n"/>
      <c r="Y1290" s="33" t="n"/>
      <c r="Z1290" s="33" t="n"/>
      <c r="AA1290" s="4">
        <f>R1290-G1290</f>
        <v/>
      </c>
      <c r="AB1290" s="4">
        <f>G1290-R1290</f>
        <v/>
      </c>
      <c r="AC1290" s="33" t="n"/>
    </row>
    <row r="1291" ht="18.75" customHeight="1">
      <c r="A1291" s="35">
        <f>SUBTOTAL(103,$B$24:B1291)</f>
        <v/>
      </c>
      <c r="B1291" s="36" t="inlineStr">
        <is>
          <t>Плити електричні ПЕ-0,51</t>
        </is>
      </c>
      <c r="C1291" s="37" t="inlineStr">
        <is>
          <t>к-т</t>
        </is>
      </c>
      <c r="D1291" s="33" t="n"/>
      <c r="E1291" s="33" t="n"/>
      <c r="F1291" s="33">
        <f>E1291*0.05</f>
        <v/>
      </c>
      <c r="G1291" s="33">
        <f>E1291+F1291</f>
        <v/>
      </c>
      <c r="H1291" s="33" t="n"/>
      <c r="I1291" s="33" t="n"/>
      <c r="J1291" s="33" t="n"/>
      <c r="K1291" s="33">
        <f>L1291+M1291+N1291</f>
        <v/>
      </c>
      <c r="L1291" s="33" t="n"/>
      <c r="M1291" s="33" t="n"/>
      <c r="N1291" s="33" t="n"/>
      <c r="O1291" s="33">
        <f>P1291+Q1291</f>
        <v/>
      </c>
      <c r="P1291" s="33" t="n"/>
      <c r="Q1291" s="33" t="n"/>
      <c r="R1291" s="33">
        <f>H1291+K1291-O1291</f>
        <v/>
      </c>
      <c r="S1291" s="33" t="n"/>
      <c r="T1291" s="33" t="n"/>
      <c r="U1291" s="33" t="n"/>
      <c r="V1291" s="33" t="n"/>
      <c r="W1291" s="33" t="n"/>
      <c r="X1291" s="33" t="n"/>
      <c r="Y1291" s="33" t="n"/>
      <c r="Z1291" s="33" t="n"/>
      <c r="AA1291" s="4">
        <f>R1291-G1291</f>
        <v/>
      </c>
      <c r="AB1291" s="4">
        <f>G1291-R1291</f>
        <v/>
      </c>
      <c r="AC1291" s="33" t="n"/>
    </row>
    <row r="1292" ht="18.75" customHeight="1">
      <c r="A1292" s="35">
        <f>SUBTOTAL(103,$B$24:B1292)</f>
        <v/>
      </c>
      <c r="B1292" s="36" t="inlineStr">
        <is>
          <t>Плити електричні ПЕО</t>
        </is>
      </c>
      <c r="C1292" s="37" t="inlineStr">
        <is>
          <t>к-т</t>
        </is>
      </c>
      <c r="D1292" s="33" t="n"/>
      <c r="E1292" s="33" t="n"/>
      <c r="F1292" s="33">
        <f>E1292*0.05</f>
        <v/>
      </c>
      <c r="G1292" s="33">
        <f>E1292+F1292</f>
        <v/>
      </c>
      <c r="H1292" s="33" t="n"/>
      <c r="I1292" s="33" t="n"/>
      <c r="J1292" s="33" t="n"/>
      <c r="K1292" s="33">
        <f>L1292+M1292+N1292</f>
        <v/>
      </c>
      <c r="L1292" s="33" t="n"/>
      <c r="M1292" s="33" t="n"/>
      <c r="N1292" s="33" t="n"/>
      <c r="O1292" s="33">
        <f>P1292+Q1292</f>
        <v/>
      </c>
      <c r="P1292" s="33" t="n"/>
      <c r="Q1292" s="33" t="n"/>
      <c r="R1292" s="33">
        <f>H1292+K1292-O1292</f>
        <v/>
      </c>
      <c r="S1292" s="33" t="n"/>
      <c r="T1292" s="33" t="n"/>
      <c r="U1292" s="33" t="n"/>
      <c r="V1292" s="33" t="n"/>
      <c r="W1292" s="33" t="n"/>
      <c r="X1292" s="33" t="n"/>
      <c r="Y1292" s="33" t="n"/>
      <c r="Z1292" s="33" t="n"/>
      <c r="AA1292" s="4">
        <f>R1292-G1292</f>
        <v/>
      </c>
      <c r="AB1292" s="4">
        <f>G1292-R1292</f>
        <v/>
      </c>
      <c r="AC1292" s="33" t="n"/>
    </row>
    <row r="1293" ht="18.75" customHeight="1">
      <c r="A1293" s="35">
        <f>SUBTOTAL(103,$B$24:B1293)</f>
        <v/>
      </c>
      <c r="B1293" s="36" t="inlineStr">
        <is>
          <t>Плита електрична "Нанза-Е-602"</t>
        </is>
      </c>
      <c r="C1293" s="37" t="inlineStr">
        <is>
          <t>к-т</t>
        </is>
      </c>
      <c r="D1293" s="33" t="n"/>
      <c r="E1293" s="33" t="n"/>
      <c r="F1293" s="33">
        <f>E1293*0.05</f>
        <v/>
      </c>
      <c r="G1293" s="33">
        <f>E1293+F1293</f>
        <v/>
      </c>
      <c r="H1293" s="33" t="n"/>
      <c r="I1293" s="33" t="n"/>
      <c r="J1293" s="33" t="n"/>
      <c r="K1293" s="33">
        <f>L1293+M1293+N1293</f>
        <v/>
      </c>
      <c r="L1293" s="33" t="n"/>
      <c r="M1293" s="33" t="n"/>
      <c r="N1293" s="33" t="n"/>
      <c r="O1293" s="33">
        <f>P1293+Q1293</f>
        <v/>
      </c>
      <c r="P1293" s="33" t="n"/>
      <c r="Q1293" s="33" t="n"/>
      <c r="R1293" s="33">
        <f>H1293+K1293-O1293</f>
        <v/>
      </c>
      <c r="S1293" s="33" t="n"/>
      <c r="T1293" s="33" t="n"/>
      <c r="U1293" s="33" t="n"/>
      <c r="V1293" s="33" t="n"/>
      <c r="W1293" s="33" t="n"/>
      <c r="X1293" s="33" t="n"/>
      <c r="Y1293" s="33" t="n"/>
      <c r="Z1293" s="33" t="n"/>
      <c r="AA1293" s="4">
        <f>R1293-G1293</f>
        <v/>
      </c>
      <c r="AB1293" s="4">
        <f>G1293-R1293</f>
        <v/>
      </c>
      <c r="AC1293" s="33" t="n"/>
    </row>
    <row r="1294" ht="18.75" customHeight="1">
      <c r="A1294" s="35">
        <f>SUBTOTAL(103,$B$24:B1294)</f>
        <v/>
      </c>
      <c r="B1294" s="36" t="inlineStr">
        <is>
          <t>Плита електрична HANSA</t>
        </is>
      </c>
      <c r="C1294" s="37" t="inlineStr">
        <is>
          <t>к-т</t>
        </is>
      </c>
      <c r="D1294" s="33" t="n"/>
      <c r="E1294" s="33" t="n"/>
      <c r="F1294" s="33">
        <f>E1294*0.05</f>
        <v/>
      </c>
      <c r="G1294" s="33">
        <f>E1294+F1294</f>
        <v/>
      </c>
      <c r="H1294" s="33" t="n"/>
      <c r="I1294" s="33" t="n"/>
      <c r="J1294" s="33" t="n"/>
      <c r="K1294" s="33">
        <f>L1294+M1294+N1294</f>
        <v/>
      </c>
      <c r="L1294" s="33" t="n"/>
      <c r="M1294" s="33" t="n"/>
      <c r="N1294" s="33" t="n"/>
      <c r="O1294" s="33">
        <f>P1294+Q1294</f>
        <v/>
      </c>
      <c r="P1294" s="33" t="n"/>
      <c r="Q1294" s="33" t="n"/>
      <c r="R1294" s="33">
        <f>H1294+K1294-O1294</f>
        <v/>
      </c>
      <c r="S1294" s="33" t="n"/>
      <c r="T1294" s="33" t="n"/>
      <c r="U1294" s="33" t="n"/>
      <c r="V1294" s="33" t="n"/>
      <c r="W1294" s="33" t="n"/>
      <c r="X1294" s="33" t="n"/>
      <c r="Y1294" s="33" t="n"/>
      <c r="Z1294" s="33" t="n"/>
      <c r="AA1294" s="4">
        <f>R1294-G1294</f>
        <v/>
      </c>
      <c r="AB1294" s="4">
        <f>G1294-R1294</f>
        <v/>
      </c>
      <c r="AC1294" s="33" t="n"/>
    </row>
    <row r="1295" ht="18.75" customHeight="1">
      <c r="A1295" s="35">
        <f>SUBTOTAL(103,$B$24:B1295)</f>
        <v/>
      </c>
      <c r="B1295" s="36" t="inlineStr">
        <is>
          <t>Плита електрична Electrolux</t>
        </is>
      </c>
      <c r="C1295" s="37" t="inlineStr">
        <is>
          <t>к-т</t>
        </is>
      </c>
      <c r="D1295" s="33" t="n"/>
      <c r="E1295" s="33" t="n"/>
      <c r="F1295" s="33">
        <f>E1295*0.05</f>
        <v/>
      </c>
      <c r="G1295" s="33">
        <f>E1295+F1295</f>
        <v/>
      </c>
      <c r="H1295" s="33" t="n"/>
      <c r="I1295" s="33" t="n"/>
      <c r="J1295" s="33" t="n"/>
      <c r="K1295" s="33">
        <f>L1295+M1295+N1295</f>
        <v/>
      </c>
      <c r="L1295" s="33" t="n"/>
      <c r="M1295" s="33" t="n"/>
      <c r="N1295" s="33" t="n"/>
      <c r="O1295" s="33">
        <f>P1295+Q1295</f>
        <v/>
      </c>
      <c r="P1295" s="33" t="n"/>
      <c r="Q1295" s="33" t="n"/>
      <c r="R1295" s="33">
        <f>H1295+K1295-O1295</f>
        <v/>
      </c>
      <c r="S1295" s="33" t="n"/>
      <c r="T1295" s="33" t="n"/>
      <c r="U1295" s="33" t="n"/>
      <c r="V1295" s="33" t="n"/>
      <c r="W1295" s="33" t="n"/>
      <c r="X1295" s="33" t="n"/>
      <c r="Y1295" s="33" t="n"/>
      <c r="Z1295" s="33" t="n"/>
      <c r="AA1295" s="4">
        <f>R1295-G1295</f>
        <v/>
      </c>
      <c r="AB1295" s="4">
        <f>G1295-R1295</f>
        <v/>
      </c>
      <c r="AC1295" s="33" t="n"/>
    </row>
    <row r="1296" ht="37.5" customHeight="1">
      <c r="A1296" s="35">
        <f>SUBTOTAL(103,$B$24:B1296)</f>
        <v/>
      </c>
      <c r="B1296" s="36" t="inlineStr">
        <is>
          <t>Плита електрична Electrolux EKC952901W</t>
        </is>
      </c>
      <c r="C1296" s="37" t="inlineStr">
        <is>
          <t>к-т</t>
        </is>
      </c>
      <c r="D1296" s="33" t="n"/>
      <c r="E1296" s="33" t="n"/>
      <c r="F1296" s="33">
        <f>E1296*0.05</f>
        <v/>
      </c>
      <c r="G1296" s="33">
        <f>E1296+F1296</f>
        <v/>
      </c>
      <c r="H1296" s="33" t="n"/>
      <c r="I1296" s="33" t="n"/>
      <c r="J1296" s="33" t="n"/>
      <c r="K1296" s="33">
        <f>L1296+M1296+N1296</f>
        <v/>
      </c>
      <c r="L1296" s="33" t="n"/>
      <c r="M1296" s="33" t="n"/>
      <c r="N1296" s="33" t="n"/>
      <c r="O1296" s="33">
        <f>P1296+Q1296</f>
        <v/>
      </c>
      <c r="P1296" s="33" t="n"/>
      <c r="Q1296" s="33" t="n"/>
      <c r="R1296" s="33">
        <f>H1296+K1296-O1296</f>
        <v/>
      </c>
      <c r="S1296" s="33" t="n"/>
      <c r="T1296" s="33" t="n"/>
      <c r="U1296" s="33" t="n"/>
      <c r="V1296" s="33" t="n"/>
      <c r="W1296" s="33" t="n"/>
      <c r="X1296" s="33" t="n"/>
      <c r="Y1296" s="33" t="n"/>
      <c r="Z1296" s="33" t="n"/>
      <c r="AA1296" s="4">
        <f>R1296-G1296</f>
        <v/>
      </c>
      <c r="AB1296" s="4">
        <f>G1296-R1296</f>
        <v/>
      </c>
      <c r="AC1296" s="33" t="n"/>
    </row>
    <row r="1297" ht="18.75" customHeight="1">
      <c r="A1297" s="35">
        <f>SUBTOTAL(103,$B$24:B1297)</f>
        <v/>
      </c>
      <c r="B1297" s="36" t="inlineStr">
        <is>
          <t>Плита електрична "АРДО-60"</t>
        </is>
      </c>
      <c r="C1297" s="37" t="inlineStr">
        <is>
          <t>к-т</t>
        </is>
      </c>
      <c r="D1297" s="33" t="n"/>
      <c r="E1297" s="33" t="n"/>
      <c r="F1297" s="33">
        <f>E1297*0.05</f>
        <v/>
      </c>
      <c r="G1297" s="33">
        <f>E1297+F1297</f>
        <v/>
      </c>
      <c r="H1297" s="33" t="n"/>
      <c r="I1297" s="33" t="n"/>
      <c r="J1297" s="33" t="n"/>
      <c r="K1297" s="33">
        <f>L1297+M1297+N1297</f>
        <v/>
      </c>
      <c r="L1297" s="33" t="n"/>
      <c r="M1297" s="33" t="n"/>
      <c r="N1297" s="33" t="n"/>
      <c r="O1297" s="33">
        <f>P1297+Q1297</f>
        <v/>
      </c>
      <c r="P1297" s="33" t="n"/>
      <c r="Q1297" s="33" t="n"/>
      <c r="R1297" s="33">
        <f>H1297+K1297-O1297</f>
        <v/>
      </c>
      <c r="S1297" s="33" t="n"/>
      <c r="T1297" s="33" t="n"/>
      <c r="U1297" s="33" t="n"/>
      <c r="V1297" s="33" t="n"/>
      <c r="W1297" s="33" t="n"/>
      <c r="X1297" s="33" t="n"/>
      <c r="Y1297" s="33" t="n"/>
      <c r="Z1297" s="33" t="n"/>
      <c r="AA1297" s="4">
        <f>R1297-G1297</f>
        <v/>
      </c>
      <c r="AB1297" s="4">
        <f>G1297-R1297</f>
        <v/>
      </c>
      <c r="AC1297" s="33" t="n"/>
    </row>
    <row r="1298" ht="18.75" customHeight="1">
      <c r="A1298" s="35">
        <f>SUBTOTAL(103,$B$24:B1298)</f>
        <v/>
      </c>
      <c r="B1298" s="36" t="inlineStr">
        <is>
          <t>Плита електрична HANSA FCCW53040</t>
        </is>
      </c>
      <c r="C1298" s="37" t="inlineStr">
        <is>
          <t>к-т</t>
        </is>
      </c>
      <c r="D1298" s="33" t="n"/>
      <c r="E1298" s="33" t="n"/>
      <c r="F1298" s="33">
        <f>E1298*0.05</f>
        <v/>
      </c>
      <c r="G1298" s="33">
        <f>E1298+F1298</f>
        <v/>
      </c>
      <c r="H1298" s="33" t="n"/>
      <c r="I1298" s="33" t="n"/>
      <c r="J1298" s="33" t="n"/>
      <c r="K1298" s="33">
        <f>L1298+M1298+N1298</f>
        <v/>
      </c>
      <c r="L1298" s="33" t="n"/>
      <c r="M1298" s="33" t="n"/>
      <c r="N1298" s="33" t="n"/>
      <c r="O1298" s="33">
        <f>P1298+Q1298</f>
        <v/>
      </c>
      <c r="P1298" s="33" t="n"/>
      <c r="Q1298" s="33" t="n"/>
      <c r="R1298" s="33">
        <f>H1298+K1298-O1298</f>
        <v/>
      </c>
      <c r="S1298" s="33" t="n"/>
      <c r="T1298" s="33" t="n"/>
      <c r="U1298" s="33" t="n"/>
      <c r="V1298" s="33" t="n"/>
      <c r="W1298" s="33" t="n"/>
      <c r="X1298" s="33" t="n"/>
      <c r="Y1298" s="33" t="n"/>
      <c r="Z1298" s="33" t="n"/>
      <c r="AA1298" s="4">
        <f>R1298-G1298</f>
        <v/>
      </c>
      <c r="AB1298" s="4">
        <f>G1298-R1298</f>
        <v/>
      </c>
      <c r="AC1298" s="33" t="n"/>
    </row>
    <row r="1299" ht="18.75" customHeight="1">
      <c r="A1299" s="35">
        <f>SUBTOTAL(103,$B$24:B1299)</f>
        <v/>
      </c>
      <c r="B1299" s="36" t="inlineStr">
        <is>
          <t>Плита електрична HANSA FCIXS69463</t>
        </is>
      </c>
      <c r="C1299" s="37" t="inlineStr">
        <is>
          <t>к-т</t>
        </is>
      </c>
      <c r="D1299" s="33" t="n"/>
      <c r="E1299" s="33" t="n"/>
      <c r="F1299" s="33">
        <f>E1299*0.05</f>
        <v/>
      </c>
      <c r="G1299" s="33">
        <f>E1299+F1299</f>
        <v/>
      </c>
      <c r="H1299" s="33" t="n"/>
      <c r="I1299" s="33" t="n"/>
      <c r="J1299" s="33" t="n"/>
      <c r="K1299" s="33">
        <f>L1299+M1299+N1299</f>
        <v/>
      </c>
      <c r="L1299" s="33" t="n"/>
      <c r="M1299" s="33" t="n"/>
      <c r="N1299" s="33" t="n"/>
      <c r="O1299" s="33">
        <f>P1299+Q1299</f>
        <v/>
      </c>
      <c r="P1299" s="33" t="n"/>
      <c r="Q1299" s="33" t="n"/>
      <c r="R1299" s="33">
        <f>H1299+K1299-O1299</f>
        <v/>
      </c>
      <c r="S1299" s="33" t="n"/>
      <c r="T1299" s="33" t="n"/>
      <c r="U1299" s="33" t="n"/>
      <c r="V1299" s="33" t="n"/>
      <c r="W1299" s="33" t="n"/>
      <c r="X1299" s="33" t="n"/>
      <c r="Y1299" s="33" t="n"/>
      <c r="Z1299" s="33" t="n"/>
      <c r="AA1299" s="4">
        <f>R1299-G1299</f>
        <v/>
      </c>
      <c r="AB1299" s="4">
        <f>G1299-R1299</f>
        <v/>
      </c>
      <c r="AC1299" s="33" t="n"/>
    </row>
    <row r="1300" ht="18.75" customHeight="1">
      <c r="A1300" s="35">
        <f>SUBTOTAL(103,$B$24:B1300)</f>
        <v/>
      </c>
      <c r="B1300" s="36" t="inlineStr">
        <is>
          <t>Плита електрична "АРДО"</t>
        </is>
      </c>
      <c r="C1300" s="37" t="inlineStr">
        <is>
          <t>к-т</t>
        </is>
      </c>
      <c r="D1300" s="33" t="n"/>
      <c r="E1300" s="33" t="n"/>
      <c r="F1300" s="33">
        <f>E1300*0.05</f>
        <v/>
      </c>
      <c r="G1300" s="33">
        <f>E1300+F1300</f>
        <v/>
      </c>
      <c r="H1300" s="33" t="n"/>
      <c r="I1300" s="33" t="n"/>
      <c r="J1300" s="33" t="n"/>
      <c r="K1300" s="33">
        <f>L1300+M1300+N1300</f>
        <v/>
      </c>
      <c r="L1300" s="33" t="n"/>
      <c r="M1300" s="33" t="n"/>
      <c r="N1300" s="33" t="n"/>
      <c r="O1300" s="33">
        <f>P1300+Q1300</f>
        <v/>
      </c>
      <c r="P1300" s="33" t="n"/>
      <c r="Q1300" s="33" t="n"/>
      <c r="R1300" s="33">
        <f>H1300+K1300-O1300</f>
        <v/>
      </c>
      <c r="S1300" s="33" t="n"/>
      <c r="T1300" s="33" t="n"/>
      <c r="U1300" s="33" t="n"/>
      <c r="V1300" s="33" t="n"/>
      <c r="W1300" s="33" t="n"/>
      <c r="X1300" s="33" t="n"/>
      <c r="Y1300" s="33" t="n"/>
      <c r="Z1300" s="33" t="n"/>
      <c r="AA1300" s="4">
        <f>R1300-G1300</f>
        <v/>
      </c>
      <c r="AB1300" s="4">
        <f>G1300-R1300</f>
        <v/>
      </c>
      <c r="AC1300" s="33" t="n"/>
    </row>
    <row r="1301" ht="18.75" customHeight="1">
      <c r="A1301" s="35">
        <f>SUBTOTAL(103,$B$24:B1301)</f>
        <v/>
      </c>
      <c r="B1301" s="36" t="inlineStr">
        <is>
          <t>Плита електрична "ЧАЙКА"</t>
        </is>
      </c>
      <c r="C1301" s="37" t="inlineStr">
        <is>
          <t>к-т</t>
        </is>
      </c>
      <c r="D1301" s="33" t="n"/>
      <c r="E1301" s="33" t="n"/>
      <c r="F1301" s="33">
        <f>E1301*0.05</f>
        <v/>
      </c>
      <c r="G1301" s="33">
        <f>E1301+F1301</f>
        <v/>
      </c>
      <c r="H1301" s="33" t="n"/>
      <c r="I1301" s="33" t="n"/>
      <c r="J1301" s="33" t="n"/>
      <c r="K1301" s="33">
        <f>L1301+M1301+N1301</f>
        <v/>
      </c>
      <c r="L1301" s="33" t="n"/>
      <c r="M1301" s="33" t="n"/>
      <c r="N1301" s="33" t="n"/>
      <c r="O1301" s="33">
        <f>P1301+Q1301</f>
        <v/>
      </c>
      <c r="P1301" s="33" t="n"/>
      <c r="Q1301" s="33" t="n"/>
      <c r="R1301" s="33">
        <f>H1301+K1301-O1301</f>
        <v/>
      </c>
      <c r="S1301" s="33" t="n"/>
      <c r="T1301" s="33" t="n"/>
      <c r="U1301" s="33" t="n"/>
      <c r="V1301" s="33" t="n"/>
      <c r="W1301" s="33" t="n"/>
      <c r="X1301" s="33" t="n"/>
      <c r="Y1301" s="33" t="n"/>
      <c r="Z1301" s="33" t="n"/>
      <c r="AA1301" s="4">
        <f>R1301-G1301</f>
        <v/>
      </c>
      <c r="AB1301" s="4">
        <f>G1301-R1301</f>
        <v/>
      </c>
      <c r="AC1301" s="33" t="n"/>
    </row>
    <row r="1302" ht="18.75" customHeight="1">
      <c r="A1302" s="35">
        <f>SUBTOTAL(103,$B$24:B1302)</f>
        <v/>
      </c>
      <c r="B1302" s="36" t="inlineStr">
        <is>
          <t>Плита електрична "НОРД-електро"</t>
        </is>
      </c>
      <c r="C1302" s="37" t="inlineStr">
        <is>
          <t>к-т</t>
        </is>
      </c>
      <c r="D1302" s="33" t="n"/>
      <c r="E1302" s="33" t="n"/>
      <c r="F1302" s="33">
        <f>E1302*0.05</f>
        <v/>
      </c>
      <c r="G1302" s="33">
        <f>E1302+F1302</f>
        <v/>
      </c>
      <c r="H1302" s="33" t="n"/>
      <c r="I1302" s="33" t="n"/>
      <c r="J1302" s="33" t="n"/>
      <c r="K1302" s="33">
        <f>L1302+M1302+N1302</f>
        <v/>
      </c>
      <c r="L1302" s="33" t="n"/>
      <c r="M1302" s="33" t="n"/>
      <c r="N1302" s="33" t="n"/>
      <c r="O1302" s="33">
        <f>P1302+Q1302</f>
        <v/>
      </c>
      <c r="P1302" s="33" t="n"/>
      <c r="Q1302" s="33" t="n"/>
      <c r="R1302" s="33">
        <f>H1302+K1302-O1302</f>
        <v/>
      </c>
      <c r="S1302" s="33" t="n"/>
      <c r="T1302" s="33" t="n"/>
      <c r="U1302" s="33" t="n"/>
      <c r="V1302" s="33" t="n"/>
      <c r="W1302" s="33" t="n"/>
      <c r="X1302" s="33" t="n"/>
      <c r="Y1302" s="33" t="n"/>
      <c r="Z1302" s="33" t="n"/>
      <c r="AA1302" s="4">
        <f>R1302-G1302</f>
        <v/>
      </c>
      <c r="AB1302" s="4">
        <f>G1302-R1302</f>
        <v/>
      </c>
      <c r="AC1302" s="33" t="n"/>
    </row>
    <row r="1303" ht="18.75" customHeight="1">
      <c r="A1303" s="35">
        <f>SUBTOTAL(103,$B$24:B1303)</f>
        <v/>
      </c>
      <c r="B1303" s="36" t="inlineStr">
        <is>
          <t>Плита електрична "Індезіт"</t>
        </is>
      </c>
      <c r="C1303" s="37" t="inlineStr">
        <is>
          <t>к-т</t>
        </is>
      </c>
      <c r="D1303" s="33" t="n"/>
      <c r="E1303" s="33" t="n"/>
      <c r="F1303" s="33">
        <f>E1303*0.05</f>
        <v/>
      </c>
      <c r="G1303" s="33">
        <f>E1303+F1303</f>
        <v/>
      </c>
      <c r="H1303" s="33" t="n"/>
      <c r="I1303" s="33" t="n"/>
      <c r="J1303" s="33" t="n"/>
      <c r="K1303" s="33">
        <f>L1303+M1303+N1303</f>
        <v/>
      </c>
      <c r="L1303" s="33" t="n"/>
      <c r="M1303" s="33" t="n"/>
      <c r="N1303" s="33" t="n"/>
      <c r="O1303" s="33">
        <f>P1303+Q1303</f>
        <v/>
      </c>
      <c r="P1303" s="33" t="n"/>
      <c r="Q1303" s="33" t="n"/>
      <c r="R1303" s="33">
        <f>H1303+K1303-O1303</f>
        <v/>
      </c>
      <c r="S1303" s="33" t="n"/>
      <c r="T1303" s="33" t="n"/>
      <c r="U1303" s="33" t="n"/>
      <c r="V1303" s="33" t="n"/>
      <c r="W1303" s="33" t="n"/>
      <c r="X1303" s="33" t="n"/>
      <c r="Y1303" s="33" t="n"/>
      <c r="Z1303" s="33" t="n"/>
      <c r="AA1303" s="4">
        <f>R1303-G1303</f>
        <v/>
      </c>
      <c r="AB1303" s="4">
        <f>G1303-R1303</f>
        <v/>
      </c>
      <c r="AC1303" s="33" t="n"/>
    </row>
    <row r="1304" ht="18.75" customHeight="1">
      <c r="A1304" s="35">
        <f>SUBTOTAL(103,$B$24:B1304)</f>
        <v/>
      </c>
      <c r="B1304" s="36" t="inlineStr">
        <is>
          <t>Плита електрична "Горенья"</t>
        </is>
      </c>
      <c r="C1304" s="37" t="inlineStr">
        <is>
          <t>к-т</t>
        </is>
      </c>
      <c r="D1304" s="33" t="n"/>
      <c r="E1304" s="33" t="n"/>
      <c r="F1304" s="33">
        <f>E1304*0.05</f>
        <v/>
      </c>
      <c r="G1304" s="33">
        <f>E1304+F1304</f>
        <v/>
      </c>
      <c r="H1304" s="33" t="n"/>
      <c r="I1304" s="33" t="n"/>
      <c r="J1304" s="33" t="n"/>
      <c r="K1304" s="33">
        <f>L1304+M1304+N1304</f>
        <v/>
      </c>
      <c r="L1304" s="33" t="n"/>
      <c r="M1304" s="33" t="n"/>
      <c r="N1304" s="33" t="n"/>
      <c r="O1304" s="33">
        <f>P1304+Q1304</f>
        <v/>
      </c>
      <c r="P1304" s="33" t="n"/>
      <c r="Q1304" s="33" t="n"/>
      <c r="R1304" s="33">
        <f>H1304+K1304-O1304</f>
        <v/>
      </c>
      <c r="S1304" s="33" t="n"/>
      <c r="T1304" s="33" t="n"/>
      <c r="U1304" s="33" t="n"/>
      <c r="V1304" s="33" t="n"/>
      <c r="W1304" s="33" t="n"/>
      <c r="X1304" s="33" t="n"/>
      <c r="Y1304" s="33" t="n"/>
      <c r="Z1304" s="33" t="n"/>
      <c r="AA1304" s="4">
        <f>R1304-G1304</f>
        <v/>
      </c>
      <c r="AB1304" s="4">
        <f>G1304-R1304</f>
        <v/>
      </c>
      <c r="AC1304" s="33" t="n"/>
    </row>
    <row r="1305" ht="18.75" customHeight="1">
      <c r="A1305" s="35">
        <f>SUBTOTAL(103,$B$24:B1305)</f>
        <v/>
      </c>
      <c r="B1305" s="36" t="inlineStr">
        <is>
          <t>Плита електрична "Занусі"</t>
        </is>
      </c>
      <c r="C1305" s="37" t="inlineStr">
        <is>
          <t>к-т</t>
        </is>
      </c>
      <c r="D1305" s="33" t="n"/>
      <c r="E1305" s="33" t="n"/>
      <c r="F1305" s="33">
        <f>E1305*0.05</f>
        <v/>
      </c>
      <c r="G1305" s="33">
        <f>E1305+F1305</f>
        <v/>
      </c>
      <c r="H1305" s="33" t="n"/>
      <c r="I1305" s="33" t="n"/>
      <c r="J1305" s="33" t="n"/>
      <c r="K1305" s="33">
        <f>L1305+M1305+N1305</f>
        <v/>
      </c>
      <c r="L1305" s="33" t="n"/>
      <c r="M1305" s="33" t="n"/>
      <c r="N1305" s="33" t="n"/>
      <c r="O1305" s="33">
        <f>P1305+Q1305</f>
        <v/>
      </c>
      <c r="P1305" s="33" t="n"/>
      <c r="Q1305" s="33" t="n"/>
      <c r="R1305" s="33">
        <f>H1305+K1305-O1305</f>
        <v/>
      </c>
      <c r="S1305" s="33" t="n"/>
      <c r="T1305" s="33" t="n"/>
      <c r="U1305" s="33" t="n"/>
      <c r="V1305" s="33" t="n"/>
      <c r="W1305" s="33" t="n"/>
      <c r="X1305" s="33" t="n"/>
      <c r="Y1305" s="33" t="n"/>
      <c r="Z1305" s="33" t="n"/>
      <c r="AA1305" s="4">
        <f>R1305-G1305</f>
        <v/>
      </c>
      <c r="AB1305" s="4">
        <f>G1305-R1305</f>
        <v/>
      </c>
      <c r="AC1305" s="33" t="n"/>
    </row>
    <row r="1306" ht="37.5" customHeight="1">
      <c r="A1306" s="35">
        <f>SUBTOTAL(103,$B$24:B1306)</f>
        <v/>
      </c>
      <c r="B1306" s="36" t="inlineStr">
        <is>
          <t>Плита електрична ZANUSSI ZCV965201W</t>
        </is>
      </c>
      <c r="C1306" s="37" t="inlineStr">
        <is>
          <t>к-т</t>
        </is>
      </c>
      <c r="D1306" s="33" t="n"/>
      <c r="E1306" s="33" t="n"/>
      <c r="F1306" s="33">
        <f>E1306*0.05</f>
        <v/>
      </c>
      <c r="G1306" s="33">
        <f>E1306+F1306</f>
        <v/>
      </c>
      <c r="H1306" s="33" t="n"/>
      <c r="I1306" s="33" t="n"/>
      <c r="J1306" s="33" t="n"/>
      <c r="K1306" s="33">
        <f>L1306+M1306+N1306</f>
        <v/>
      </c>
      <c r="L1306" s="33" t="n"/>
      <c r="M1306" s="33" t="n"/>
      <c r="N1306" s="33" t="n"/>
      <c r="O1306" s="33">
        <f>P1306+Q1306</f>
        <v/>
      </c>
      <c r="P1306" s="33" t="n"/>
      <c r="Q1306" s="33" t="n"/>
      <c r="R1306" s="33">
        <f>H1306+K1306-O1306</f>
        <v/>
      </c>
      <c r="S1306" s="33" t="n"/>
      <c r="T1306" s="33" t="n"/>
      <c r="U1306" s="33" t="n"/>
      <c r="V1306" s="33" t="n"/>
      <c r="W1306" s="33" t="n"/>
      <c r="X1306" s="33" t="n"/>
      <c r="Y1306" s="33" t="n"/>
      <c r="Z1306" s="33" t="n"/>
      <c r="AA1306" s="4">
        <f>R1306-G1306</f>
        <v/>
      </c>
      <c r="AB1306" s="4">
        <f>G1306-R1306</f>
        <v/>
      </c>
      <c r="AC1306" s="33" t="n"/>
    </row>
    <row r="1307" ht="18.75" customHeight="1">
      <c r="A1307" s="35">
        <f>SUBTOTAL(103,$B$24:B1307)</f>
        <v/>
      </c>
      <c r="B1307" s="36" t="inlineStr">
        <is>
          <t>Плита електрична Beko</t>
        </is>
      </c>
      <c r="C1307" s="37" t="inlineStr">
        <is>
          <t>к-т</t>
        </is>
      </c>
      <c r="D1307" s="33" t="n"/>
      <c r="E1307" s="33" t="n"/>
      <c r="F1307" s="33">
        <f>E1307*0.05</f>
        <v/>
      </c>
      <c r="G1307" s="33">
        <f>E1307+F1307</f>
        <v/>
      </c>
      <c r="H1307" s="33" t="n"/>
      <c r="I1307" s="33" t="n"/>
      <c r="J1307" s="33" t="n"/>
      <c r="K1307" s="33">
        <f>L1307+M1307+N1307</f>
        <v/>
      </c>
      <c r="L1307" s="33" t="n"/>
      <c r="M1307" s="33" t="n"/>
      <c r="N1307" s="33" t="n"/>
      <c r="O1307" s="33">
        <f>P1307+Q1307</f>
        <v/>
      </c>
      <c r="P1307" s="33" t="n"/>
      <c r="Q1307" s="33" t="n"/>
      <c r="R1307" s="33">
        <f>H1307+K1307-O1307</f>
        <v/>
      </c>
      <c r="S1307" s="33" t="n"/>
      <c r="T1307" s="33" t="n"/>
      <c r="U1307" s="33" t="n"/>
      <c r="V1307" s="33" t="n"/>
      <c r="W1307" s="33" t="n"/>
      <c r="X1307" s="33" t="n"/>
      <c r="Y1307" s="33" t="n"/>
      <c r="Z1307" s="33" t="n"/>
      <c r="AA1307" s="4">
        <f>R1307-G1307</f>
        <v/>
      </c>
      <c r="AB1307" s="4">
        <f>G1307-R1307</f>
        <v/>
      </c>
      <c r="AC1307" s="33" t="n"/>
    </row>
    <row r="1308" ht="18.75" customHeight="1">
      <c r="A1308" s="35">
        <f>SUBTOTAL(103,$B$24:B1308)</f>
        <v/>
      </c>
      <c r="B1308" s="36" t="inlineStr">
        <is>
          <t>Плита електрична Beko FSS56000GW</t>
        </is>
      </c>
      <c r="C1308" s="37" t="inlineStr">
        <is>
          <t>к-т</t>
        </is>
      </c>
      <c r="D1308" s="33" t="n"/>
      <c r="E1308" s="33" t="n"/>
      <c r="F1308" s="33">
        <f>E1308*0.05</f>
        <v/>
      </c>
      <c r="G1308" s="33">
        <f>E1308+F1308</f>
        <v/>
      </c>
      <c r="H1308" s="33" t="n"/>
      <c r="I1308" s="33" t="n"/>
      <c r="J1308" s="33" t="n"/>
      <c r="K1308" s="33">
        <f>L1308+M1308+N1308</f>
        <v/>
      </c>
      <c r="L1308" s="33" t="n"/>
      <c r="M1308" s="33" t="n"/>
      <c r="N1308" s="33" t="n"/>
      <c r="O1308" s="33">
        <f>P1308+Q1308</f>
        <v/>
      </c>
      <c r="P1308" s="33" t="n"/>
      <c r="Q1308" s="33" t="n"/>
      <c r="R1308" s="33">
        <f>H1308+K1308-O1308</f>
        <v/>
      </c>
      <c r="S1308" s="33" t="n"/>
      <c r="T1308" s="33" t="n"/>
      <c r="U1308" s="33" t="n"/>
      <c r="V1308" s="33" t="n"/>
      <c r="W1308" s="33" t="n"/>
      <c r="X1308" s="33" t="n"/>
      <c r="Y1308" s="33" t="n"/>
      <c r="Z1308" s="33" t="n"/>
      <c r="AA1308" s="4">
        <f>R1308-G1308</f>
        <v/>
      </c>
      <c r="AB1308" s="4">
        <f>G1308-R1308</f>
        <v/>
      </c>
      <c r="AC1308" s="33" t="n"/>
    </row>
    <row r="1309" ht="18.75" customHeight="1">
      <c r="A1309" s="35">
        <f>SUBTOTAL(103,$B$24:B1309)</f>
        <v/>
      </c>
      <c r="B1309" s="36" t="inlineStr">
        <is>
          <t>Плита електрична ERGO HP-1509</t>
        </is>
      </c>
      <c r="C1309" s="37" t="inlineStr">
        <is>
          <t>шт.</t>
        </is>
      </c>
      <c r="D1309" s="33" t="n"/>
      <c r="E1309" s="33" t="n"/>
      <c r="F1309" s="33">
        <f>E1309*0.05</f>
        <v/>
      </c>
      <c r="G1309" s="33">
        <f>E1309+F1309</f>
        <v/>
      </c>
      <c r="H1309" s="33" t="n"/>
      <c r="I1309" s="33" t="n"/>
      <c r="J1309" s="33" t="n"/>
      <c r="K1309" s="33">
        <f>L1309+M1309+N1309</f>
        <v/>
      </c>
      <c r="L1309" s="33" t="n"/>
      <c r="M1309" s="33" t="n"/>
      <c r="N1309" s="33" t="n"/>
      <c r="O1309" s="33">
        <f>P1309+Q1309</f>
        <v/>
      </c>
      <c r="P1309" s="33" t="n"/>
      <c r="Q1309" s="33" t="n"/>
      <c r="R1309" s="33">
        <f>H1309+K1309-O1309</f>
        <v/>
      </c>
      <c r="S1309" s="33" t="n"/>
      <c r="T1309" s="33" t="n"/>
      <c r="U1309" s="33" t="n"/>
      <c r="V1309" s="33" t="n"/>
      <c r="W1309" s="33" t="n"/>
      <c r="X1309" s="33" t="n"/>
      <c r="Y1309" s="33" t="n"/>
      <c r="Z1309" s="33" t="n"/>
      <c r="AA1309" s="4">
        <f>R1309-G1309</f>
        <v/>
      </c>
      <c r="AB1309" s="4">
        <f>G1309-R1309</f>
        <v/>
      </c>
      <c r="AC1309" s="33" t="n"/>
    </row>
    <row r="1310" ht="18.75" customHeight="1">
      <c r="A1310" s="35">
        <f>SUBTOTAL(103,$B$24:B1310)</f>
        <v/>
      </c>
      <c r="B1310" s="36" t="inlineStr">
        <is>
          <t>Плита електрична Greta 1470-07</t>
        </is>
      </c>
      <c r="C1310" s="37" t="n"/>
      <c r="D1310" s="33" t="n"/>
      <c r="E1310" s="33" t="n"/>
      <c r="F1310" s="33">
        <f>E1310*0.05</f>
        <v/>
      </c>
      <c r="G1310" s="33">
        <f>E1310+F1310</f>
        <v/>
      </c>
      <c r="H1310" s="33" t="n"/>
      <c r="I1310" s="33" t="n"/>
      <c r="J1310" s="33" t="n"/>
      <c r="K1310" s="33">
        <f>L1310+M1310+N1310</f>
        <v/>
      </c>
      <c r="L1310" s="33" t="n"/>
      <c r="M1310" s="33" t="n"/>
      <c r="N1310" s="33" t="n"/>
      <c r="O1310" s="33">
        <f>P1310+Q1310</f>
        <v/>
      </c>
      <c r="P1310" s="33" t="n"/>
      <c r="Q1310" s="33" t="n"/>
      <c r="R1310" s="33">
        <f>H1310+K1310-O1310</f>
        <v/>
      </c>
      <c r="S1310" s="33" t="n"/>
      <c r="T1310" s="33" t="n"/>
      <c r="U1310" s="33" t="n"/>
      <c r="V1310" s="33" t="n"/>
      <c r="W1310" s="33" t="n"/>
      <c r="X1310" s="33" t="n"/>
      <c r="Y1310" s="33" t="n"/>
      <c r="Z1310" s="33" t="n"/>
      <c r="AA1310" s="4">
        <f>R1310-G1310</f>
        <v/>
      </c>
      <c r="AB1310" s="4">
        <f>G1310-R1310</f>
        <v/>
      </c>
      <c r="AC1310" s="33" t="n"/>
    </row>
    <row r="1311" ht="18.75" customHeight="1">
      <c r="A1311" s="35">
        <f>SUBTOTAL(103,$B$24:B1311)</f>
        <v/>
      </c>
      <c r="B1311" s="36" t="inlineStr">
        <is>
          <t>Електрична плита SATURN ST EC 1072</t>
        </is>
      </c>
      <c r="C1311" s="37" t="inlineStr">
        <is>
          <t>к-т</t>
        </is>
      </c>
      <c r="D1311" s="33" t="n"/>
      <c r="E1311" s="33" t="n"/>
      <c r="F1311" s="33">
        <f>E1311*0.05</f>
        <v/>
      </c>
      <c r="G1311" s="33">
        <f>E1311+F1311</f>
        <v/>
      </c>
      <c r="H1311" s="33" t="n"/>
      <c r="I1311" s="33" t="n"/>
      <c r="J1311" s="33" t="n"/>
      <c r="K1311" s="33">
        <f>L1311+M1311+N1311</f>
        <v/>
      </c>
      <c r="L1311" s="33" t="n"/>
      <c r="M1311" s="33" t="n"/>
      <c r="N1311" s="33" t="n"/>
      <c r="O1311" s="33">
        <f>P1311+Q1311</f>
        <v/>
      </c>
      <c r="P1311" s="33" t="n"/>
      <c r="Q1311" s="33" t="n"/>
      <c r="R1311" s="33">
        <f>H1311+K1311-O1311</f>
        <v/>
      </c>
      <c r="S1311" s="33" t="n"/>
      <c r="T1311" s="33" t="n"/>
      <c r="U1311" s="33" t="n"/>
      <c r="V1311" s="33" t="n"/>
      <c r="W1311" s="33" t="n"/>
      <c r="X1311" s="33" t="n"/>
      <c r="Y1311" s="33" t="n"/>
      <c r="Z1311" s="33" t="n"/>
      <c r="AA1311" s="4">
        <f>R1311-G1311</f>
        <v/>
      </c>
      <c r="AB1311" s="4">
        <f>G1311-R1311</f>
        <v/>
      </c>
      <c r="AC1311" s="33" t="n"/>
    </row>
    <row r="1312" ht="18.75" customHeight="1">
      <c r="A1312" s="35">
        <f>SUBTOTAL(103,$B$24:B1312)</f>
        <v/>
      </c>
      <c r="B1312" s="36" t="inlineStr">
        <is>
          <t>Плита електрична SATURN 0181</t>
        </is>
      </c>
      <c r="C1312" s="37" t="inlineStr">
        <is>
          <t>к-т</t>
        </is>
      </c>
      <c r="D1312" s="33" t="n"/>
      <c r="E1312" s="33" t="n"/>
      <c r="F1312" s="33">
        <f>E1312*0.05</f>
        <v/>
      </c>
      <c r="G1312" s="33">
        <f>E1312+F1312</f>
        <v/>
      </c>
      <c r="H1312" s="33" t="n"/>
      <c r="I1312" s="33" t="n"/>
      <c r="J1312" s="33" t="n"/>
      <c r="K1312" s="33">
        <f>L1312+M1312+N1312</f>
        <v/>
      </c>
      <c r="L1312" s="33" t="n"/>
      <c r="M1312" s="33" t="n"/>
      <c r="N1312" s="33" t="n"/>
      <c r="O1312" s="33">
        <f>P1312+Q1312</f>
        <v/>
      </c>
      <c r="P1312" s="33" t="n"/>
      <c r="Q1312" s="33" t="n"/>
      <c r="R1312" s="33">
        <f>H1312+K1312-O1312</f>
        <v/>
      </c>
      <c r="S1312" s="33" t="n"/>
      <c r="T1312" s="33" t="n"/>
      <c r="U1312" s="33" t="n"/>
      <c r="V1312" s="33" t="n"/>
      <c r="W1312" s="33" t="n"/>
      <c r="X1312" s="33" t="n"/>
      <c r="Y1312" s="33" t="n"/>
      <c r="Z1312" s="33" t="n"/>
      <c r="AA1312" s="4">
        <f>R1312-G1312</f>
        <v/>
      </c>
      <c r="AB1312" s="4">
        <f>G1312-R1312</f>
        <v/>
      </c>
      <c r="AC1312" s="33" t="n"/>
    </row>
    <row r="1313" ht="18.75" customHeight="1">
      <c r="A1313" s="35">
        <f>SUBTOTAL(103,$B$24:B1313)</f>
        <v/>
      </c>
      <c r="B1313" s="36" t="inlineStr">
        <is>
          <t>Електрична плита Мрія-9</t>
        </is>
      </c>
      <c r="C1313" s="37" t="inlineStr">
        <is>
          <t>к-т</t>
        </is>
      </c>
      <c r="D1313" s="33" t="n"/>
      <c r="E1313" s="33" t="n"/>
      <c r="F1313" s="33">
        <f>E1313*0.05</f>
        <v/>
      </c>
      <c r="G1313" s="33">
        <f>E1313+F1313</f>
        <v/>
      </c>
      <c r="H1313" s="33" t="n"/>
      <c r="I1313" s="33" t="n"/>
      <c r="J1313" s="33" t="n"/>
      <c r="K1313" s="33">
        <f>L1313+M1313+N1313</f>
        <v/>
      </c>
      <c r="L1313" s="33" t="n"/>
      <c r="M1313" s="33" t="n"/>
      <c r="N1313" s="33" t="n"/>
      <c r="O1313" s="33">
        <f>P1313+Q1313</f>
        <v/>
      </c>
      <c r="P1313" s="33" t="n"/>
      <c r="Q1313" s="33" t="n"/>
      <c r="R1313" s="33">
        <f>H1313+K1313-O1313</f>
        <v/>
      </c>
      <c r="S1313" s="33" t="n"/>
      <c r="T1313" s="33" t="n"/>
      <c r="U1313" s="33" t="n"/>
      <c r="V1313" s="33" t="n"/>
      <c r="W1313" s="33" t="n"/>
      <c r="X1313" s="33" t="n"/>
      <c r="Y1313" s="33" t="n"/>
      <c r="Z1313" s="33" t="n"/>
      <c r="AA1313" s="4">
        <f>R1313-G1313</f>
        <v/>
      </c>
      <c r="AB1313" s="4">
        <f>G1313-R1313</f>
        <v/>
      </c>
      <c r="AC1313" s="33" t="n"/>
    </row>
    <row r="1314" ht="18.75" customHeight="1">
      <c r="A1314" s="35">
        <f>SUBTOTAL(103,$B$24:B1314)</f>
        <v/>
      </c>
      <c r="B1314" s="36" t="inlineStr">
        <is>
          <t>Електроплита Minola</t>
        </is>
      </c>
      <c r="C1314" s="37" t="inlineStr">
        <is>
          <t>к-т</t>
        </is>
      </c>
      <c r="D1314" s="33" t="n"/>
      <c r="E1314" s="33" t="n"/>
      <c r="F1314" s="33">
        <f>E1314*0.05</f>
        <v/>
      </c>
      <c r="G1314" s="33">
        <f>E1314+F1314</f>
        <v/>
      </c>
      <c r="H1314" s="33" t="n"/>
      <c r="I1314" s="33" t="n"/>
      <c r="J1314" s="33" t="n"/>
      <c r="K1314" s="33">
        <f>L1314+M1314+N1314</f>
        <v/>
      </c>
      <c r="L1314" s="33" t="n"/>
      <c r="M1314" s="33" t="n"/>
      <c r="N1314" s="33" t="n"/>
      <c r="O1314" s="33">
        <f>P1314+Q1314</f>
        <v/>
      </c>
      <c r="P1314" s="33" t="n"/>
      <c r="Q1314" s="33" t="n"/>
      <c r="R1314" s="33">
        <f>H1314+K1314-O1314</f>
        <v/>
      </c>
      <c r="S1314" s="33" t="n"/>
      <c r="T1314" s="33" t="n"/>
      <c r="U1314" s="33" t="n"/>
      <c r="V1314" s="33" t="n"/>
      <c r="W1314" s="33" t="n"/>
      <c r="X1314" s="33" t="n"/>
      <c r="Y1314" s="33" t="n"/>
      <c r="Z1314" s="33" t="n"/>
      <c r="AA1314" s="4">
        <f>R1314-G1314</f>
        <v/>
      </c>
      <c r="AB1314" s="4">
        <f>G1314-R1314</f>
        <v/>
      </c>
      <c r="AC1314" s="33" t="n"/>
    </row>
    <row r="1315" ht="18.75" customHeight="1">
      <c r="A1315" s="35">
        <f>SUBTOTAL(103,$B$24:B1315)</f>
        <v/>
      </c>
      <c r="B1315" s="36" t="inlineStr">
        <is>
          <t>Плита індукційна</t>
        </is>
      </c>
      <c r="C1315" s="37" t="inlineStr">
        <is>
          <t>к-т</t>
        </is>
      </c>
      <c r="D1315" s="33" t="n"/>
      <c r="E1315" s="33" t="n"/>
      <c r="F1315" s="33">
        <f>E1315*0.05</f>
        <v/>
      </c>
      <c r="G1315" s="33">
        <f>E1315+F1315</f>
        <v/>
      </c>
      <c r="H1315" s="33" t="n"/>
      <c r="I1315" s="33" t="n"/>
      <c r="J1315" s="33" t="n"/>
      <c r="K1315" s="33">
        <f>L1315+M1315+N1315</f>
        <v/>
      </c>
      <c r="L1315" s="33" t="n"/>
      <c r="M1315" s="33" t="n"/>
      <c r="N1315" s="33" t="n"/>
      <c r="O1315" s="33">
        <f>P1315+Q1315</f>
        <v/>
      </c>
      <c r="P1315" s="33" t="n"/>
      <c r="Q1315" s="33" t="n"/>
      <c r="R1315" s="33">
        <f>H1315+K1315-O1315</f>
        <v/>
      </c>
      <c r="S1315" s="33" t="n"/>
      <c r="T1315" s="33" t="n"/>
      <c r="U1315" s="33" t="n"/>
      <c r="V1315" s="33" t="n"/>
      <c r="W1315" s="33" t="n"/>
      <c r="X1315" s="33" t="n"/>
      <c r="Y1315" s="33" t="n"/>
      <c r="Z1315" s="33" t="n"/>
      <c r="AA1315" s="4">
        <f>R1315-G1315</f>
        <v/>
      </c>
      <c r="AB1315" s="4">
        <f>G1315-R1315</f>
        <v/>
      </c>
      <c r="AC1315" s="33" t="n"/>
    </row>
    <row r="1316" ht="37.5" customHeight="1">
      <c r="A1316" s="35">
        <f>SUBTOTAL(103,$B$24:B1316)</f>
        <v/>
      </c>
      <c r="B1316" s="36" t="inlineStr">
        <is>
          <t xml:space="preserve">Плити електричні 2-х комфорочні побутові </t>
        </is>
      </c>
      <c r="C1316" s="37" t="inlineStr">
        <is>
          <t>к-т</t>
        </is>
      </c>
      <c r="D1316" s="33" t="n"/>
      <c r="E1316" s="33" t="n"/>
      <c r="F1316" s="33">
        <f>E1316*0.05</f>
        <v/>
      </c>
      <c r="G1316" s="33">
        <f>E1316+F1316</f>
        <v/>
      </c>
      <c r="H1316" s="33" t="n"/>
      <c r="I1316" s="33" t="n"/>
      <c r="J1316" s="33" t="n"/>
      <c r="K1316" s="33">
        <f>L1316+M1316+N1316</f>
        <v/>
      </c>
      <c r="L1316" s="33" t="n"/>
      <c r="M1316" s="33" t="n"/>
      <c r="N1316" s="33" t="n"/>
      <c r="O1316" s="33">
        <f>P1316+Q1316</f>
        <v/>
      </c>
      <c r="P1316" s="33" t="n"/>
      <c r="Q1316" s="33" t="n"/>
      <c r="R1316" s="33">
        <f>H1316+K1316-O1316</f>
        <v/>
      </c>
      <c r="S1316" s="33" t="n"/>
      <c r="T1316" s="33" t="n"/>
      <c r="U1316" s="33" t="n"/>
      <c r="V1316" s="33" t="n"/>
      <c r="W1316" s="33" t="n"/>
      <c r="X1316" s="33" t="n"/>
      <c r="Y1316" s="33" t="n"/>
      <c r="Z1316" s="33" t="n"/>
      <c r="AA1316" s="4">
        <f>R1316-G1316</f>
        <v/>
      </c>
      <c r="AB1316" s="4">
        <f>G1316-R1316</f>
        <v/>
      </c>
      <c r="AC1316" s="33" t="n"/>
    </row>
    <row r="1317" ht="37.5" customHeight="1">
      <c r="A1317" s="35">
        <f>SUBTOTAL(103,$B$24:B1317)</f>
        <v/>
      </c>
      <c r="B1317" s="36" t="inlineStr">
        <is>
          <t xml:space="preserve">Плити електричні 3-х комфорочні побутові </t>
        </is>
      </c>
      <c r="C1317" s="37" t="inlineStr">
        <is>
          <t>к-т</t>
        </is>
      </c>
      <c r="D1317" s="33" t="n"/>
      <c r="E1317" s="33" t="n"/>
      <c r="F1317" s="33">
        <f>E1317*0.05</f>
        <v/>
      </c>
      <c r="G1317" s="33">
        <f>E1317+F1317</f>
        <v/>
      </c>
      <c r="H1317" s="33" t="n"/>
      <c r="I1317" s="33" t="n"/>
      <c r="J1317" s="33" t="n"/>
      <c r="K1317" s="33">
        <f>L1317+M1317+N1317</f>
        <v/>
      </c>
      <c r="L1317" s="33" t="n"/>
      <c r="M1317" s="33" t="n"/>
      <c r="N1317" s="33" t="n"/>
      <c r="O1317" s="33">
        <f>P1317+Q1317</f>
        <v/>
      </c>
      <c r="P1317" s="33" t="n"/>
      <c r="Q1317" s="33" t="n"/>
      <c r="R1317" s="33">
        <f>H1317+K1317-O1317</f>
        <v/>
      </c>
      <c r="S1317" s="33" t="n"/>
      <c r="T1317" s="33" t="n"/>
      <c r="U1317" s="33" t="n"/>
      <c r="V1317" s="33" t="n"/>
      <c r="W1317" s="33" t="n"/>
      <c r="X1317" s="33" t="n"/>
      <c r="Y1317" s="33" t="n"/>
      <c r="Z1317" s="33" t="n"/>
      <c r="AA1317" s="4">
        <f>R1317-G1317</f>
        <v/>
      </c>
      <c r="AB1317" s="4">
        <f>G1317-R1317</f>
        <v/>
      </c>
      <c r="AC1317" s="33" t="n"/>
    </row>
    <row r="1318" ht="37.5" customHeight="1">
      <c r="A1318" s="35">
        <f>SUBTOTAL(103,$B$24:B1318)</f>
        <v/>
      </c>
      <c r="B1318" s="36" t="inlineStr">
        <is>
          <t xml:space="preserve">Плити електричні 4-х комфорочні побутові </t>
        </is>
      </c>
      <c r="C1318" s="37" t="inlineStr">
        <is>
          <t>к-т</t>
        </is>
      </c>
      <c r="D1318" s="33" t="n"/>
      <c r="E1318" s="33" t="n"/>
      <c r="F1318" s="33">
        <f>E1318*0.05</f>
        <v/>
      </c>
      <c r="G1318" s="33">
        <f>E1318+F1318</f>
        <v/>
      </c>
      <c r="H1318" s="33" t="n"/>
      <c r="I1318" s="33" t="n"/>
      <c r="J1318" s="33" t="n"/>
      <c r="K1318" s="33">
        <f>L1318+M1318+N1318</f>
        <v/>
      </c>
      <c r="L1318" s="33" t="n"/>
      <c r="M1318" s="33" t="n"/>
      <c r="N1318" s="33" t="n"/>
      <c r="O1318" s="33">
        <f>P1318+Q1318</f>
        <v/>
      </c>
      <c r="P1318" s="33" t="n"/>
      <c r="Q1318" s="33" t="n"/>
      <c r="R1318" s="33">
        <f>H1318+K1318-O1318</f>
        <v/>
      </c>
      <c r="S1318" s="33" t="n"/>
      <c r="T1318" s="33" t="n"/>
      <c r="U1318" s="33" t="n"/>
      <c r="V1318" s="33" t="n"/>
      <c r="W1318" s="33" t="n"/>
      <c r="X1318" s="33" t="n"/>
      <c r="Y1318" s="33" t="n"/>
      <c r="Z1318" s="33" t="n"/>
      <c r="AA1318" s="4">
        <f>R1318-G1318</f>
        <v/>
      </c>
      <c r="AB1318" s="4">
        <f>G1318-R1318</f>
        <v/>
      </c>
      <c r="AC1318" s="33" t="n"/>
    </row>
    <row r="1319" ht="37.5" customHeight="1">
      <c r="A1319" s="35">
        <f>SUBTOTAL(103,$B$24:B1319)</f>
        <v/>
      </c>
      <c r="B1319" s="36" t="inlineStr">
        <is>
          <t>Плити електричні 6-і комфорочні побутові</t>
        </is>
      </c>
      <c r="C1319" s="37" t="inlineStr">
        <is>
          <t>к-т</t>
        </is>
      </c>
      <c r="D1319" s="33" t="n"/>
      <c r="E1319" s="33" t="n"/>
      <c r="F1319" s="33">
        <f>E1319*0.05</f>
        <v/>
      </c>
      <c r="G1319" s="33">
        <f>E1319+F1319</f>
        <v/>
      </c>
      <c r="H1319" s="33" t="n"/>
      <c r="I1319" s="33" t="n"/>
      <c r="J1319" s="33" t="n"/>
      <c r="K1319" s="33">
        <f>L1319+M1319+N1319</f>
        <v/>
      </c>
      <c r="L1319" s="33" t="n"/>
      <c r="M1319" s="33" t="n"/>
      <c r="N1319" s="33" t="n"/>
      <c r="O1319" s="33">
        <f>P1319+Q1319</f>
        <v/>
      </c>
      <c r="P1319" s="33" t="n"/>
      <c r="Q1319" s="33" t="n"/>
      <c r="R1319" s="33">
        <f>H1319+K1319-O1319</f>
        <v/>
      </c>
      <c r="S1319" s="33" t="n"/>
      <c r="T1319" s="33" t="n"/>
      <c r="U1319" s="33" t="n"/>
      <c r="V1319" s="33" t="n"/>
      <c r="W1319" s="33" t="n"/>
      <c r="X1319" s="33" t="n"/>
      <c r="Y1319" s="33" t="n"/>
      <c r="Z1319" s="33" t="n"/>
      <c r="AA1319" s="4">
        <f>R1319-G1319</f>
        <v/>
      </c>
      <c r="AB1319" s="4">
        <f>G1319-R1319</f>
        <v/>
      </c>
      <c r="AC1319" s="33" t="n"/>
    </row>
    <row r="1320" ht="18.75" customHeight="1">
      <c r="A1320" s="35">
        <f>SUBTOTAL(103,$B$24:B1320)</f>
        <v/>
      </c>
      <c r="B1320" s="36" t="inlineStr">
        <is>
          <t>Плити електричні інші</t>
        </is>
      </c>
      <c r="C1320" s="37" t="inlineStr">
        <is>
          <t>к-т</t>
        </is>
      </c>
      <c r="D1320" s="33" t="n"/>
      <c r="E1320" s="33" t="n"/>
      <c r="F1320" s="33">
        <f>E1320*0.05</f>
        <v/>
      </c>
      <c r="G1320" s="33">
        <f>E1320+F1320</f>
        <v/>
      </c>
      <c r="H1320" s="33" t="n"/>
      <c r="I1320" s="33" t="n"/>
      <c r="J1320" s="33" t="n"/>
      <c r="K1320" s="33">
        <f>L1320+M1320+N1320</f>
        <v/>
      </c>
      <c r="L1320" s="33" t="n"/>
      <c r="M1320" s="33" t="n"/>
      <c r="N1320" s="33" t="n"/>
      <c r="O1320" s="33">
        <f>P1320+Q1320</f>
        <v/>
      </c>
      <c r="P1320" s="33" t="n"/>
      <c r="Q1320" s="33" t="n"/>
      <c r="R1320" s="33">
        <f>H1320+K1320-O1320</f>
        <v/>
      </c>
      <c r="S1320" s="33" t="n"/>
      <c r="T1320" s="33" t="n"/>
      <c r="U1320" s="33" t="n"/>
      <c r="V1320" s="33" t="n"/>
      <c r="W1320" s="33" t="n"/>
      <c r="X1320" s="33" t="n"/>
      <c r="Y1320" s="33" t="n"/>
      <c r="Z1320" s="33" t="n"/>
      <c r="AA1320" s="4">
        <f>R1320-G1320</f>
        <v/>
      </c>
      <c r="AB1320" s="4">
        <f>G1320-R1320</f>
        <v/>
      </c>
      <c r="AC1320" s="33" t="n"/>
    </row>
    <row r="1321" ht="18.75" customHeight="1">
      <c r="A1321" s="35">
        <f>SUBTOTAL(103,$B$24:B1321)</f>
        <v/>
      </c>
      <c r="B1321" s="39" t="inlineStr">
        <is>
          <t>ПЛИТИ ГАЗОВІ</t>
        </is>
      </c>
      <c r="C1321" s="37" t="n"/>
      <c r="D1321" s="33" t="n"/>
      <c r="E1321" s="33" t="n"/>
      <c r="F1321" s="33">
        <f>E1321*0.05</f>
        <v/>
      </c>
      <c r="G1321" s="33">
        <f>E1321+F1321</f>
        <v/>
      </c>
      <c r="H1321" s="33" t="n"/>
      <c r="I1321" s="33" t="n"/>
      <c r="J1321" s="33" t="n"/>
      <c r="K1321" s="33">
        <f>L1321+M1321+N1321</f>
        <v/>
      </c>
      <c r="L1321" s="33" t="n"/>
      <c r="M1321" s="33" t="n"/>
      <c r="N1321" s="33" t="n"/>
      <c r="O1321" s="33">
        <f>P1321+Q1321</f>
        <v/>
      </c>
      <c r="P1321" s="33" t="n"/>
      <c r="Q1321" s="33" t="n"/>
      <c r="R1321" s="33">
        <f>H1321+K1321-O1321</f>
        <v/>
      </c>
      <c r="S1321" s="33" t="n"/>
      <c r="T1321" s="33" t="n"/>
      <c r="U1321" s="33" t="n"/>
      <c r="V1321" s="33" t="n"/>
      <c r="W1321" s="33" t="n"/>
      <c r="X1321" s="33" t="n"/>
      <c r="Y1321" s="33" t="n"/>
      <c r="Z1321" s="33" t="n"/>
      <c r="AA1321" s="4">
        <f>R1321-G1321</f>
        <v/>
      </c>
      <c r="AB1321" s="4">
        <f>G1321-R1321</f>
        <v/>
      </c>
      <c r="AC1321" s="33" t="n"/>
    </row>
    <row r="1322" ht="18.75" customHeight="1">
      <c r="A1322" s="35">
        <f>SUBTOTAL(103,$B$24:B1322)</f>
        <v/>
      </c>
      <c r="B1322" s="36" t="inlineStr">
        <is>
          <t xml:space="preserve">Плита газова б/кр 2комф. Елна-01 Па </t>
        </is>
      </c>
      <c r="C1322" s="37" t="inlineStr">
        <is>
          <t>к-т</t>
        </is>
      </c>
      <c r="D1322" s="33" t="n"/>
      <c r="E1322" s="33" t="n"/>
      <c r="F1322" s="33">
        <f>E1322*0.05</f>
        <v/>
      </c>
      <c r="G1322" s="33">
        <f>E1322+F1322</f>
        <v/>
      </c>
      <c r="H1322" s="33" t="n"/>
      <c r="I1322" s="33" t="n"/>
      <c r="J1322" s="33" t="n"/>
      <c r="K1322" s="33">
        <f>L1322+M1322+N1322</f>
        <v/>
      </c>
      <c r="L1322" s="33" t="n"/>
      <c r="M1322" s="33" t="n"/>
      <c r="N1322" s="33" t="n"/>
      <c r="O1322" s="33">
        <f>P1322+Q1322</f>
        <v/>
      </c>
      <c r="P1322" s="33" t="n"/>
      <c r="Q1322" s="33" t="n"/>
      <c r="R1322" s="33">
        <f>H1322+K1322-O1322</f>
        <v/>
      </c>
      <c r="S1322" s="33" t="n"/>
      <c r="T1322" s="33" t="n"/>
      <c r="U1322" s="33" t="n"/>
      <c r="V1322" s="33" t="n"/>
      <c r="W1322" s="33" t="n"/>
      <c r="X1322" s="33" t="n"/>
      <c r="Y1322" s="33" t="n"/>
      <c r="Z1322" s="33" t="n"/>
      <c r="AA1322" s="4">
        <f>R1322-G1322</f>
        <v/>
      </c>
      <c r="AB1322" s="4">
        <f>G1322-R1322</f>
        <v/>
      </c>
      <c r="AC1322" s="33" t="n"/>
    </row>
    <row r="1323" ht="18.75" customHeight="1">
      <c r="A1323" s="35">
        <f>SUBTOTAL(103,$B$24:B1323)</f>
        <v/>
      </c>
      <c r="B1323" s="36" t="inlineStr">
        <is>
          <t>Плита газова 4-х комфорочна "БРЕСТ"</t>
        </is>
      </c>
      <c r="C1323" s="37" t="inlineStr">
        <is>
          <t>к-т</t>
        </is>
      </c>
      <c r="D1323" s="33" t="n"/>
      <c r="E1323" s="33" t="n"/>
      <c r="F1323" s="33">
        <f>E1323*0.05</f>
        <v/>
      </c>
      <c r="G1323" s="33">
        <f>E1323+F1323</f>
        <v/>
      </c>
      <c r="H1323" s="33" t="n"/>
      <c r="I1323" s="33" t="n"/>
      <c r="J1323" s="33" t="n"/>
      <c r="K1323" s="33">
        <f>L1323+M1323+N1323</f>
        <v/>
      </c>
      <c r="L1323" s="33" t="n"/>
      <c r="M1323" s="33" t="n"/>
      <c r="N1323" s="33" t="n"/>
      <c r="O1323" s="33">
        <f>P1323+Q1323</f>
        <v/>
      </c>
      <c r="P1323" s="33" t="n"/>
      <c r="Q1323" s="33" t="n"/>
      <c r="R1323" s="33">
        <f>H1323+K1323-O1323</f>
        <v/>
      </c>
      <c r="S1323" s="33" t="n"/>
      <c r="T1323" s="33" t="n"/>
      <c r="U1323" s="33" t="n"/>
      <c r="V1323" s="33" t="n"/>
      <c r="W1323" s="33" t="n"/>
      <c r="X1323" s="33" t="n"/>
      <c r="Y1323" s="33" t="n"/>
      <c r="Z1323" s="33" t="n"/>
      <c r="AA1323" s="4">
        <f>R1323-G1323</f>
        <v/>
      </c>
      <c r="AB1323" s="4">
        <f>G1323-R1323</f>
        <v/>
      </c>
      <c r="AC1323" s="33" t="n"/>
    </row>
    <row r="1324" ht="18.75" customHeight="1">
      <c r="A1324" s="35">
        <f>SUBTOTAL(103,$B$24:B1324)</f>
        <v/>
      </c>
      <c r="B1324" s="36" t="inlineStr">
        <is>
          <t>Плита газова "Ардо"</t>
        </is>
      </c>
      <c r="C1324" s="37" t="inlineStr">
        <is>
          <t>к-т</t>
        </is>
      </c>
      <c r="D1324" s="33" t="n"/>
      <c r="E1324" s="33" t="n"/>
      <c r="F1324" s="33">
        <f>E1324*0.05</f>
        <v/>
      </c>
      <c r="G1324" s="33">
        <f>E1324+F1324</f>
        <v/>
      </c>
      <c r="H1324" s="33" t="n"/>
      <c r="I1324" s="33" t="n"/>
      <c r="J1324" s="33" t="n"/>
      <c r="K1324" s="33">
        <f>L1324+M1324+N1324</f>
        <v/>
      </c>
      <c r="L1324" s="33" t="n"/>
      <c r="M1324" s="33" t="n"/>
      <c r="N1324" s="33" t="n"/>
      <c r="O1324" s="33">
        <f>P1324+Q1324</f>
        <v/>
      </c>
      <c r="P1324" s="33" t="n"/>
      <c r="Q1324" s="33" t="n"/>
      <c r="R1324" s="33">
        <f>H1324+K1324-O1324</f>
        <v/>
      </c>
      <c r="S1324" s="33" t="n"/>
      <c r="T1324" s="33" t="n"/>
      <c r="U1324" s="33" t="n"/>
      <c r="V1324" s="33" t="n"/>
      <c r="W1324" s="33" t="n"/>
      <c r="X1324" s="33" t="n"/>
      <c r="Y1324" s="33" t="n"/>
      <c r="Z1324" s="33" t="n"/>
      <c r="AA1324" s="4">
        <f>R1324-G1324</f>
        <v/>
      </c>
      <c r="AB1324" s="4">
        <f>G1324-R1324</f>
        <v/>
      </c>
      <c r="AC1324" s="33" t="n"/>
    </row>
    <row r="1325" ht="18.75" customHeight="1">
      <c r="A1325" s="35">
        <f>SUBTOTAL(103,$B$24:B1325)</f>
        <v/>
      </c>
      <c r="B1325" s="36" t="inlineStr">
        <is>
          <t>Плита газова "Горенья"</t>
        </is>
      </c>
      <c r="C1325" s="37" t="inlineStr">
        <is>
          <t>к-т</t>
        </is>
      </c>
      <c r="D1325" s="33" t="n"/>
      <c r="E1325" s="33" t="n"/>
      <c r="F1325" s="33">
        <f>E1325*0.05</f>
        <v/>
      </c>
      <c r="G1325" s="33">
        <f>E1325+F1325</f>
        <v/>
      </c>
      <c r="H1325" s="33" t="n"/>
      <c r="I1325" s="33" t="n"/>
      <c r="J1325" s="33" t="n"/>
      <c r="K1325" s="33">
        <f>L1325+M1325+N1325</f>
        <v/>
      </c>
      <c r="L1325" s="33" t="n"/>
      <c r="M1325" s="33" t="n"/>
      <c r="N1325" s="33" t="n"/>
      <c r="O1325" s="33">
        <f>P1325+Q1325</f>
        <v/>
      </c>
      <c r="P1325" s="33" t="n"/>
      <c r="Q1325" s="33" t="n"/>
      <c r="R1325" s="33">
        <f>H1325+K1325-O1325</f>
        <v/>
      </c>
      <c r="S1325" s="33" t="n"/>
      <c r="T1325" s="33" t="n"/>
      <c r="U1325" s="33" t="n"/>
      <c r="V1325" s="33" t="n"/>
      <c r="W1325" s="33" t="n"/>
      <c r="X1325" s="33" t="n"/>
      <c r="Y1325" s="33" t="n"/>
      <c r="Z1325" s="33" t="n"/>
      <c r="AA1325" s="4">
        <f>R1325-G1325</f>
        <v/>
      </c>
      <c r="AB1325" s="4">
        <f>G1325-R1325</f>
        <v/>
      </c>
      <c r="AC1325" s="33" t="n"/>
    </row>
    <row r="1326" ht="18.75" customHeight="1">
      <c r="A1326" s="35">
        <f>SUBTOTAL(103,$B$24:B1326)</f>
        <v/>
      </c>
      <c r="B1326" s="36" t="inlineStr">
        <is>
          <t>Плита газова "Сіменс"</t>
        </is>
      </c>
      <c r="C1326" s="37" t="inlineStr">
        <is>
          <t>к-т</t>
        </is>
      </c>
      <c r="D1326" s="33" t="n"/>
      <c r="E1326" s="33" t="n"/>
      <c r="F1326" s="33">
        <f>E1326*0.05</f>
        <v/>
      </c>
      <c r="G1326" s="33">
        <f>E1326+F1326</f>
        <v/>
      </c>
      <c r="H1326" s="33" t="n"/>
      <c r="I1326" s="33" t="n"/>
      <c r="J1326" s="33" t="n"/>
      <c r="K1326" s="33">
        <f>L1326+M1326+N1326</f>
        <v/>
      </c>
      <c r="L1326" s="33" t="n"/>
      <c r="M1326" s="33" t="n"/>
      <c r="N1326" s="33" t="n"/>
      <c r="O1326" s="33">
        <f>P1326+Q1326</f>
        <v/>
      </c>
      <c r="P1326" s="33" t="n"/>
      <c r="Q1326" s="33" t="n"/>
      <c r="R1326" s="33">
        <f>H1326+K1326-O1326</f>
        <v/>
      </c>
      <c r="S1326" s="33" t="n"/>
      <c r="T1326" s="33" t="n"/>
      <c r="U1326" s="33" t="n"/>
      <c r="V1326" s="33" t="n"/>
      <c r="W1326" s="33" t="n"/>
      <c r="X1326" s="33" t="n"/>
      <c r="Y1326" s="33" t="n"/>
      <c r="Z1326" s="33" t="n"/>
      <c r="AA1326" s="4">
        <f>R1326-G1326</f>
        <v/>
      </c>
      <c r="AB1326" s="4">
        <f>G1326-R1326</f>
        <v/>
      </c>
      <c r="AC1326" s="33" t="n"/>
    </row>
    <row r="1327" ht="18.75" customHeight="1">
      <c r="A1327" s="35">
        <f>SUBTOTAL(103,$B$24:B1327)</f>
        <v/>
      </c>
      <c r="B1327" s="36" t="inlineStr">
        <is>
          <t>Плита газова "Норд"</t>
        </is>
      </c>
      <c r="C1327" s="37" t="inlineStr">
        <is>
          <t>к-т</t>
        </is>
      </c>
      <c r="D1327" s="33" t="n"/>
      <c r="E1327" s="33" t="n"/>
      <c r="F1327" s="33">
        <f>E1327*0.05</f>
        <v/>
      </c>
      <c r="G1327" s="33">
        <f>E1327+F1327</f>
        <v/>
      </c>
      <c r="H1327" s="33" t="n"/>
      <c r="I1327" s="33" t="n"/>
      <c r="J1327" s="33" t="n"/>
      <c r="K1327" s="33">
        <f>L1327+M1327+N1327</f>
        <v/>
      </c>
      <c r="L1327" s="33" t="n"/>
      <c r="M1327" s="33" t="n"/>
      <c r="N1327" s="33" t="n"/>
      <c r="O1327" s="33">
        <f>P1327+Q1327</f>
        <v/>
      </c>
      <c r="P1327" s="33" t="n"/>
      <c r="Q1327" s="33" t="n"/>
      <c r="R1327" s="33">
        <f>H1327+K1327-O1327</f>
        <v/>
      </c>
      <c r="S1327" s="33" t="n"/>
      <c r="T1327" s="33" t="n"/>
      <c r="U1327" s="33" t="n"/>
      <c r="V1327" s="33" t="n"/>
      <c r="W1327" s="33" t="n"/>
      <c r="X1327" s="33" t="n"/>
      <c r="Y1327" s="33" t="n"/>
      <c r="Z1327" s="33" t="n"/>
      <c r="AA1327" s="4">
        <f>R1327-G1327</f>
        <v/>
      </c>
      <c r="AB1327" s="4">
        <f>G1327-R1327</f>
        <v/>
      </c>
      <c r="AC1327" s="33" t="n"/>
    </row>
    <row r="1328" ht="18.75" customHeight="1">
      <c r="A1328" s="35">
        <f>SUBTOTAL(103,$B$24:B1328)</f>
        <v/>
      </c>
      <c r="B1328" s="36" t="inlineStr">
        <is>
          <t>Плита газова Кий-В ПГ-4-Б</t>
        </is>
      </c>
      <c r="C1328" s="37" t="inlineStr">
        <is>
          <t>к-т</t>
        </is>
      </c>
      <c r="D1328" s="33" t="n"/>
      <c r="E1328" s="33" t="n"/>
      <c r="F1328" s="33">
        <f>E1328*0.05</f>
        <v/>
      </c>
      <c r="G1328" s="33">
        <f>E1328+F1328</f>
        <v/>
      </c>
      <c r="H1328" s="33" t="n"/>
      <c r="I1328" s="33" t="n"/>
      <c r="J1328" s="33" t="n"/>
      <c r="K1328" s="33">
        <f>L1328+M1328+N1328</f>
        <v/>
      </c>
      <c r="L1328" s="33" t="n"/>
      <c r="M1328" s="33" t="n"/>
      <c r="N1328" s="33" t="n"/>
      <c r="O1328" s="33">
        <f>P1328+Q1328</f>
        <v/>
      </c>
      <c r="P1328" s="33" t="n"/>
      <c r="Q1328" s="33" t="n"/>
      <c r="R1328" s="33">
        <f>H1328+K1328-O1328</f>
        <v/>
      </c>
      <c r="S1328" s="33" t="n"/>
      <c r="T1328" s="33" t="n"/>
      <c r="U1328" s="33" t="n"/>
      <c r="V1328" s="33" t="n"/>
      <c r="W1328" s="33" t="n"/>
      <c r="X1328" s="33" t="n"/>
      <c r="Y1328" s="33" t="n"/>
      <c r="Z1328" s="33" t="n"/>
      <c r="AA1328" s="4">
        <f>R1328-G1328</f>
        <v/>
      </c>
      <c r="AB1328" s="4">
        <f>G1328-R1328</f>
        <v/>
      </c>
      <c r="AC1328" s="33" t="n"/>
    </row>
    <row r="1329" ht="18.75" customHeight="1">
      <c r="A1329" s="35">
        <f>SUBTOTAL(103,$B$24:B1329)</f>
        <v/>
      </c>
      <c r="B1329" s="39" t="inlineStr">
        <is>
          <t>МІКРОХВИЛЬОВА ПІЧ</t>
        </is>
      </c>
      <c r="C1329" s="37" t="n"/>
      <c r="D1329" s="33" t="n"/>
      <c r="E1329" s="33" t="n"/>
      <c r="F1329" s="33">
        <f>E1329*0.05</f>
        <v/>
      </c>
      <c r="G1329" s="33">
        <f>E1329+F1329</f>
        <v/>
      </c>
      <c r="H1329" s="33" t="n"/>
      <c r="I1329" s="33" t="n"/>
      <c r="J1329" s="33" t="n"/>
      <c r="K1329" s="33">
        <f>L1329+M1329+N1329</f>
        <v/>
      </c>
      <c r="L1329" s="33" t="n"/>
      <c r="M1329" s="33" t="n"/>
      <c r="N1329" s="33" t="n"/>
      <c r="O1329" s="33">
        <f>P1329+Q1329</f>
        <v/>
      </c>
      <c r="P1329" s="33" t="n"/>
      <c r="Q1329" s="33" t="n"/>
      <c r="R1329" s="33">
        <f>H1329+K1329-O1329</f>
        <v/>
      </c>
      <c r="S1329" s="33" t="n"/>
      <c r="T1329" s="33" t="n"/>
      <c r="U1329" s="33" t="n"/>
      <c r="V1329" s="33" t="n"/>
      <c r="W1329" s="33" t="n"/>
      <c r="X1329" s="33" t="n"/>
      <c r="Y1329" s="33" t="n"/>
      <c r="Z1329" s="33" t="n"/>
      <c r="AA1329" s="4">
        <f>R1329-G1329</f>
        <v/>
      </c>
      <c r="AB1329" s="4">
        <f>G1329-R1329</f>
        <v/>
      </c>
      <c r="AC1329" s="33" t="n"/>
    </row>
    <row r="1330" ht="18.75" customHeight="1">
      <c r="A1330" s="35">
        <f>SUBTOTAL(103,$B$24:B1330)</f>
        <v/>
      </c>
      <c r="B1330" s="36" t="inlineStr">
        <is>
          <t>Мікрохвильова піч REEDNEE</t>
        </is>
      </c>
      <c r="C1330" s="37" t="inlineStr">
        <is>
          <t>к-т</t>
        </is>
      </c>
      <c r="D1330" s="33" t="n"/>
      <c r="E1330" s="33" t="n"/>
      <c r="F1330" s="33">
        <f>E1330*0.05</f>
        <v/>
      </c>
      <c r="G1330" s="33">
        <f>E1330+F1330</f>
        <v/>
      </c>
      <c r="H1330" s="33" t="n"/>
      <c r="I1330" s="33" t="n"/>
      <c r="J1330" s="33" t="n"/>
      <c r="K1330" s="33">
        <f>L1330+M1330+N1330</f>
        <v/>
      </c>
      <c r="L1330" s="33" t="n"/>
      <c r="M1330" s="33" t="n"/>
      <c r="N1330" s="33" t="n"/>
      <c r="O1330" s="33">
        <f>P1330+Q1330</f>
        <v/>
      </c>
      <c r="P1330" s="33" t="n"/>
      <c r="Q1330" s="33" t="n"/>
      <c r="R1330" s="33">
        <f>H1330+K1330-O1330</f>
        <v/>
      </c>
      <c r="S1330" s="33" t="n"/>
      <c r="T1330" s="33" t="n"/>
      <c r="U1330" s="33" t="n"/>
      <c r="V1330" s="33" t="n"/>
      <c r="W1330" s="33" t="n"/>
      <c r="X1330" s="33" t="n"/>
      <c r="Y1330" s="33" t="n"/>
      <c r="Z1330" s="33" t="n"/>
      <c r="AA1330" s="4">
        <f>R1330-G1330</f>
        <v/>
      </c>
      <c r="AB1330" s="4">
        <f>G1330-R1330</f>
        <v/>
      </c>
      <c r="AC1330" s="33" t="n"/>
    </row>
    <row r="1331" ht="18.75" customHeight="1">
      <c r="A1331" s="35">
        <f>SUBTOTAL(103,$B$24:B1331)</f>
        <v/>
      </c>
      <c r="B1331" s="36" t="inlineStr">
        <is>
          <t>Мікрохвильова піч Electrolux</t>
        </is>
      </c>
      <c r="C1331" s="37" t="inlineStr">
        <is>
          <t>к-т</t>
        </is>
      </c>
      <c r="D1331" s="33" t="n"/>
      <c r="E1331" s="33" t="n"/>
      <c r="F1331" s="33">
        <f>E1331*0.05</f>
        <v/>
      </c>
      <c r="G1331" s="33">
        <f>E1331+F1331</f>
        <v/>
      </c>
      <c r="H1331" s="33" t="n"/>
      <c r="I1331" s="33" t="n"/>
      <c r="J1331" s="33" t="n"/>
      <c r="K1331" s="33">
        <f>L1331+M1331+N1331</f>
        <v/>
      </c>
      <c r="L1331" s="33" t="n"/>
      <c r="M1331" s="33" t="n"/>
      <c r="N1331" s="33" t="n"/>
      <c r="O1331" s="33">
        <f>P1331+Q1331</f>
        <v/>
      </c>
      <c r="P1331" s="33" t="n"/>
      <c r="Q1331" s="33" t="n"/>
      <c r="R1331" s="33">
        <f>H1331+K1331-O1331</f>
        <v/>
      </c>
      <c r="S1331" s="33" t="n"/>
      <c r="T1331" s="33" t="n"/>
      <c r="U1331" s="33" t="n"/>
      <c r="V1331" s="33" t="n"/>
      <c r="W1331" s="33" t="n"/>
      <c r="X1331" s="33" t="n"/>
      <c r="Y1331" s="33" t="n"/>
      <c r="Z1331" s="33" t="n"/>
      <c r="AA1331" s="4">
        <f>R1331-G1331</f>
        <v/>
      </c>
      <c r="AB1331" s="4">
        <f>G1331-R1331</f>
        <v/>
      </c>
      <c r="AC1331" s="33" t="n"/>
    </row>
    <row r="1332" ht="18.75" customHeight="1">
      <c r="A1332" s="35">
        <f>SUBTOTAL(103,$B$24:B1332)</f>
        <v/>
      </c>
      <c r="B1332" s="36" t="inlineStr">
        <is>
          <t>Мікрохвильова піч Samsung</t>
        </is>
      </c>
      <c r="C1332" s="37" t="inlineStr">
        <is>
          <t>к-т</t>
        </is>
      </c>
      <c r="D1332" s="33" t="n"/>
      <c r="E1332" s="33" t="n"/>
      <c r="F1332" s="33">
        <f>E1332*0.05</f>
        <v/>
      </c>
      <c r="G1332" s="33">
        <f>E1332+F1332</f>
        <v/>
      </c>
      <c r="H1332" s="33" t="n"/>
      <c r="I1332" s="33" t="n"/>
      <c r="J1332" s="33" t="n"/>
      <c r="K1332" s="33">
        <f>L1332+M1332+N1332</f>
        <v/>
      </c>
      <c r="L1332" s="33" t="n"/>
      <c r="M1332" s="33" t="n"/>
      <c r="N1332" s="33" t="n"/>
      <c r="O1332" s="33">
        <f>P1332+Q1332</f>
        <v/>
      </c>
      <c r="P1332" s="33" t="n"/>
      <c r="Q1332" s="33" t="n"/>
      <c r="R1332" s="33">
        <f>H1332+K1332-O1332</f>
        <v/>
      </c>
      <c r="S1332" s="33" t="n"/>
      <c r="T1332" s="33" t="n"/>
      <c r="U1332" s="33" t="n"/>
      <c r="V1332" s="33" t="n"/>
      <c r="W1332" s="33" t="n"/>
      <c r="X1332" s="33" t="n"/>
      <c r="Y1332" s="33" t="n"/>
      <c r="Z1332" s="33" t="n"/>
      <c r="AA1332" s="4">
        <f>R1332-G1332</f>
        <v/>
      </c>
      <c r="AB1332" s="4">
        <f>G1332-R1332</f>
        <v/>
      </c>
      <c r="AC1332" s="33" t="n"/>
    </row>
    <row r="1333" ht="37.5" customHeight="1">
      <c r="A1333" s="35">
        <f>SUBTOTAL(103,$B$24:B1333)</f>
        <v/>
      </c>
      <c r="B1333" s="36" t="inlineStr">
        <is>
          <t>Піч мікрорхвильова SAMSUNG ME83KRS</t>
        </is>
      </c>
      <c r="C1333" s="37" t="inlineStr">
        <is>
          <t>к-т</t>
        </is>
      </c>
      <c r="D1333" s="33" t="n"/>
      <c r="E1333" s="33" t="n"/>
      <c r="F1333" s="33">
        <f>E1333*0.05</f>
        <v/>
      </c>
      <c r="G1333" s="33">
        <f>E1333+F1333</f>
        <v/>
      </c>
      <c r="H1333" s="33" t="n"/>
      <c r="I1333" s="33" t="n"/>
      <c r="J1333" s="33" t="n"/>
      <c r="K1333" s="33">
        <f>L1333+M1333+N1333</f>
        <v/>
      </c>
      <c r="L1333" s="33" t="n"/>
      <c r="M1333" s="33" t="n"/>
      <c r="N1333" s="33" t="n"/>
      <c r="O1333" s="33">
        <f>P1333+Q1333</f>
        <v/>
      </c>
      <c r="P1333" s="33" t="n"/>
      <c r="Q1333" s="33" t="n"/>
      <c r="R1333" s="33">
        <f>H1333+K1333-O1333</f>
        <v/>
      </c>
      <c r="S1333" s="33" t="n"/>
      <c r="T1333" s="33" t="n"/>
      <c r="U1333" s="33" t="n"/>
      <c r="V1333" s="33" t="n"/>
      <c r="W1333" s="33" t="n"/>
      <c r="X1333" s="33" t="n"/>
      <c r="Y1333" s="33" t="n"/>
      <c r="Z1333" s="33" t="n"/>
      <c r="AA1333" s="4">
        <f>R1333-G1333</f>
        <v/>
      </c>
      <c r="AB1333" s="4">
        <f>G1333-R1333</f>
        <v/>
      </c>
      <c r="AC1333" s="33" t="n"/>
    </row>
    <row r="1334" ht="37.5" customHeight="1">
      <c r="A1334" s="35">
        <f>SUBTOTAL(103,$B$24:B1334)</f>
        <v/>
      </c>
      <c r="B1334" s="36" t="inlineStr">
        <is>
          <t>Мікрохвильова піч Samsung MS23F302TAS (TAK</t>
        </is>
      </c>
      <c r="C1334" s="37" t="inlineStr">
        <is>
          <t>к-т</t>
        </is>
      </c>
      <c r="D1334" s="33" t="n"/>
      <c r="E1334" s="33" t="n"/>
      <c r="F1334" s="33">
        <f>E1334*0.05</f>
        <v/>
      </c>
      <c r="G1334" s="33">
        <f>E1334+F1334</f>
        <v/>
      </c>
      <c r="H1334" s="33" t="n"/>
      <c r="I1334" s="33" t="n"/>
      <c r="J1334" s="33" t="n"/>
      <c r="K1334" s="33">
        <f>L1334+M1334+N1334</f>
        <v/>
      </c>
      <c r="L1334" s="33" t="n"/>
      <c r="M1334" s="33" t="n"/>
      <c r="N1334" s="33" t="n"/>
      <c r="O1334" s="33">
        <f>P1334+Q1334</f>
        <v/>
      </c>
      <c r="P1334" s="33" t="n"/>
      <c r="Q1334" s="33" t="n"/>
      <c r="R1334" s="33">
        <f>H1334+K1334-O1334</f>
        <v/>
      </c>
      <c r="S1334" s="33" t="n"/>
      <c r="T1334" s="33" t="n"/>
      <c r="U1334" s="33" t="n"/>
      <c r="V1334" s="33" t="n"/>
      <c r="W1334" s="33" t="n"/>
      <c r="X1334" s="33" t="n"/>
      <c r="Y1334" s="33" t="n"/>
      <c r="Z1334" s="33" t="n"/>
      <c r="AA1334" s="4">
        <f>R1334-G1334</f>
        <v/>
      </c>
      <c r="AB1334" s="4">
        <f>G1334-R1334</f>
        <v/>
      </c>
      <c r="AC1334" s="33" t="n"/>
    </row>
    <row r="1335" ht="18.75" customHeight="1">
      <c r="A1335" s="35">
        <f>SUBTOTAL(103,$B$24:B1335)</f>
        <v/>
      </c>
      <c r="B1335" s="36" t="inlineStr">
        <is>
          <t>Мікрохвильова піч GORENJE</t>
        </is>
      </c>
      <c r="C1335" s="37" t="inlineStr">
        <is>
          <t>к-т</t>
        </is>
      </c>
      <c r="D1335" s="33" t="n"/>
      <c r="E1335" s="33" t="n"/>
      <c r="F1335" s="33">
        <f>E1335*0.05</f>
        <v/>
      </c>
      <c r="G1335" s="33">
        <f>E1335+F1335</f>
        <v/>
      </c>
      <c r="H1335" s="33" t="n"/>
      <c r="I1335" s="33" t="n"/>
      <c r="J1335" s="33" t="n"/>
      <c r="K1335" s="33">
        <f>L1335+M1335+N1335</f>
        <v/>
      </c>
      <c r="L1335" s="33" t="n"/>
      <c r="M1335" s="33" t="n"/>
      <c r="N1335" s="33" t="n"/>
      <c r="O1335" s="33">
        <f>P1335+Q1335</f>
        <v/>
      </c>
      <c r="P1335" s="33" t="n"/>
      <c r="Q1335" s="33" t="n"/>
      <c r="R1335" s="33">
        <f>H1335+K1335-O1335</f>
        <v/>
      </c>
      <c r="S1335" s="33" t="n"/>
      <c r="T1335" s="33" t="n"/>
      <c r="U1335" s="33" t="n"/>
      <c r="V1335" s="33" t="n"/>
      <c r="W1335" s="33" t="n"/>
      <c r="X1335" s="33" t="n"/>
      <c r="Y1335" s="33" t="n"/>
      <c r="Z1335" s="33" t="n"/>
      <c r="AA1335" s="4">
        <f>R1335-G1335</f>
        <v/>
      </c>
      <c r="AB1335" s="4">
        <f>G1335-R1335</f>
        <v/>
      </c>
      <c r="AC1335" s="33" t="n"/>
    </row>
    <row r="1336" ht="18.75" customHeight="1">
      <c r="A1336" s="35">
        <f>SUBTOTAL(103,$B$24:B1336)</f>
        <v/>
      </c>
      <c r="B1336" s="36" t="inlineStr">
        <is>
          <t>Мікрохвильова піч GORENJE MO17</t>
        </is>
      </c>
      <c r="C1336" s="37" t="n"/>
      <c r="D1336" s="33" t="n"/>
      <c r="E1336" s="33" t="n"/>
      <c r="F1336" s="33">
        <f>E1336*0.05</f>
        <v/>
      </c>
      <c r="G1336" s="33">
        <f>E1336+F1336</f>
        <v/>
      </c>
      <c r="H1336" s="33" t="n"/>
      <c r="I1336" s="33" t="n"/>
      <c r="J1336" s="33" t="n"/>
      <c r="K1336" s="33">
        <f>L1336+M1336+N1336</f>
        <v/>
      </c>
      <c r="L1336" s="33" t="n"/>
      <c r="M1336" s="33" t="n"/>
      <c r="N1336" s="33" t="n"/>
      <c r="O1336" s="33">
        <f>P1336+Q1336</f>
        <v/>
      </c>
      <c r="P1336" s="33" t="n"/>
      <c r="Q1336" s="33" t="n"/>
      <c r="R1336" s="33">
        <f>H1336+K1336-O1336</f>
        <v/>
      </c>
      <c r="S1336" s="33" t="n"/>
      <c r="T1336" s="33" t="n"/>
      <c r="U1336" s="33" t="n"/>
      <c r="V1336" s="33" t="n"/>
      <c r="W1336" s="33" t="n"/>
      <c r="X1336" s="33" t="n"/>
      <c r="Y1336" s="33" t="n"/>
      <c r="Z1336" s="33" t="n"/>
      <c r="AA1336" s="4">
        <f>R1336-G1336</f>
        <v/>
      </c>
      <c r="AB1336" s="4">
        <f>G1336-R1336</f>
        <v/>
      </c>
      <c r="AC1336" s="33" t="n"/>
    </row>
    <row r="1337" ht="37.5" customHeight="1">
      <c r="A1337" s="35">
        <f>SUBTOTAL(103,$B$24:B1337)</f>
        <v/>
      </c>
      <c r="B1337" s="36" t="inlineStr">
        <is>
          <t>Мікрохвильова піч GORENJE MO17E1W</t>
        </is>
      </c>
      <c r="C1337" s="37" t="inlineStr">
        <is>
          <t>к-т</t>
        </is>
      </c>
      <c r="D1337" s="33" t="n"/>
      <c r="E1337" s="33" t="n"/>
      <c r="F1337" s="33">
        <f>E1337*0.05</f>
        <v/>
      </c>
      <c r="G1337" s="33">
        <f>E1337+F1337</f>
        <v/>
      </c>
      <c r="H1337" s="33" t="n"/>
      <c r="I1337" s="33" t="n"/>
      <c r="J1337" s="33" t="n"/>
      <c r="K1337" s="33">
        <f>L1337+M1337+N1337</f>
        <v/>
      </c>
      <c r="L1337" s="33" t="n"/>
      <c r="M1337" s="33" t="n"/>
      <c r="N1337" s="33" t="n"/>
      <c r="O1337" s="33">
        <f>P1337+Q1337</f>
        <v/>
      </c>
      <c r="P1337" s="33" t="n"/>
      <c r="Q1337" s="33" t="n"/>
      <c r="R1337" s="33">
        <f>H1337+K1337-O1337</f>
        <v/>
      </c>
      <c r="S1337" s="33" t="n"/>
      <c r="T1337" s="33" t="n"/>
      <c r="U1337" s="33" t="n"/>
      <c r="V1337" s="33" t="n"/>
      <c r="W1337" s="33" t="n"/>
      <c r="X1337" s="33" t="n"/>
      <c r="Y1337" s="33" t="n"/>
      <c r="Z1337" s="33" t="n"/>
      <c r="AA1337" s="4">
        <f>R1337-G1337</f>
        <v/>
      </c>
      <c r="AB1337" s="4">
        <f>G1337-R1337</f>
        <v/>
      </c>
      <c r="AC1337" s="33" t="n"/>
    </row>
    <row r="1338" ht="18.75" customHeight="1">
      <c r="A1338" s="35">
        <f>SUBTOTAL(103,$B$24:B1338)</f>
        <v/>
      </c>
      <c r="B1338" s="36" t="inlineStr">
        <is>
          <t>Мікрохвильова піч MIELE M EDST/CS</t>
        </is>
      </c>
      <c r="C1338" s="37" t="n"/>
      <c r="D1338" s="33" t="n"/>
      <c r="E1338" s="33" t="n"/>
      <c r="F1338" s="33">
        <f>E1338*0.05</f>
        <v/>
      </c>
      <c r="G1338" s="33">
        <f>E1338+F1338</f>
        <v/>
      </c>
      <c r="H1338" s="33" t="n"/>
      <c r="I1338" s="33" t="n"/>
      <c r="J1338" s="33" t="n"/>
      <c r="K1338" s="33">
        <f>L1338+M1338+N1338</f>
        <v/>
      </c>
      <c r="L1338" s="33" t="n"/>
      <c r="M1338" s="33" t="n"/>
      <c r="N1338" s="33" t="n"/>
      <c r="O1338" s="33">
        <f>P1338+Q1338</f>
        <v/>
      </c>
      <c r="P1338" s="33" t="n"/>
      <c r="Q1338" s="33" t="n"/>
      <c r="R1338" s="33">
        <f>H1338+K1338-O1338</f>
        <v/>
      </c>
      <c r="S1338" s="33" t="n"/>
      <c r="T1338" s="33" t="n"/>
      <c r="U1338" s="33" t="n"/>
      <c r="V1338" s="33" t="n"/>
      <c r="W1338" s="33" t="n"/>
      <c r="X1338" s="33" t="n"/>
      <c r="Y1338" s="33" t="n"/>
      <c r="Z1338" s="33" t="n"/>
      <c r="AA1338" s="4">
        <f>R1338-G1338</f>
        <v/>
      </c>
      <c r="AB1338" s="4">
        <f>G1338-R1338</f>
        <v/>
      </c>
      <c r="AC1338" s="33" t="n"/>
    </row>
    <row r="1339" ht="18.75" customHeight="1">
      <c r="A1339" s="35">
        <f>SUBTOTAL(103,$B$24:B1339)</f>
        <v/>
      </c>
      <c r="B1339" s="36" t="inlineStr">
        <is>
          <t>Мікрохвильова піч 20МХ701-W</t>
        </is>
      </c>
      <c r="C1339" s="37" t="n"/>
      <c r="D1339" s="33" t="n"/>
      <c r="E1339" s="33" t="n"/>
      <c r="F1339" s="33">
        <f>E1339*0.05</f>
        <v/>
      </c>
      <c r="G1339" s="33">
        <f>E1339+F1339</f>
        <v/>
      </c>
      <c r="H1339" s="33" t="n"/>
      <c r="I1339" s="33" t="n"/>
      <c r="J1339" s="33" t="n"/>
      <c r="K1339" s="33">
        <f>L1339+M1339+N1339</f>
        <v/>
      </c>
      <c r="L1339" s="33" t="n"/>
      <c r="M1339" s="33" t="n"/>
      <c r="N1339" s="33" t="n"/>
      <c r="O1339" s="33">
        <f>P1339+Q1339</f>
        <v/>
      </c>
      <c r="P1339" s="33" t="n"/>
      <c r="Q1339" s="33" t="n"/>
      <c r="R1339" s="33">
        <f>H1339+K1339-O1339</f>
        <v/>
      </c>
      <c r="S1339" s="33" t="n"/>
      <c r="T1339" s="33" t="n"/>
      <c r="U1339" s="33" t="n"/>
      <c r="V1339" s="33" t="n"/>
      <c r="W1339" s="33" t="n"/>
      <c r="X1339" s="33" t="n"/>
      <c r="Y1339" s="33" t="n"/>
      <c r="Z1339" s="33" t="n"/>
      <c r="AA1339" s="4">
        <f>R1339-G1339</f>
        <v/>
      </c>
      <c r="AB1339" s="4">
        <f>G1339-R1339</f>
        <v/>
      </c>
      <c r="AC1339" s="33" t="n"/>
    </row>
    <row r="1340" ht="18.75" customHeight="1">
      <c r="A1340" s="35">
        <f>SUBTOTAL(103,$B$24:B1340)</f>
        <v/>
      </c>
      <c r="B1340" s="36" t="inlineStr">
        <is>
          <t>Мікрохвильова піч GORENJE MO20 A3</t>
        </is>
      </c>
      <c r="C1340" s="37" t="inlineStr">
        <is>
          <t>к-т</t>
        </is>
      </c>
      <c r="D1340" s="33" t="n"/>
      <c r="E1340" s="33" t="n"/>
      <c r="F1340" s="33">
        <f>E1340*0.05</f>
        <v/>
      </c>
      <c r="G1340" s="33">
        <f>E1340+F1340</f>
        <v/>
      </c>
      <c r="H1340" s="33" t="n"/>
      <c r="I1340" s="33" t="n"/>
      <c r="J1340" s="33" t="n"/>
      <c r="K1340" s="33">
        <f>L1340+M1340+N1340</f>
        <v/>
      </c>
      <c r="L1340" s="33" t="n"/>
      <c r="M1340" s="33" t="n"/>
      <c r="N1340" s="33" t="n"/>
      <c r="O1340" s="33">
        <f>P1340+Q1340</f>
        <v/>
      </c>
      <c r="P1340" s="33" t="n"/>
      <c r="Q1340" s="33" t="n"/>
      <c r="R1340" s="33">
        <f>H1340+K1340-O1340</f>
        <v/>
      </c>
      <c r="S1340" s="33" t="n"/>
      <c r="T1340" s="33" t="n"/>
      <c r="U1340" s="33" t="n"/>
      <c r="V1340" s="33" t="n"/>
      <c r="W1340" s="33" t="n"/>
      <c r="X1340" s="33" t="n"/>
      <c r="Y1340" s="33" t="n"/>
      <c r="Z1340" s="33" t="n"/>
      <c r="AA1340" s="4">
        <f>R1340-G1340</f>
        <v/>
      </c>
      <c r="AB1340" s="4">
        <f>G1340-R1340</f>
        <v/>
      </c>
      <c r="AC1340" s="33" t="n"/>
    </row>
    <row r="1341" ht="37.5" customHeight="1">
      <c r="A1341" s="35">
        <f>SUBTOTAL(103,$B$24:B1341)</f>
        <v/>
      </c>
      <c r="B1341" s="36" t="inlineStr">
        <is>
          <t>Мікрохвильова піч GORENJE MO20 E1S</t>
        </is>
      </c>
      <c r="C1341" s="37" t="inlineStr">
        <is>
          <t>к-т</t>
        </is>
      </c>
      <c r="D1341" s="33" t="n"/>
      <c r="E1341" s="33" t="n"/>
      <c r="F1341" s="33">
        <f>E1341*0.05</f>
        <v/>
      </c>
      <c r="G1341" s="33">
        <f>E1341+F1341</f>
        <v/>
      </c>
      <c r="H1341" s="33" t="n"/>
      <c r="I1341" s="33" t="n"/>
      <c r="J1341" s="33" t="n"/>
      <c r="K1341" s="33">
        <f>L1341+M1341+N1341</f>
        <v/>
      </c>
      <c r="L1341" s="33" t="n"/>
      <c r="M1341" s="33" t="n"/>
      <c r="N1341" s="33" t="n"/>
      <c r="O1341" s="33">
        <f>P1341+Q1341</f>
        <v/>
      </c>
      <c r="P1341" s="33" t="n"/>
      <c r="Q1341" s="33" t="n"/>
      <c r="R1341" s="33">
        <f>H1341+K1341-O1341</f>
        <v/>
      </c>
      <c r="S1341" s="33" t="n"/>
      <c r="T1341" s="33" t="n"/>
      <c r="U1341" s="33" t="n"/>
      <c r="V1341" s="33" t="n"/>
      <c r="W1341" s="33" t="n"/>
      <c r="X1341" s="33" t="n"/>
      <c r="Y1341" s="33" t="n"/>
      <c r="Z1341" s="33" t="n"/>
      <c r="AA1341" s="4">
        <f>R1341-G1341</f>
        <v/>
      </c>
      <c r="AB1341" s="4">
        <f>G1341-R1341</f>
        <v/>
      </c>
      <c r="AC1341" s="33" t="n"/>
    </row>
    <row r="1342" ht="37.5" customHeight="1">
      <c r="A1342" s="35">
        <f>SUBTOTAL(103,$B$24:B1342)</f>
        <v/>
      </c>
      <c r="B1342" s="36" t="inlineStr">
        <is>
          <t>Мікрохвильова піч GORENJE MO20 EW</t>
        </is>
      </c>
      <c r="C1342" s="37" t="inlineStr">
        <is>
          <t>к-т</t>
        </is>
      </c>
      <c r="D1342" s="33" t="n"/>
      <c r="E1342" s="33" t="n"/>
      <c r="F1342" s="33">
        <f>E1342*0.05</f>
        <v/>
      </c>
      <c r="G1342" s="33">
        <f>E1342+F1342</f>
        <v/>
      </c>
      <c r="H1342" s="33" t="n"/>
      <c r="I1342" s="33" t="n"/>
      <c r="J1342" s="33" t="n"/>
      <c r="K1342" s="33">
        <f>L1342+M1342+N1342</f>
        <v/>
      </c>
      <c r="L1342" s="33" t="n"/>
      <c r="M1342" s="33" t="n"/>
      <c r="N1342" s="33" t="n"/>
      <c r="O1342" s="33">
        <f>P1342+Q1342</f>
        <v/>
      </c>
      <c r="P1342" s="33" t="n"/>
      <c r="Q1342" s="33" t="n"/>
      <c r="R1342" s="33">
        <f>H1342+K1342-O1342</f>
        <v/>
      </c>
      <c r="S1342" s="33" t="n"/>
      <c r="T1342" s="33" t="n"/>
      <c r="U1342" s="33" t="n"/>
      <c r="V1342" s="33" t="n"/>
      <c r="W1342" s="33" t="n"/>
      <c r="X1342" s="33" t="n"/>
      <c r="Y1342" s="33" t="n"/>
      <c r="Z1342" s="33" t="n"/>
      <c r="AA1342" s="4">
        <f>R1342-G1342</f>
        <v/>
      </c>
      <c r="AB1342" s="4">
        <f>G1342-R1342</f>
        <v/>
      </c>
      <c r="AC1342" s="33" t="n"/>
    </row>
    <row r="1343" ht="18.75" customHeight="1">
      <c r="A1343" s="35">
        <f>SUBTOTAL(103,$B$24:B1343)</f>
        <v/>
      </c>
      <c r="B1343" s="36" t="inlineStr">
        <is>
          <t>Мікрохвильва піч ELENBERG</t>
        </is>
      </c>
      <c r="C1343" s="37" t="inlineStr">
        <is>
          <t>к-т</t>
        </is>
      </c>
      <c r="D1343" s="33" t="n"/>
      <c r="E1343" s="33" t="n"/>
      <c r="F1343" s="33">
        <f>E1343*0.05</f>
        <v/>
      </c>
      <c r="G1343" s="33">
        <f>E1343+F1343</f>
        <v/>
      </c>
      <c r="H1343" s="33" t="n"/>
      <c r="I1343" s="33" t="n"/>
      <c r="J1343" s="33" t="n"/>
      <c r="K1343" s="33">
        <f>L1343+M1343+N1343</f>
        <v/>
      </c>
      <c r="L1343" s="33" t="n"/>
      <c r="M1343" s="33" t="n"/>
      <c r="N1343" s="33" t="n"/>
      <c r="O1343" s="33">
        <f>P1343+Q1343</f>
        <v/>
      </c>
      <c r="P1343" s="33" t="n"/>
      <c r="Q1343" s="33" t="n"/>
      <c r="R1343" s="33">
        <f>H1343+K1343-O1343</f>
        <v/>
      </c>
      <c r="S1343" s="33" t="n"/>
      <c r="T1343" s="33" t="n"/>
      <c r="U1343" s="33" t="n"/>
      <c r="V1343" s="33" t="n"/>
      <c r="W1343" s="33" t="n"/>
      <c r="X1343" s="33" t="n"/>
      <c r="Y1343" s="33" t="n"/>
      <c r="Z1343" s="33" t="n"/>
      <c r="AA1343" s="4">
        <f>R1343-G1343</f>
        <v/>
      </c>
      <c r="AB1343" s="4">
        <f>G1343-R1343</f>
        <v/>
      </c>
      <c r="AC1343" s="33" t="n"/>
    </row>
    <row r="1344" ht="18.75" customHeight="1">
      <c r="A1344" s="35">
        <f>SUBTOTAL(103,$B$24:B1344)</f>
        <v/>
      </c>
      <c r="B1344" s="36" t="inlineStr">
        <is>
          <t>Мікрохвильова піч Bosch</t>
        </is>
      </c>
      <c r="C1344" s="37" t="inlineStr">
        <is>
          <t>к-т</t>
        </is>
      </c>
      <c r="D1344" s="33" t="n"/>
      <c r="E1344" s="33" t="n"/>
      <c r="F1344" s="33">
        <f>E1344*0.05</f>
        <v/>
      </c>
      <c r="G1344" s="33">
        <f>E1344+F1344</f>
        <v/>
      </c>
      <c r="H1344" s="33" t="n"/>
      <c r="I1344" s="33" t="n"/>
      <c r="J1344" s="33" t="n"/>
      <c r="K1344" s="33">
        <f>L1344+M1344+N1344</f>
        <v/>
      </c>
      <c r="L1344" s="33" t="n"/>
      <c r="M1344" s="33" t="n"/>
      <c r="N1344" s="33" t="n"/>
      <c r="O1344" s="33">
        <f>P1344+Q1344</f>
        <v/>
      </c>
      <c r="P1344" s="33" t="n"/>
      <c r="Q1344" s="33" t="n"/>
      <c r="R1344" s="33">
        <f>H1344+K1344-O1344</f>
        <v/>
      </c>
      <c r="S1344" s="33" t="n"/>
      <c r="T1344" s="33" t="n"/>
      <c r="U1344" s="33" t="n"/>
      <c r="V1344" s="33" t="n"/>
      <c r="W1344" s="33" t="n"/>
      <c r="X1344" s="33" t="n"/>
      <c r="Y1344" s="33" t="n"/>
      <c r="Z1344" s="33" t="n"/>
      <c r="AA1344" s="4">
        <f>R1344-G1344</f>
        <v/>
      </c>
      <c r="AB1344" s="4">
        <f>G1344-R1344</f>
        <v/>
      </c>
      <c r="AC1344" s="33" t="n"/>
    </row>
    <row r="1345" ht="18.75" customHeight="1">
      <c r="A1345" s="35">
        <f>SUBTOTAL(103,$B$24:B1345)</f>
        <v/>
      </c>
      <c r="B1345" s="36" t="inlineStr">
        <is>
          <t>Піч мікрохвильова BEKO</t>
        </is>
      </c>
      <c r="C1345" s="37" t="inlineStr">
        <is>
          <t>к-т</t>
        </is>
      </c>
      <c r="D1345" s="33" t="n"/>
      <c r="E1345" s="33" t="n"/>
      <c r="F1345" s="33">
        <f>E1345*0.05</f>
        <v/>
      </c>
      <c r="G1345" s="33">
        <f>E1345+F1345</f>
        <v/>
      </c>
      <c r="H1345" s="33" t="n"/>
      <c r="I1345" s="33" t="n"/>
      <c r="J1345" s="33" t="n"/>
      <c r="K1345" s="33">
        <f>L1345+M1345+N1345</f>
        <v/>
      </c>
      <c r="L1345" s="33" t="n"/>
      <c r="M1345" s="33" t="n"/>
      <c r="N1345" s="33" t="n"/>
      <c r="O1345" s="33">
        <f>P1345+Q1345</f>
        <v/>
      </c>
      <c r="P1345" s="33" t="n"/>
      <c r="Q1345" s="33" t="n"/>
      <c r="R1345" s="33">
        <f>H1345+K1345-O1345</f>
        <v/>
      </c>
      <c r="S1345" s="33" t="n"/>
      <c r="T1345" s="33" t="n"/>
      <c r="U1345" s="33" t="n"/>
      <c r="V1345" s="33" t="n"/>
      <c r="W1345" s="33" t="n"/>
      <c r="X1345" s="33" t="n"/>
      <c r="Y1345" s="33" t="n"/>
      <c r="Z1345" s="33" t="n"/>
      <c r="AA1345" s="4">
        <f>R1345-G1345</f>
        <v/>
      </c>
      <c r="AB1345" s="4">
        <f>G1345-R1345</f>
        <v/>
      </c>
      <c r="AC1345" s="33" t="n"/>
    </row>
    <row r="1346" ht="18.75" customHeight="1">
      <c r="A1346" s="35">
        <f>SUBTOTAL(103,$B$24:B1346)</f>
        <v/>
      </c>
      <c r="B1346" s="36" t="inlineStr">
        <is>
          <t>Піч мікрохвильова BEKO MGC20100S</t>
        </is>
      </c>
      <c r="C1346" s="37" t="inlineStr">
        <is>
          <t>к-т</t>
        </is>
      </c>
      <c r="D1346" s="33" t="n"/>
      <c r="E1346" s="33" t="n"/>
      <c r="F1346" s="33">
        <f>E1346*0.05</f>
        <v/>
      </c>
      <c r="G1346" s="33">
        <f>E1346+F1346</f>
        <v/>
      </c>
      <c r="H1346" s="33" t="n"/>
      <c r="I1346" s="33" t="n"/>
      <c r="J1346" s="33" t="n"/>
      <c r="K1346" s="33">
        <f>L1346+M1346+N1346</f>
        <v/>
      </c>
      <c r="L1346" s="33" t="n"/>
      <c r="M1346" s="33" t="n"/>
      <c r="N1346" s="33" t="n"/>
      <c r="O1346" s="33">
        <f>P1346+Q1346</f>
        <v/>
      </c>
      <c r="P1346" s="33" t="n"/>
      <c r="Q1346" s="33" t="n"/>
      <c r="R1346" s="33">
        <f>H1346+K1346-O1346</f>
        <v/>
      </c>
      <c r="S1346" s="33" t="n"/>
      <c r="T1346" s="33" t="n"/>
      <c r="U1346" s="33" t="n"/>
      <c r="V1346" s="33" t="n"/>
      <c r="W1346" s="33" t="n"/>
      <c r="X1346" s="33" t="n"/>
      <c r="Y1346" s="33" t="n"/>
      <c r="Z1346" s="33" t="n"/>
      <c r="AA1346" s="4">
        <f>R1346-G1346</f>
        <v/>
      </c>
      <c r="AB1346" s="4">
        <f>G1346-R1346</f>
        <v/>
      </c>
      <c r="AC1346" s="33" t="n"/>
    </row>
    <row r="1347" ht="56.25" customHeight="1">
      <c r="A1347" s="35">
        <f>SUBTOTAL(103,$B$24:B1347)</f>
        <v/>
      </c>
      <c r="B1347" s="36" t="inlineStr">
        <is>
          <t>Піч мікрохвильова Toshiba MW-MM-20P(WH)-PMWP-MM20P (20 л/соло/механ)</t>
        </is>
      </c>
      <c r="C1347" s="37" t="inlineStr">
        <is>
          <t>к-т</t>
        </is>
      </c>
      <c r="D1347" s="33" t="n"/>
      <c r="E1347" s="33" t="n"/>
      <c r="F1347" s="33">
        <f>E1347*0.05</f>
        <v/>
      </c>
      <c r="G1347" s="33">
        <f>E1347+F1347</f>
        <v/>
      </c>
      <c r="H1347" s="33" t="n"/>
      <c r="I1347" s="33" t="n"/>
      <c r="J1347" s="33" t="n"/>
      <c r="K1347" s="33">
        <f>L1347+M1347+N1347</f>
        <v/>
      </c>
      <c r="L1347" s="33" t="n"/>
      <c r="M1347" s="33" t="n"/>
      <c r="N1347" s="33" t="n"/>
      <c r="O1347" s="33">
        <f>P1347+Q1347</f>
        <v/>
      </c>
      <c r="P1347" s="33" t="n"/>
      <c r="Q1347" s="33" t="n"/>
      <c r="R1347" s="33">
        <f>H1347+K1347-O1347</f>
        <v/>
      </c>
      <c r="S1347" s="33" t="n"/>
      <c r="T1347" s="33" t="n"/>
      <c r="U1347" s="33" t="n"/>
      <c r="V1347" s="33" t="n"/>
      <c r="W1347" s="33" t="n"/>
      <c r="X1347" s="33" t="n"/>
      <c r="Y1347" s="33" t="n"/>
      <c r="Z1347" s="33" t="n"/>
      <c r="AA1347" s="4">
        <f>R1347-G1347</f>
        <v/>
      </c>
      <c r="AB1347" s="4">
        <f>G1347-R1347</f>
        <v/>
      </c>
      <c r="AC1347" s="33" t="n"/>
    </row>
    <row r="1348" ht="37.5" customHeight="1">
      <c r="A1348" s="35">
        <f>SUBTOTAL(103,$B$24:B1348)</f>
        <v/>
      </c>
      <c r="B1348" s="36" t="inlineStr">
        <is>
          <t>Піч мікрохвильова Grunhelm 20MX701-W</t>
        </is>
      </c>
      <c r="C1348" s="37" t="inlineStr">
        <is>
          <t>к-т</t>
        </is>
      </c>
      <c r="D1348" s="33" t="n"/>
      <c r="E1348" s="33" t="n"/>
      <c r="F1348" s="33">
        <f>E1348*0.05</f>
        <v/>
      </c>
      <c r="G1348" s="33">
        <f>E1348+F1348</f>
        <v/>
      </c>
      <c r="H1348" s="33" t="n"/>
      <c r="I1348" s="33" t="n"/>
      <c r="J1348" s="33" t="n"/>
      <c r="K1348" s="33">
        <f>L1348+M1348+N1348</f>
        <v/>
      </c>
      <c r="L1348" s="33" t="n"/>
      <c r="M1348" s="33" t="n"/>
      <c r="N1348" s="33" t="n"/>
      <c r="O1348" s="33">
        <f>P1348+Q1348</f>
        <v/>
      </c>
      <c r="P1348" s="33" t="n"/>
      <c r="Q1348" s="33" t="n"/>
      <c r="R1348" s="33">
        <f>H1348+K1348-O1348</f>
        <v/>
      </c>
      <c r="S1348" s="33" t="n"/>
      <c r="T1348" s="33" t="n"/>
      <c r="U1348" s="33" t="n"/>
      <c r="V1348" s="33" t="n"/>
      <c r="W1348" s="33" t="n"/>
      <c r="X1348" s="33" t="n"/>
      <c r="Y1348" s="33" t="n"/>
      <c r="Z1348" s="33" t="n"/>
      <c r="AA1348" s="4">
        <f>R1348-G1348</f>
        <v/>
      </c>
      <c r="AB1348" s="4">
        <f>G1348-R1348</f>
        <v/>
      </c>
      <c r="AC1348" s="33" t="n"/>
    </row>
    <row r="1349" ht="37.5" customHeight="1">
      <c r="A1349" s="35">
        <f>SUBTOTAL(103,$B$24:B1349)</f>
        <v/>
      </c>
      <c r="B1349" s="36" t="inlineStr">
        <is>
          <t>Мікрохвильова піч Grunhelm 23MX923-S</t>
        </is>
      </c>
      <c r="C1349" s="37" t="inlineStr">
        <is>
          <t>к-т</t>
        </is>
      </c>
      <c r="D1349" s="33" t="n"/>
      <c r="E1349" s="33" t="n"/>
      <c r="F1349" s="33">
        <f>E1349*0.05</f>
        <v/>
      </c>
      <c r="G1349" s="33">
        <f>E1349+F1349</f>
        <v/>
      </c>
      <c r="H1349" s="33" t="n"/>
      <c r="I1349" s="33" t="n"/>
      <c r="J1349" s="33" t="n"/>
      <c r="K1349" s="33">
        <f>L1349+M1349+N1349</f>
        <v/>
      </c>
      <c r="L1349" s="33" t="n"/>
      <c r="M1349" s="33" t="n"/>
      <c r="N1349" s="33" t="n"/>
      <c r="O1349" s="33">
        <f>P1349+Q1349</f>
        <v/>
      </c>
      <c r="P1349" s="33" t="n"/>
      <c r="Q1349" s="33" t="n"/>
      <c r="R1349" s="33">
        <f>H1349+K1349-O1349</f>
        <v/>
      </c>
      <c r="S1349" s="33" t="n"/>
      <c r="T1349" s="33" t="n"/>
      <c r="U1349" s="33" t="n"/>
      <c r="V1349" s="33" t="n"/>
      <c r="W1349" s="33" t="n"/>
      <c r="X1349" s="33" t="n"/>
      <c r="Y1349" s="33" t="n"/>
      <c r="Z1349" s="33" t="n"/>
      <c r="AA1349" s="4">
        <f>R1349-G1349</f>
        <v/>
      </c>
      <c r="AB1349" s="4">
        <f>G1349-R1349</f>
        <v/>
      </c>
      <c r="AC1349" s="33" t="n"/>
    </row>
    <row r="1350" ht="18.75" customHeight="1">
      <c r="A1350" s="35">
        <f>SUBTOTAL(103,$B$24:B1350)</f>
        <v/>
      </c>
      <c r="B1350" s="36" t="inlineStr">
        <is>
          <t>Мікрохвильова піч MIRTA MW-2504W</t>
        </is>
      </c>
      <c r="C1350" s="37" t="inlineStr">
        <is>
          <t>к-т</t>
        </is>
      </c>
      <c r="D1350" s="33" t="n"/>
      <c r="E1350" s="33" t="n"/>
      <c r="F1350" s="33">
        <f>E1350*0.05</f>
        <v/>
      </c>
      <c r="G1350" s="33">
        <f>E1350+F1350</f>
        <v/>
      </c>
      <c r="H1350" s="33" t="n"/>
      <c r="I1350" s="33" t="n"/>
      <c r="J1350" s="33" t="n"/>
      <c r="K1350" s="33">
        <f>L1350+M1350+N1350</f>
        <v/>
      </c>
      <c r="L1350" s="33" t="n"/>
      <c r="M1350" s="33" t="n"/>
      <c r="N1350" s="33" t="n"/>
      <c r="O1350" s="33">
        <f>P1350+Q1350</f>
        <v/>
      </c>
      <c r="P1350" s="33" t="n"/>
      <c r="Q1350" s="33" t="n"/>
      <c r="R1350" s="33">
        <f>H1350+K1350-O1350</f>
        <v/>
      </c>
      <c r="S1350" s="33" t="n"/>
      <c r="T1350" s="33" t="n"/>
      <c r="U1350" s="33" t="n"/>
      <c r="V1350" s="33" t="n"/>
      <c r="W1350" s="33" t="n"/>
      <c r="X1350" s="33" t="n"/>
      <c r="Y1350" s="33" t="n"/>
      <c r="Z1350" s="33" t="n"/>
      <c r="AA1350" s="4">
        <f>R1350-G1350</f>
        <v/>
      </c>
      <c r="AB1350" s="4">
        <f>G1350-R1350</f>
        <v/>
      </c>
      <c r="AC1350" s="33" t="n"/>
    </row>
    <row r="1351" ht="18.75" customHeight="1">
      <c r="A1351" s="35">
        <f>SUBTOTAL(103,$B$24:B1351)</f>
        <v/>
      </c>
      <c r="B1351" s="36" t="inlineStr">
        <is>
          <t>Мікрохвильова піч Maestro MR-730</t>
        </is>
      </c>
      <c r="C1351" s="37" t="inlineStr">
        <is>
          <t>к-т</t>
        </is>
      </c>
      <c r="D1351" s="33" t="n"/>
      <c r="E1351" s="33" t="n"/>
      <c r="F1351" s="33">
        <f>E1351*0.05</f>
        <v/>
      </c>
      <c r="G1351" s="33">
        <f>E1351+F1351</f>
        <v/>
      </c>
      <c r="H1351" s="33" t="n"/>
      <c r="I1351" s="33" t="n"/>
      <c r="J1351" s="33" t="n"/>
      <c r="K1351" s="33">
        <f>L1351+M1351+N1351</f>
        <v/>
      </c>
      <c r="L1351" s="33" t="n"/>
      <c r="M1351" s="33" t="n"/>
      <c r="N1351" s="33" t="n"/>
      <c r="O1351" s="33">
        <f>P1351+Q1351</f>
        <v/>
      </c>
      <c r="P1351" s="33" t="n"/>
      <c r="Q1351" s="33" t="n"/>
      <c r="R1351" s="33">
        <f>H1351+K1351-O1351</f>
        <v/>
      </c>
      <c r="S1351" s="33" t="n"/>
      <c r="T1351" s="33" t="n"/>
      <c r="U1351" s="33" t="n"/>
      <c r="V1351" s="33" t="n"/>
      <c r="W1351" s="33" t="n"/>
      <c r="X1351" s="33" t="n"/>
      <c r="Y1351" s="33" t="n"/>
      <c r="Z1351" s="33" t="n"/>
      <c r="AA1351" s="4">
        <f>R1351-G1351</f>
        <v/>
      </c>
      <c r="AB1351" s="4">
        <f>G1351-R1351</f>
        <v/>
      </c>
      <c r="AC1351" s="33" t="n"/>
    </row>
    <row r="1352" ht="18.75" customHeight="1">
      <c r="A1352" s="35">
        <f>SUBTOTAL(103,$B$24:B1352)</f>
        <v/>
      </c>
      <c r="B1352" s="36" t="inlineStr">
        <is>
          <t>Піч мікрохвильова Saturn ST-MW8160</t>
        </is>
      </c>
      <c r="C1352" s="37" t="inlineStr">
        <is>
          <t>к-т</t>
        </is>
      </c>
      <c r="D1352" s="33" t="n"/>
      <c r="E1352" s="33" t="n"/>
      <c r="F1352" s="33">
        <f>E1352*0.05</f>
        <v/>
      </c>
      <c r="G1352" s="33">
        <f>E1352+F1352</f>
        <v/>
      </c>
      <c r="H1352" s="33" t="n"/>
      <c r="I1352" s="33" t="n"/>
      <c r="J1352" s="33" t="n"/>
      <c r="K1352" s="33">
        <f>L1352+M1352+N1352</f>
        <v/>
      </c>
      <c r="L1352" s="33" t="n"/>
      <c r="M1352" s="33" t="n"/>
      <c r="N1352" s="33" t="n"/>
      <c r="O1352" s="33">
        <f>P1352+Q1352</f>
        <v/>
      </c>
      <c r="P1352" s="33" t="n"/>
      <c r="Q1352" s="33" t="n"/>
      <c r="R1352" s="33">
        <f>H1352+K1352-O1352</f>
        <v/>
      </c>
      <c r="S1352" s="33" t="n"/>
      <c r="T1352" s="33" t="n"/>
      <c r="U1352" s="33" t="n"/>
      <c r="V1352" s="33" t="n"/>
      <c r="W1352" s="33" t="n"/>
      <c r="X1352" s="33" t="n"/>
      <c r="Y1352" s="33" t="n"/>
      <c r="Z1352" s="33" t="n"/>
      <c r="AA1352" s="4">
        <f>R1352-G1352</f>
        <v/>
      </c>
      <c r="AB1352" s="4">
        <f>G1352-R1352</f>
        <v/>
      </c>
      <c r="AC1352" s="33" t="n"/>
    </row>
    <row r="1353" ht="18.75" customHeight="1">
      <c r="A1353" s="35">
        <f>SUBTOTAL(103,$B$24:B1353)</f>
        <v/>
      </c>
      <c r="B1353" s="36" t="inlineStr">
        <is>
          <t>Мікрохвильва піч ARDESTO</t>
        </is>
      </c>
      <c r="C1353" s="37" t="inlineStr">
        <is>
          <t>к-т</t>
        </is>
      </c>
      <c r="D1353" s="33" t="n"/>
      <c r="E1353" s="33" t="n"/>
      <c r="F1353" s="33">
        <f>E1353*0.05</f>
        <v/>
      </c>
      <c r="G1353" s="33">
        <f>E1353+F1353</f>
        <v/>
      </c>
      <c r="H1353" s="33" t="n"/>
      <c r="I1353" s="33" t="n"/>
      <c r="J1353" s="33" t="n"/>
      <c r="K1353" s="33">
        <f>L1353+M1353+N1353</f>
        <v/>
      </c>
      <c r="L1353" s="33" t="n"/>
      <c r="M1353" s="33" t="n"/>
      <c r="N1353" s="33" t="n"/>
      <c r="O1353" s="33">
        <f>P1353+Q1353</f>
        <v/>
      </c>
      <c r="P1353" s="33" t="n"/>
      <c r="Q1353" s="33" t="n"/>
      <c r="R1353" s="33">
        <f>H1353+K1353-O1353</f>
        <v/>
      </c>
      <c r="S1353" s="33" t="n"/>
      <c r="T1353" s="33" t="n"/>
      <c r="U1353" s="33" t="n"/>
      <c r="V1353" s="33" t="n"/>
      <c r="W1353" s="33" t="n"/>
      <c r="X1353" s="33" t="n"/>
      <c r="Y1353" s="33" t="n"/>
      <c r="Z1353" s="33" t="n"/>
      <c r="AA1353" s="4">
        <f>R1353-G1353</f>
        <v/>
      </c>
      <c r="AB1353" s="4">
        <f>G1353-R1353</f>
        <v/>
      </c>
      <c r="AC1353" s="33" t="n"/>
    </row>
    <row r="1354" ht="18.75" customHeight="1">
      <c r="A1354" s="35">
        <f>SUBTOTAL(103,$B$24:B1354)</f>
        <v/>
      </c>
      <c r="B1354" s="36" t="inlineStr">
        <is>
          <t>Мікрохвильова піч CASO</t>
        </is>
      </c>
      <c r="C1354" s="37" t="inlineStr">
        <is>
          <t>к-т</t>
        </is>
      </c>
      <c r="D1354" s="33" t="n"/>
      <c r="E1354" s="33" t="n"/>
      <c r="F1354" s="33">
        <f>E1354*0.05</f>
        <v/>
      </c>
      <c r="G1354" s="33">
        <f>E1354+F1354</f>
        <v/>
      </c>
      <c r="H1354" s="33" t="n"/>
      <c r="I1354" s="33" t="n"/>
      <c r="J1354" s="33" t="n"/>
      <c r="K1354" s="33">
        <f>L1354+M1354+N1354</f>
        <v/>
      </c>
      <c r="L1354" s="33" t="n"/>
      <c r="M1354" s="33" t="n"/>
      <c r="N1354" s="33" t="n"/>
      <c r="O1354" s="33">
        <f>P1354+Q1354</f>
        <v/>
      </c>
      <c r="P1354" s="33" t="n"/>
      <c r="Q1354" s="33" t="n"/>
      <c r="R1354" s="33">
        <f>H1354+K1354-O1354</f>
        <v/>
      </c>
      <c r="S1354" s="33" t="n"/>
      <c r="T1354" s="33" t="n"/>
      <c r="U1354" s="33" t="n"/>
      <c r="V1354" s="33" t="n"/>
      <c r="W1354" s="33" t="n"/>
      <c r="X1354" s="33" t="n"/>
      <c r="Y1354" s="33" t="n"/>
      <c r="Z1354" s="33" t="n"/>
      <c r="AA1354" s="4">
        <f>R1354-G1354</f>
        <v/>
      </c>
      <c r="AB1354" s="4">
        <f>G1354-R1354</f>
        <v/>
      </c>
      <c r="AC1354" s="33" t="n"/>
    </row>
    <row r="1355" ht="18.75" customHeight="1">
      <c r="A1355" s="35">
        <f>SUBTOTAL(103,$B$24:B1355)</f>
        <v/>
      </c>
      <c r="B1355" s="36" t="inlineStr">
        <is>
          <t>Мікрохвильова піч Соло</t>
        </is>
      </c>
      <c r="C1355" s="37" t="inlineStr">
        <is>
          <t>к-т</t>
        </is>
      </c>
      <c r="D1355" s="33" t="n"/>
      <c r="E1355" s="33" t="n"/>
      <c r="F1355" s="33">
        <f>E1355*0.05</f>
        <v/>
      </c>
      <c r="G1355" s="33">
        <f>E1355+F1355</f>
        <v/>
      </c>
      <c r="H1355" s="33" t="n"/>
      <c r="I1355" s="33" t="n"/>
      <c r="J1355" s="33" t="n"/>
      <c r="K1355" s="33">
        <f>L1355+M1355+N1355</f>
        <v/>
      </c>
      <c r="L1355" s="33" t="n"/>
      <c r="M1355" s="33" t="n"/>
      <c r="N1355" s="33" t="n"/>
      <c r="O1355" s="33">
        <f>P1355+Q1355</f>
        <v/>
      </c>
      <c r="P1355" s="33" t="n"/>
      <c r="Q1355" s="33" t="n"/>
      <c r="R1355" s="33">
        <f>H1355+K1355-O1355</f>
        <v/>
      </c>
      <c r="S1355" s="33" t="n"/>
      <c r="T1355" s="33" t="n"/>
      <c r="U1355" s="33" t="n"/>
      <c r="V1355" s="33" t="n"/>
      <c r="W1355" s="33" t="n"/>
      <c r="X1355" s="33" t="n"/>
      <c r="Y1355" s="33" t="n"/>
      <c r="Z1355" s="33" t="n"/>
      <c r="AA1355" s="4">
        <f>R1355-G1355</f>
        <v/>
      </c>
      <c r="AB1355" s="4">
        <f>G1355-R1355</f>
        <v/>
      </c>
      <c r="AC1355" s="33" t="n"/>
    </row>
    <row r="1356" ht="18.75" customHeight="1">
      <c r="A1356" s="35">
        <f>SUBTOTAL(103,$B$24:B1356)</f>
        <v/>
      </c>
      <c r="B1356" s="36" t="inlineStr">
        <is>
          <t>Мікрохвильова піч Panasonic</t>
        </is>
      </c>
      <c r="C1356" s="37" t="inlineStr">
        <is>
          <t>к-т</t>
        </is>
      </c>
      <c r="D1356" s="33" t="n"/>
      <c r="E1356" s="33" t="n"/>
      <c r="F1356" s="33">
        <f>E1356*0.05</f>
        <v/>
      </c>
      <c r="G1356" s="33">
        <f>E1356+F1356</f>
        <v/>
      </c>
      <c r="H1356" s="33" t="n"/>
      <c r="I1356" s="33" t="n"/>
      <c r="J1356" s="33" t="n"/>
      <c r="K1356" s="33">
        <f>L1356+M1356+N1356</f>
        <v/>
      </c>
      <c r="L1356" s="33" t="n"/>
      <c r="M1356" s="33" t="n"/>
      <c r="N1356" s="33" t="n"/>
      <c r="O1356" s="33">
        <f>P1356+Q1356</f>
        <v/>
      </c>
      <c r="P1356" s="33" t="n"/>
      <c r="Q1356" s="33" t="n"/>
      <c r="R1356" s="33">
        <f>H1356+K1356-O1356</f>
        <v/>
      </c>
      <c r="S1356" s="33" t="n"/>
      <c r="T1356" s="33" t="n"/>
      <c r="U1356" s="33" t="n"/>
      <c r="V1356" s="33" t="n"/>
      <c r="W1356" s="33" t="n"/>
      <c r="X1356" s="33" t="n"/>
      <c r="Y1356" s="33" t="n"/>
      <c r="Z1356" s="33" t="n"/>
      <c r="AA1356" s="4">
        <f>R1356-G1356</f>
        <v/>
      </c>
      <c r="AB1356" s="4">
        <f>G1356-R1356</f>
        <v/>
      </c>
      <c r="AC1356" s="33" t="n"/>
    </row>
    <row r="1357" ht="18.75" customHeight="1">
      <c r="A1357" s="35">
        <f>SUBTOTAL(103,$B$24:B1357)</f>
        <v/>
      </c>
      <c r="B1357" s="36" t="inlineStr">
        <is>
          <t>Мікрохвильова піч Whirpool</t>
        </is>
      </c>
      <c r="C1357" s="37" t="inlineStr">
        <is>
          <t>к-т</t>
        </is>
      </c>
      <c r="D1357" s="33" t="n"/>
      <c r="E1357" s="33" t="n"/>
      <c r="F1357" s="33">
        <f>E1357*0.05</f>
        <v/>
      </c>
      <c r="G1357" s="33">
        <f>E1357+F1357</f>
        <v/>
      </c>
      <c r="H1357" s="33" t="n"/>
      <c r="I1357" s="33" t="n"/>
      <c r="J1357" s="33" t="n"/>
      <c r="K1357" s="33">
        <f>L1357+M1357+N1357</f>
        <v/>
      </c>
      <c r="L1357" s="33" t="n"/>
      <c r="M1357" s="33" t="n"/>
      <c r="N1357" s="33" t="n"/>
      <c r="O1357" s="33">
        <f>P1357+Q1357</f>
        <v/>
      </c>
      <c r="P1357" s="33" t="n"/>
      <c r="Q1357" s="33" t="n"/>
      <c r="R1357" s="33">
        <f>H1357+K1357-O1357</f>
        <v/>
      </c>
      <c r="S1357" s="33" t="n"/>
      <c r="T1357" s="33" t="n"/>
      <c r="U1357" s="33" t="n"/>
      <c r="V1357" s="33" t="n"/>
      <c r="W1357" s="33" t="n"/>
      <c r="X1357" s="33" t="n"/>
      <c r="Y1357" s="33" t="n"/>
      <c r="Z1357" s="33" t="n"/>
      <c r="AA1357" s="4">
        <f>R1357-G1357</f>
        <v/>
      </c>
      <c r="AB1357" s="4">
        <f>G1357-R1357</f>
        <v/>
      </c>
      <c r="AC1357" s="33" t="n"/>
    </row>
    <row r="1358" ht="37.5" customHeight="1">
      <c r="A1358" s="35">
        <f>SUBTOTAL(103,$B$24:B1358)</f>
        <v/>
      </c>
      <c r="B1358" s="36" t="inlineStr">
        <is>
          <t>Мікрохвильова піч Whirpool MWP-101-B</t>
        </is>
      </c>
      <c r="C1358" s="37" t="inlineStr">
        <is>
          <t>к-т</t>
        </is>
      </c>
      <c r="D1358" s="33" t="n"/>
      <c r="E1358" s="33" t="n"/>
      <c r="F1358" s="33">
        <f>E1358*0.05</f>
        <v/>
      </c>
      <c r="G1358" s="33">
        <f>E1358+F1358</f>
        <v/>
      </c>
      <c r="H1358" s="33" t="n"/>
      <c r="I1358" s="33" t="n"/>
      <c r="J1358" s="33" t="n"/>
      <c r="K1358" s="33">
        <f>L1358+M1358+N1358</f>
        <v/>
      </c>
      <c r="L1358" s="33" t="n"/>
      <c r="M1358" s="33" t="n"/>
      <c r="N1358" s="33" t="n"/>
      <c r="O1358" s="33">
        <f>P1358+Q1358</f>
        <v/>
      </c>
      <c r="P1358" s="33" t="n"/>
      <c r="Q1358" s="33" t="n"/>
      <c r="R1358" s="33">
        <f>H1358+K1358-O1358</f>
        <v/>
      </c>
      <c r="S1358" s="33" t="n"/>
      <c r="T1358" s="33" t="n"/>
      <c r="U1358" s="33" t="n"/>
      <c r="V1358" s="33" t="n"/>
      <c r="W1358" s="33" t="n"/>
      <c r="X1358" s="33" t="n"/>
      <c r="Y1358" s="33" t="n"/>
      <c r="Z1358" s="33" t="n"/>
      <c r="AA1358" s="4">
        <f>R1358-G1358</f>
        <v/>
      </c>
      <c r="AB1358" s="4">
        <f>G1358-R1358</f>
        <v/>
      </c>
      <c r="AC1358" s="33" t="n"/>
    </row>
    <row r="1359" ht="18.75" customHeight="1">
      <c r="A1359" s="35">
        <f>SUBTOTAL(103,$B$24:B1359)</f>
        <v/>
      </c>
      <c r="B1359" s="36" t="inlineStr">
        <is>
          <t>Мікрохвильова піч Delonghl</t>
        </is>
      </c>
      <c r="C1359" s="37" t="inlineStr">
        <is>
          <t>к-т</t>
        </is>
      </c>
      <c r="D1359" s="33" t="n"/>
      <c r="E1359" s="33" t="n"/>
      <c r="F1359" s="33">
        <f>E1359*0.05</f>
        <v/>
      </c>
      <c r="G1359" s="33">
        <f>E1359+F1359</f>
        <v/>
      </c>
      <c r="H1359" s="33" t="n"/>
      <c r="I1359" s="33" t="n"/>
      <c r="J1359" s="33" t="n"/>
      <c r="K1359" s="33">
        <f>L1359+M1359+N1359</f>
        <v/>
      </c>
      <c r="L1359" s="33" t="n"/>
      <c r="M1359" s="33" t="n"/>
      <c r="N1359" s="33" t="n"/>
      <c r="O1359" s="33">
        <f>P1359+Q1359</f>
        <v/>
      </c>
      <c r="P1359" s="33" t="n"/>
      <c r="Q1359" s="33" t="n"/>
      <c r="R1359" s="33">
        <f>H1359+K1359-O1359</f>
        <v/>
      </c>
      <c r="S1359" s="33" t="n"/>
      <c r="T1359" s="33" t="n"/>
      <c r="U1359" s="33" t="n"/>
      <c r="V1359" s="33" t="n"/>
      <c r="W1359" s="33" t="n"/>
      <c r="X1359" s="33" t="n"/>
      <c r="Y1359" s="33" t="n"/>
      <c r="Z1359" s="33" t="n"/>
      <c r="AA1359" s="4">
        <f>R1359-G1359</f>
        <v/>
      </c>
      <c r="AB1359" s="4">
        <f>G1359-R1359</f>
        <v/>
      </c>
      <c r="AC1359" s="33" t="n"/>
    </row>
    <row r="1360" ht="18.75" customHeight="1">
      <c r="A1360" s="35">
        <f>SUBTOTAL(103,$B$24:B1360)</f>
        <v/>
      </c>
      <c r="B1360" s="36" t="inlineStr">
        <is>
          <t>Мікрохвильова піч Delonghl MW30F</t>
        </is>
      </c>
      <c r="C1360" s="37" t="inlineStr">
        <is>
          <t>к-т</t>
        </is>
      </c>
      <c r="D1360" s="33" t="n"/>
      <c r="E1360" s="33" t="n"/>
      <c r="F1360" s="33">
        <f>E1360*0.05</f>
        <v/>
      </c>
      <c r="G1360" s="33">
        <f>E1360+F1360</f>
        <v/>
      </c>
      <c r="H1360" s="33" t="n"/>
      <c r="I1360" s="33" t="n"/>
      <c r="J1360" s="33" t="n"/>
      <c r="K1360" s="33">
        <f>L1360+M1360+N1360</f>
        <v/>
      </c>
      <c r="L1360" s="33" t="n"/>
      <c r="M1360" s="33" t="n"/>
      <c r="N1360" s="33" t="n"/>
      <c r="O1360" s="33">
        <f>P1360+Q1360</f>
        <v/>
      </c>
      <c r="P1360" s="33" t="n"/>
      <c r="Q1360" s="33" t="n"/>
      <c r="R1360" s="33">
        <f>H1360+K1360-O1360</f>
        <v/>
      </c>
      <c r="S1360" s="33" t="n"/>
      <c r="T1360" s="33" t="n"/>
      <c r="U1360" s="33" t="n"/>
      <c r="V1360" s="33" t="n"/>
      <c r="W1360" s="33" t="n"/>
      <c r="X1360" s="33" t="n"/>
      <c r="Y1360" s="33" t="n"/>
      <c r="Z1360" s="33" t="n"/>
      <c r="AA1360" s="4">
        <f>R1360-G1360</f>
        <v/>
      </c>
      <c r="AB1360" s="4">
        <f>G1360-R1360</f>
        <v/>
      </c>
      <c r="AC1360" s="33" t="n"/>
    </row>
    <row r="1361" ht="18.75" customHeight="1">
      <c r="A1361" s="35">
        <f>SUBTOTAL(103,$B$24:B1361)</f>
        <v/>
      </c>
      <c r="B1361" s="36" t="inlineStr">
        <is>
          <t>Мікрохвильова піч Daewoo</t>
        </is>
      </c>
      <c r="C1361" s="37" t="inlineStr">
        <is>
          <t>к-т</t>
        </is>
      </c>
      <c r="D1361" s="33" t="n"/>
      <c r="E1361" s="33" t="n"/>
      <c r="F1361" s="33">
        <f>E1361*0.05</f>
        <v/>
      </c>
      <c r="G1361" s="33">
        <f>E1361+F1361</f>
        <v/>
      </c>
      <c r="H1361" s="33" t="n"/>
      <c r="I1361" s="33" t="n"/>
      <c r="J1361" s="33" t="n"/>
      <c r="K1361" s="33">
        <f>L1361+M1361+N1361</f>
        <v/>
      </c>
      <c r="L1361" s="33" t="n"/>
      <c r="M1361" s="33" t="n"/>
      <c r="N1361" s="33" t="n"/>
      <c r="O1361" s="33">
        <f>P1361+Q1361</f>
        <v/>
      </c>
      <c r="P1361" s="33" t="n"/>
      <c r="Q1361" s="33" t="n"/>
      <c r="R1361" s="33">
        <f>H1361+K1361-O1361</f>
        <v/>
      </c>
      <c r="S1361" s="33" t="n"/>
      <c r="T1361" s="33" t="n"/>
      <c r="U1361" s="33" t="n"/>
      <c r="V1361" s="33" t="n"/>
      <c r="W1361" s="33" t="n"/>
      <c r="X1361" s="33" t="n"/>
      <c r="Y1361" s="33" t="n"/>
      <c r="Z1361" s="33" t="n"/>
      <c r="AA1361" s="4">
        <f>R1361-G1361</f>
        <v/>
      </c>
      <c r="AB1361" s="4">
        <f>G1361-R1361</f>
        <v/>
      </c>
      <c r="AC1361" s="33" t="n"/>
    </row>
    <row r="1362" ht="18.75" customHeight="1">
      <c r="A1362" s="35">
        <f>SUBTOTAL(103,$B$24:B1362)</f>
        <v/>
      </c>
      <c r="B1362" s="36" t="inlineStr">
        <is>
          <t>Мікрохвильова піч Daewoo kor-6621BW</t>
        </is>
      </c>
      <c r="C1362" s="37" t="inlineStr">
        <is>
          <t>к-т</t>
        </is>
      </c>
      <c r="D1362" s="33" t="n"/>
      <c r="E1362" s="33" t="n"/>
      <c r="F1362" s="33">
        <f>E1362*0.05</f>
        <v/>
      </c>
      <c r="G1362" s="33">
        <f>E1362+F1362</f>
        <v/>
      </c>
      <c r="H1362" s="33" t="n"/>
      <c r="I1362" s="33" t="n"/>
      <c r="J1362" s="33" t="n"/>
      <c r="K1362" s="33">
        <f>L1362+M1362+N1362</f>
        <v/>
      </c>
      <c r="L1362" s="33" t="n"/>
      <c r="M1362" s="33" t="n"/>
      <c r="N1362" s="33" t="n"/>
      <c r="O1362" s="33">
        <f>P1362+Q1362</f>
        <v/>
      </c>
      <c r="P1362" s="33" t="n"/>
      <c r="Q1362" s="33" t="n"/>
      <c r="R1362" s="33">
        <f>H1362+K1362-O1362</f>
        <v/>
      </c>
      <c r="S1362" s="33" t="n"/>
      <c r="T1362" s="33" t="n"/>
      <c r="U1362" s="33" t="n"/>
      <c r="V1362" s="33" t="n"/>
      <c r="W1362" s="33" t="n"/>
      <c r="X1362" s="33" t="n"/>
      <c r="Y1362" s="33" t="n"/>
      <c r="Z1362" s="33" t="n"/>
      <c r="AA1362" s="4">
        <f>R1362-G1362</f>
        <v/>
      </c>
      <c r="AB1362" s="4">
        <f>G1362-R1362</f>
        <v/>
      </c>
      <c r="AC1362" s="33" t="n"/>
    </row>
    <row r="1363" ht="18.75" customHeight="1">
      <c r="A1363" s="35">
        <f>SUBTOTAL(103,$B$24:B1363)</f>
        <v/>
      </c>
      <c r="B1363" s="36" t="inlineStr">
        <is>
          <t>Мікрохвильова піч LG</t>
        </is>
      </c>
      <c r="C1363" s="37" t="inlineStr">
        <is>
          <t>к-т</t>
        </is>
      </c>
      <c r="D1363" s="33" t="n"/>
      <c r="E1363" s="33" t="n"/>
      <c r="F1363" s="33">
        <f>E1363*0.05</f>
        <v/>
      </c>
      <c r="G1363" s="33">
        <f>E1363+F1363</f>
        <v/>
      </c>
      <c r="H1363" s="33" t="n"/>
      <c r="I1363" s="33" t="n"/>
      <c r="J1363" s="33" t="n"/>
      <c r="K1363" s="33">
        <f>L1363+M1363+N1363</f>
        <v/>
      </c>
      <c r="L1363" s="33" t="n"/>
      <c r="M1363" s="33" t="n"/>
      <c r="N1363" s="33" t="n"/>
      <c r="O1363" s="33">
        <f>P1363+Q1363</f>
        <v/>
      </c>
      <c r="P1363" s="33" t="n"/>
      <c r="Q1363" s="33" t="n"/>
      <c r="R1363" s="33">
        <f>H1363+K1363-O1363</f>
        <v/>
      </c>
      <c r="S1363" s="33" t="n"/>
      <c r="T1363" s="33" t="n"/>
      <c r="U1363" s="33" t="n"/>
      <c r="V1363" s="33" t="n"/>
      <c r="W1363" s="33" t="n"/>
      <c r="X1363" s="33" t="n"/>
      <c r="Y1363" s="33" t="n"/>
      <c r="Z1363" s="33" t="n"/>
      <c r="AA1363" s="4">
        <f>R1363-G1363</f>
        <v/>
      </c>
      <c r="AB1363" s="4">
        <f>G1363-R1363</f>
        <v/>
      </c>
      <c r="AC1363" s="33" t="n"/>
    </row>
    <row r="1364" ht="18.75" customHeight="1">
      <c r="A1364" s="35">
        <f>SUBTOTAL(103,$B$24:B1364)</f>
        <v/>
      </c>
      <c r="B1364" s="36" t="inlineStr">
        <is>
          <t>Мікрохвильова піч LG MS 2042 DY</t>
        </is>
      </c>
      <c r="C1364" s="37" t="inlineStr">
        <is>
          <t>к-т</t>
        </is>
      </c>
      <c r="D1364" s="33" t="n"/>
      <c r="E1364" s="33" t="n"/>
      <c r="F1364" s="33">
        <f>E1364*0.05</f>
        <v/>
      </c>
      <c r="G1364" s="33">
        <f>E1364+F1364</f>
        <v/>
      </c>
      <c r="H1364" s="33" t="n"/>
      <c r="I1364" s="33" t="n"/>
      <c r="J1364" s="33" t="n"/>
      <c r="K1364" s="33">
        <f>L1364+M1364+N1364</f>
        <v/>
      </c>
      <c r="L1364" s="33" t="n"/>
      <c r="M1364" s="33" t="n"/>
      <c r="N1364" s="33" t="n"/>
      <c r="O1364" s="33">
        <f>P1364+Q1364</f>
        <v/>
      </c>
      <c r="P1364" s="33" t="n"/>
      <c r="Q1364" s="33" t="n"/>
      <c r="R1364" s="33">
        <f>H1364+K1364-O1364</f>
        <v/>
      </c>
      <c r="S1364" s="33" t="n"/>
      <c r="T1364" s="33" t="n"/>
      <c r="U1364" s="33" t="n"/>
      <c r="V1364" s="33" t="n"/>
      <c r="W1364" s="33" t="n"/>
      <c r="X1364" s="33" t="n"/>
      <c r="Y1364" s="33" t="n"/>
      <c r="Z1364" s="33" t="n"/>
      <c r="AA1364" s="4">
        <f>R1364-G1364</f>
        <v/>
      </c>
      <c r="AB1364" s="4">
        <f>G1364-R1364</f>
        <v/>
      </c>
      <c r="AC1364" s="33" t="n"/>
    </row>
    <row r="1365" ht="18.75" customHeight="1">
      <c r="A1365" s="35">
        <f>SUBTOTAL(103,$B$24:B1365)</f>
        <v/>
      </c>
      <c r="B1365" s="36" t="inlineStr">
        <is>
          <t>Мікрохвильова піч LIBERTON</t>
        </is>
      </c>
      <c r="C1365" s="37" t="inlineStr">
        <is>
          <t>к-т</t>
        </is>
      </c>
      <c r="D1365" s="33" t="n"/>
      <c r="E1365" s="33" t="n"/>
      <c r="F1365" s="33">
        <f>E1365*0.05</f>
        <v/>
      </c>
      <c r="G1365" s="33">
        <f>E1365+F1365</f>
        <v/>
      </c>
      <c r="H1365" s="33" t="n"/>
      <c r="I1365" s="33" t="n"/>
      <c r="J1365" s="33" t="n"/>
      <c r="K1365" s="33">
        <f>L1365+M1365+N1365</f>
        <v/>
      </c>
      <c r="L1365" s="33" t="n"/>
      <c r="M1365" s="33" t="n"/>
      <c r="N1365" s="33" t="n"/>
      <c r="O1365" s="33">
        <f>P1365+Q1365</f>
        <v/>
      </c>
      <c r="P1365" s="33" t="n"/>
      <c r="Q1365" s="33" t="n"/>
      <c r="R1365" s="33">
        <f>H1365+K1365-O1365</f>
        <v/>
      </c>
      <c r="S1365" s="33" t="n"/>
      <c r="T1365" s="33" t="n"/>
      <c r="U1365" s="33" t="n"/>
      <c r="V1365" s="33" t="n"/>
      <c r="W1365" s="33" t="n"/>
      <c r="X1365" s="33" t="n"/>
      <c r="Y1365" s="33" t="n"/>
      <c r="Z1365" s="33" t="n"/>
      <c r="AA1365" s="4">
        <f>R1365-G1365</f>
        <v/>
      </c>
      <c r="AB1365" s="4">
        <f>G1365-R1365</f>
        <v/>
      </c>
      <c r="AC1365" s="33" t="n"/>
    </row>
    <row r="1366" ht="18.75" customHeight="1">
      <c r="A1366" s="35">
        <f>SUBTOTAL(103,$B$24:B1366)</f>
        <v/>
      </c>
      <c r="B1366" s="36" t="inlineStr">
        <is>
          <t>Мікрохвильова піч Zelmer 29z023</t>
        </is>
      </c>
      <c r="C1366" s="37" t="inlineStr">
        <is>
          <t>к-т</t>
        </is>
      </c>
      <c r="D1366" s="33" t="n"/>
      <c r="E1366" s="33" t="n"/>
      <c r="F1366" s="33">
        <f>E1366*0.05</f>
        <v/>
      </c>
      <c r="G1366" s="33">
        <f>E1366+F1366</f>
        <v/>
      </c>
      <c r="H1366" s="33" t="n"/>
      <c r="I1366" s="33" t="n"/>
      <c r="J1366" s="33" t="n"/>
      <c r="K1366" s="33">
        <f>L1366+M1366+N1366</f>
        <v/>
      </c>
      <c r="L1366" s="33" t="n"/>
      <c r="M1366" s="33" t="n"/>
      <c r="N1366" s="33" t="n"/>
      <c r="O1366" s="33">
        <f>P1366+Q1366</f>
        <v/>
      </c>
      <c r="P1366" s="33" t="n"/>
      <c r="Q1366" s="33" t="n"/>
      <c r="R1366" s="33">
        <f>H1366+K1366-O1366</f>
        <v/>
      </c>
      <c r="S1366" s="33" t="n"/>
      <c r="T1366" s="33" t="n"/>
      <c r="U1366" s="33" t="n"/>
      <c r="V1366" s="33" t="n"/>
      <c r="W1366" s="33" t="n"/>
      <c r="X1366" s="33" t="n"/>
      <c r="Y1366" s="33" t="n"/>
      <c r="Z1366" s="33" t="n"/>
      <c r="AA1366" s="4">
        <f>R1366-G1366</f>
        <v/>
      </c>
      <c r="AB1366" s="4">
        <f>G1366-R1366</f>
        <v/>
      </c>
      <c r="AC1366" s="33" t="n"/>
    </row>
    <row r="1367" ht="18.75" customHeight="1">
      <c r="A1367" s="35">
        <f>SUBTOTAL(103,$B$24:B1367)</f>
        <v/>
      </c>
      <c r="B1367" s="36" t="inlineStr">
        <is>
          <t>Мікрохвильова піч Candy</t>
        </is>
      </c>
      <c r="C1367" s="37" t="inlineStr">
        <is>
          <t>к-т</t>
        </is>
      </c>
      <c r="D1367" s="33" t="n"/>
      <c r="E1367" s="33" t="n"/>
      <c r="F1367" s="33">
        <f>E1367*0.05</f>
        <v/>
      </c>
      <c r="G1367" s="33">
        <f>E1367+F1367</f>
        <v/>
      </c>
      <c r="H1367" s="33" t="n"/>
      <c r="I1367" s="33" t="n"/>
      <c r="J1367" s="33" t="n"/>
      <c r="K1367" s="33">
        <f>L1367+M1367+N1367</f>
        <v/>
      </c>
      <c r="L1367" s="33" t="n"/>
      <c r="M1367" s="33" t="n"/>
      <c r="N1367" s="33" t="n"/>
      <c r="O1367" s="33">
        <f>P1367+Q1367</f>
        <v/>
      </c>
      <c r="P1367" s="33" t="n"/>
      <c r="Q1367" s="33" t="n"/>
      <c r="R1367" s="33">
        <f>H1367+K1367-O1367</f>
        <v/>
      </c>
      <c r="S1367" s="33" t="n"/>
      <c r="T1367" s="33" t="n"/>
      <c r="U1367" s="33" t="n"/>
      <c r="V1367" s="33" t="n"/>
      <c r="W1367" s="33" t="n"/>
      <c r="X1367" s="33" t="n"/>
      <c r="Y1367" s="33" t="n"/>
      <c r="Z1367" s="33" t="n"/>
      <c r="AA1367" s="4">
        <f>R1367-G1367</f>
        <v/>
      </c>
      <c r="AB1367" s="4">
        <f>G1367-R1367</f>
        <v/>
      </c>
      <c r="AC1367" s="33" t="n"/>
    </row>
    <row r="1368" ht="18.75" customHeight="1">
      <c r="A1368" s="35">
        <f>SUBTOTAL(103,$B$24:B1368)</f>
        <v/>
      </c>
      <c r="B1368" s="36" t="inlineStr">
        <is>
          <t>Мікрохвильова піч Blaufisch</t>
        </is>
      </c>
      <c r="C1368" s="37" t="inlineStr">
        <is>
          <t>к-т</t>
        </is>
      </c>
      <c r="D1368" s="33" t="n"/>
      <c r="E1368" s="33" t="n"/>
      <c r="F1368" s="33">
        <f>E1368*0.05</f>
        <v/>
      </c>
      <c r="G1368" s="33">
        <f>E1368+F1368</f>
        <v/>
      </c>
      <c r="H1368" s="33" t="n"/>
      <c r="I1368" s="33" t="n"/>
      <c r="J1368" s="33" t="n"/>
      <c r="K1368" s="33">
        <f>L1368+M1368+N1368</f>
        <v/>
      </c>
      <c r="L1368" s="33" t="n"/>
      <c r="M1368" s="33" t="n"/>
      <c r="N1368" s="33" t="n"/>
      <c r="O1368" s="33">
        <f>P1368+Q1368</f>
        <v/>
      </c>
      <c r="P1368" s="33" t="n"/>
      <c r="Q1368" s="33" t="n"/>
      <c r="R1368" s="33">
        <f>H1368+K1368-O1368</f>
        <v/>
      </c>
      <c r="S1368" s="33" t="n"/>
      <c r="T1368" s="33" t="n"/>
      <c r="U1368" s="33" t="n"/>
      <c r="V1368" s="33" t="n"/>
      <c r="W1368" s="33" t="n"/>
      <c r="X1368" s="33" t="n"/>
      <c r="Y1368" s="33" t="n"/>
      <c r="Z1368" s="33" t="n"/>
      <c r="AA1368" s="4">
        <f>R1368-G1368</f>
        <v/>
      </c>
      <c r="AB1368" s="4">
        <f>G1368-R1368</f>
        <v/>
      </c>
      <c r="AC1368" s="33" t="n"/>
    </row>
    <row r="1369" ht="18.75" customHeight="1">
      <c r="A1369" s="35">
        <f>SUBTOTAL(103,$B$24:B1369)</f>
        <v/>
      </c>
      <c r="B1369" s="39" t="inlineStr">
        <is>
          <t>КАЗАНИ ЕЛЕКТРИЧНІ</t>
        </is>
      </c>
      <c r="C1369" s="37" t="n"/>
      <c r="D1369" s="33" t="n"/>
      <c r="E1369" s="33" t="n"/>
      <c r="F1369" s="33">
        <f>E1369*0.05</f>
        <v/>
      </c>
      <c r="G1369" s="33">
        <f>E1369+F1369</f>
        <v/>
      </c>
      <c r="H1369" s="33" t="n"/>
      <c r="I1369" s="33" t="n"/>
      <c r="J1369" s="33" t="n"/>
      <c r="K1369" s="33">
        <f>L1369+M1369+N1369</f>
        <v/>
      </c>
      <c r="L1369" s="33" t="n"/>
      <c r="M1369" s="33" t="n"/>
      <c r="N1369" s="33" t="n"/>
      <c r="O1369" s="33">
        <f>P1369+Q1369</f>
        <v/>
      </c>
      <c r="P1369" s="33" t="n"/>
      <c r="Q1369" s="33" t="n"/>
      <c r="R1369" s="33">
        <f>H1369+K1369-O1369</f>
        <v/>
      </c>
      <c r="S1369" s="33" t="n"/>
      <c r="T1369" s="33" t="n"/>
      <c r="U1369" s="33" t="n"/>
      <c r="V1369" s="33" t="n"/>
      <c r="W1369" s="33" t="n"/>
      <c r="X1369" s="33" t="n"/>
      <c r="Y1369" s="33" t="n"/>
      <c r="Z1369" s="33" t="n"/>
      <c r="AA1369" s="4">
        <f>R1369-G1369</f>
        <v/>
      </c>
      <c r="AB1369" s="4">
        <f>G1369-R1369</f>
        <v/>
      </c>
      <c r="AC1369" s="33" t="n"/>
    </row>
    <row r="1370" ht="18.75" customHeight="1">
      <c r="A1370" s="35">
        <f>SUBTOTAL(103,$B$24:B1370)</f>
        <v/>
      </c>
      <c r="B1370" s="36" t="inlineStr">
        <is>
          <t xml:space="preserve">Казани електричні 40-60 л. </t>
        </is>
      </c>
      <c r="C1370" s="37" t="inlineStr">
        <is>
          <t>к-т</t>
        </is>
      </c>
      <c r="D1370" s="33" t="n"/>
      <c r="E1370" s="33" t="n"/>
      <c r="F1370" s="33">
        <f>E1370*0.05</f>
        <v/>
      </c>
      <c r="G1370" s="33">
        <f>E1370+F1370</f>
        <v/>
      </c>
      <c r="H1370" s="33" t="n"/>
      <c r="I1370" s="33" t="n"/>
      <c r="J1370" s="33" t="n"/>
      <c r="K1370" s="33">
        <f>L1370+M1370+N1370</f>
        <v/>
      </c>
      <c r="L1370" s="33" t="n"/>
      <c r="M1370" s="33" t="n"/>
      <c r="N1370" s="33" t="n"/>
      <c r="O1370" s="33">
        <f>P1370+Q1370</f>
        <v/>
      </c>
      <c r="P1370" s="33" t="n"/>
      <c r="Q1370" s="33" t="n"/>
      <c r="R1370" s="33">
        <f>H1370+K1370-O1370</f>
        <v/>
      </c>
      <c r="S1370" s="33" t="n"/>
      <c r="T1370" s="33" t="n"/>
      <c r="U1370" s="33" t="n"/>
      <c r="V1370" s="33" t="n"/>
      <c r="W1370" s="33" t="n"/>
      <c r="X1370" s="33" t="n"/>
      <c r="Y1370" s="33" t="n"/>
      <c r="Z1370" s="33" t="n"/>
      <c r="AA1370" s="4">
        <f>R1370-G1370</f>
        <v/>
      </c>
      <c r="AB1370" s="4">
        <f>G1370-R1370</f>
        <v/>
      </c>
      <c r="AC1370" s="33" t="n"/>
    </row>
    <row r="1371" ht="18.75" customHeight="1">
      <c r="A1371" s="35">
        <f>SUBTOTAL(103,$B$24:B1371)</f>
        <v/>
      </c>
      <c r="B1371" s="36" t="inlineStr">
        <is>
          <t>Казани електричні 100 л.</t>
        </is>
      </c>
      <c r="C1371" s="37" t="inlineStr">
        <is>
          <t>к-т</t>
        </is>
      </c>
      <c r="D1371" s="33" t="n"/>
      <c r="E1371" s="33" t="n"/>
      <c r="F1371" s="33">
        <f>E1371*0.05</f>
        <v/>
      </c>
      <c r="G1371" s="33">
        <f>E1371+F1371</f>
        <v/>
      </c>
      <c r="H1371" s="33" t="n"/>
      <c r="I1371" s="33" t="n"/>
      <c r="J1371" s="33" t="n"/>
      <c r="K1371" s="33">
        <f>L1371+M1371+N1371</f>
        <v/>
      </c>
      <c r="L1371" s="33" t="n"/>
      <c r="M1371" s="33" t="n"/>
      <c r="N1371" s="33" t="n"/>
      <c r="O1371" s="33">
        <f>P1371+Q1371</f>
        <v/>
      </c>
      <c r="P1371" s="33" t="n"/>
      <c r="Q1371" s="33" t="n"/>
      <c r="R1371" s="33">
        <f>H1371+K1371-O1371</f>
        <v/>
      </c>
      <c r="S1371" s="33" t="n"/>
      <c r="T1371" s="33" t="n"/>
      <c r="U1371" s="33" t="n"/>
      <c r="V1371" s="33" t="n"/>
      <c r="W1371" s="33" t="n"/>
      <c r="X1371" s="33" t="n"/>
      <c r="Y1371" s="33" t="n"/>
      <c r="Z1371" s="33" t="n"/>
      <c r="AA1371" s="4">
        <f>R1371-G1371</f>
        <v/>
      </c>
      <c r="AB1371" s="4">
        <f>G1371-R1371</f>
        <v/>
      </c>
      <c r="AC1371" s="33" t="n"/>
    </row>
    <row r="1372" ht="18.75" customHeight="1">
      <c r="A1372" s="35">
        <f>SUBTOTAL(103,$B$24:B1372)</f>
        <v/>
      </c>
      <c r="B1372" s="36" t="inlineStr">
        <is>
          <t>Казани електричні 150 л.</t>
        </is>
      </c>
      <c r="C1372" s="37" t="inlineStr">
        <is>
          <t>к-т</t>
        </is>
      </c>
      <c r="D1372" s="33" t="n"/>
      <c r="E1372" s="33" t="n"/>
      <c r="F1372" s="33">
        <f>E1372*0.05</f>
        <v/>
      </c>
      <c r="G1372" s="33">
        <f>E1372+F1372</f>
        <v/>
      </c>
      <c r="H1372" s="33" t="n"/>
      <c r="I1372" s="33" t="n"/>
      <c r="J1372" s="33" t="n"/>
      <c r="K1372" s="33">
        <f>L1372+M1372+N1372</f>
        <v/>
      </c>
      <c r="L1372" s="33" t="n"/>
      <c r="M1372" s="33" t="n"/>
      <c r="N1372" s="33" t="n"/>
      <c r="O1372" s="33">
        <f>P1372+Q1372</f>
        <v/>
      </c>
      <c r="P1372" s="33" t="n"/>
      <c r="Q1372" s="33" t="n"/>
      <c r="R1372" s="33">
        <f>H1372+K1372-O1372</f>
        <v/>
      </c>
      <c r="S1372" s="33" t="n"/>
      <c r="T1372" s="33" t="n"/>
      <c r="U1372" s="33" t="n"/>
      <c r="V1372" s="33" t="n"/>
      <c r="W1372" s="33" t="n"/>
      <c r="X1372" s="33" t="n"/>
      <c r="Y1372" s="33" t="n"/>
      <c r="Z1372" s="33" t="n"/>
      <c r="AA1372" s="4">
        <f>R1372-G1372</f>
        <v/>
      </c>
      <c r="AB1372" s="4">
        <f>G1372-R1372</f>
        <v/>
      </c>
      <c r="AC1372" s="33" t="n"/>
    </row>
    <row r="1373" ht="18.75" customHeight="1">
      <c r="A1373" s="35">
        <f>SUBTOTAL(103,$B$24:B1373)</f>
        <v/>
      </c>
      <c r="B1373" s="36" t="inlineStr">
        <is>
          <t>Казани електричні 250 л.</t>
        </is>
      </c>
      <c r="C1373" s="37" t="inlineStr">
        <is>
          <t>к-т</t>
        </is>
      </c>
      <c r="D1373" s="33" t="n"/>
      <c r="E1373" s="33" t="n"/>
      <c r="F1373" s="33">
        <f>E1373*0.05</f>
        <v/>
      </c>
      <c r="G1373" s="33">
        <f>E1373+F1373</f>
        <v/>
      </c>
      <c r="H1373" s="33" t="n"/>
      <c r="I1373" s="33" t="n"/>
      <c r="J1373" s="33" t="n"/>
      <c r="K1373" s="33">
        <f>L1373+M1373+N1373</f>
        <v/>
      </c>
      <c r="L1373" s="33" t="n"/>
      <c r="M1373" s="33" t="n"/>
      <c r="N1373" s="33" t="n"/>
      <c r="O1373" s="33">
        <f>P1373+Q1373</f>
        <v/>
      </c>
      <c r="P1373" s="33" t="n"/>
      <c r="Q1373" s="33" t="n"/>
      <c r="R1373" s="33">
        <f>H1373+K1373-O1373</f>
        <v/>
      </c>
      <c r="S1373" s="33" t="n"/>
      <c r="T1373" s="33" t="n"/>
      <c r="U1373" s="33" t="n"/>
      <c r="V1373" s="33" t="n"/>
      <c r="W1373" s="33" t="n"/>
      <c r="X1373" s="33" t="n"/>
      <c r="Y1373" s="33" t="n"/>
      <c r="Z1373" s="33" t="n"/>
      <c r="AA1373" s="4">
        <f>R1373-G1373</f>
        <v/>
      </c>
      <c r="AB1373" s="4">
        <f>G1373-R1373</f>
        <v/>
      </c>
      <c r="AC1373" s="33" t="n"/>
    </row>
    <row r="1374" ht="18.75" customHeight="1">
      <c r="A1374" s="35">
        <f>SUBTOTAL(103,$B$24:B1374)</f>
        <v/>
      </c>
      <c r="B1374" s="36" t="inlineStr">
        <is>
          <t>Казани електричні 400 л.</t>
        </is>
      </c>
      <c r="C1374" s="37" t="inlineStr">
        <is>
          <t>к-т</t>
        </is>
      </c>
      <c r="D1374" s="33" t="n"/>
      <c r="E1374" s="33" t="n"/>
      <c r="F1374" s="33">
        <f>E1374*0.05</f>
        <v/>
      </c>
      <c r="G1374" s="33">
        <f>E1374+F1374</f>
        <v/>
      </c>
      <c r="H1374" s="33" t="n"/>
      <c r="I1374" s="33" t="n"/>
      <c r="J1374" s="33" t="n"/>
      <c r="K1374" s="33">
        <f>L1374+M1374+N1374</f>
        <v/>
      </c>
      <c r="L1374" s="33" t="n"/>
      <c r="M1374" s="33" t="n"/>
      <c r="N1374" s="33" t="n"/>
      <c r="O1374" s="33">
        <f>P1374+Q1374</f>
        <v/>
      </c>
      <c r="P1374" s="33" t="n"/>
      <c r="Q1374" s="33" t="n"/>
      <c r="R1374" s="33">
        <f>H1374+K1374-O1374</f>
        <v/>
      </c>
      <c r="S1374" s="33" t="n"/>
      <c r="T1374" s="33" t="n"/>
      <c r="U1374" s="33" t="n"/>
      <c r="V1374" s="33" t="n"/>
      <c r="W1374" s="33" t="n"/>
      <c r="X1374" s="33" t="n"/>
      <c r="Y1374" s="33" t="n"/>
      <c r="Z1374" s="33" t="n"/>
      <c r="AA1374" s="4">
        <f>R1374-G1374</f>
        <v/>
      </c>
      <c r="AB1374" s="4">
        <f>G1374-R1374</f>
        <v/>
      </c>
      <c r="AC1374" s="33" t="n"/>
    </row>
    <row r="1375" ht="37.5" customHeight="1">
      <c r="A1375" s="35">
        <f>SUBTOTAL(103,$B$24:B1375)</f>
        <v/>
      </c>
      <c r="B1375" s="36" t="inlineStr">
        <is>
          <t>Котел електричний стравоварний KRAPT KXE-100</t>
        </is>
      </c>
      <c r="C1375" s="37" t="inlineStr">
        <is>
          <t>к-т</t>
        </is>
      </c>
      <c r="D1375" s="33" t="n"/>
      <c r="E1375" s="33" t="n"/>
      <c r="F1375" s="33">
        <f>E1375*0.05</f>
        <v/>
      </c>
      <c r="G1375" s="33">
        <f>E1375+F1375</f>
        <v/>
      </c>
      <c r="H1375" s="33" t="n"/>
      <c r="I1375" s="33" t="n"/>
      <c r="J1375" s="33" t="n"/>
      <c r="K1375" s="33">
        <f>L1375+M1375+N1375</f>
        <v/>
      </c>
      <c r="L1375" s="33" t="n"/>
      <c r="M1375" s="33" t="n"/>
      <c r="N1375" s="33" t="n"/>
      <c r="O1375" s="33">
        <f>P1375+Q1375</f>
        <v/>
      </c>
      <c r="P1375" s="33" t="n"/>
      <c r="Q1375" s="33" t="n"/>
      <c r="R1375" s="33">
        <f>H1375+K1375-O1375</f>
        <v/>
      </c>
      <c r="S1375" s="33" t="n"/>
      <c r="T1375" s="33" t="n"/>
      <c r="U1375" s="33" t="n"/>
      <c r="V1375" s="33" t="n"/>
      <c r="W1375" s="33" t="n"/>
      <c r="X1375" s="33" t="n"/>
      <c r="Y1375" s="33" t="n"/>
      <c r="Z1375" s="33" t="n"/>
      <c r="AA1375" s="4">
        <f>R1375-G1375</f>
        <v/>
      </c>
      <c r="AB1375" s="4">
        <f>G1375-R1375</f>
        <v/>
      </c>
      <c r="AC1375" s="33" t="n"/>
    </row>
    <row r="1376" ht="37.5" customHeight="1">
      <c r="A1376" s="35">
        <f>SUBTOTAL(103,$B$24:B1376)</f>
        <v/>
      </c>
      <c r="B1376" s="36" t="inlineStr">
        <is>
          <t>Котел електричний стравоварний KRAPT KXE-150</t>
        </is>
      </c>
      <c r="C1376" s="37" t="inlineStr">
        <is>
          <t>к-т</t>
        </is>
      </c>
      <c r="D1376" s="33" t="n"/>
      <c r="E1376" s="33" t="n"/>
      <c r="F1376" s="33">
        <f>E1376*0.05</f>
        <v/>
      </c>
      <c r="G1376" s="33">
        <f>E1376+F1376</f>
        <v/>
      </c>
      <c r="H1376" s="33" t="n"/>
      <c r="I1376" s="33" t="n"/>
      <c r="J1376" s="33" t="n"/>
      <c r="K1376" s="33">
        <f>L1376+M1376+N1376</f>
        <v/>
      </c>
      <c r="L1376" s="33" t="n"/>
      <c r="M1376" s="33" t="n"/>
      <c r="N1376" s="33" t="n"/>
      <c r="O1376" s="33">
        <f>P1376+Q1376</f>
        <v/>
      </c>
      <c r="P1376" s="33" t="n"/>
      <c r="Q1376" s="33" t="n"/>
      <c r="R1376" s="33">
        <f>H1376+K1376-O1376</f>
        <v/>
      </c>
      <c r="S1376" s="33" t="n"/>
      <c r="T1376" s="33" t="n"/>
      <c r="U1376" s="33" t="n"/>
      <c r="V1376" s="33" t="n"/>
      <c r="W1376" s="33" t="n"/>
      <c r="X1376" s="33" t="n"/>
      <c r="Y1376" s="33" t="n"/>
      <c r="Z1376" s="33" t="n"/>
      <c r="AA1376" s="4">
        <f>R1376-G1376</f>
        <v/>
      </c>
      <c r="AB1376" s="4">
        <f>G1376-R1376</f>
        <v/>
      </c>
      <c r="AC1376" s="33" t="n"/>
    </row>
    <row r="1377" ht="37.5" customHeight="1">
      <c r="A1377" s="35">
        <f>SUBTOTAL(103,$B$24:B1377)</f>
        <v/>
      </c>
      <c r="B1377" s="36" t="inlineStr">
        <is>
          <t>Котел електричний стравоварний KRAPT KXE-250</t>
        </is>
      </c>
      <c r="C1377" s="37" t="inlineStr">
        <is>
          <t>к-т</t>
        </is>
      </c>
      <c r="D1377" s="33" t="n"/>
      <c r="E1377" s="33" t="n"/>
      <c r="F1377" s="33">
        <f>E1377*0.05</f>
        <v/>
      </c>
      <c r="G1377" s="33">
        <f>E1377+F1377</f>
        <v/>
      </c>
      <c r="H1377" s="33" t="n"/>
      <c r="I1377" s="33" t="n"/>
      <c r="J1377" s="33" t="n"/>
      <c r="K1377" s="33">
        <f>L1377+M1377+N1377</f>
        <v/>
      </c>
      <c r="L1377" s="33" t="n"/>
      <c r="M1377" s="33" t="n"/>
      <c r="N1377" s="33" t="n"/>
      <c r="O1377" s="33">
        <f>P1377+Q1377</f>
        <v/>
      </c>
      <c r="P1377" s="33" t="n"/>
      <c r="Q1377" s="33" t="n"/>
      <c r="R1377" s="33">
        <f>H1377+K1377-O1377</f>
        <v/>
      </c>
      <c r="S1377" s="33" t="n"/>
      <c r="T1377" s="33" t="n"/>
      <c r="U1377" s="33" t="n"/>
      <c r="V1377" s="33" t="n"/>
      <c r="W1377" s="33" t="n"/>
      <c r="X1377" s="33" t="n"/>
      <c r="Y1377" s="33" t="n"/>
      <c r="Z1377" s="33" t="n"/>
      <c r="AA1377" s="4">
        <f>R1377-G1377</f>
        <v/>
      </c>
      <c r="AB1377" s="4">
        <f>G1377-R1377</f>
        <v/>
      </c>
      <c r="AC1377" s="33" t="n"/>
    </row>
    <row r="1378" ht="18.75" customHeight="1">
      <c r="A1378" s="35">
        <f>SUBTOTAL(103,$B$24:B1378)</f>
        <v/>
      </c>
      <c r="B1378" s="36" t="inlineStr">
        <is>
          <t>Казан електричний інші</t>
        </is>
      </c>
      <c r="C1378" s="37" t="inlineStr">
        <is>
          <t>к-т</t>
        </is>
      </c>
      <c r="D1378" s="33" t="n"/>
      <c r="E1378" s="33" t="n"/>
      <c r="F1378" s="33">
        <f>E1378*0.05</f>
        <v/>
      </c>
      <c r="G1378" s="33">
        <f>E1378+F1378</f>
        <v/>
      </c>
      <c r="H1378" s="33" t="n"/>
      <c r="I1378" s="33" t="n"/>
      <c r="J1378" s="33" t="n"/>
      <c r="K1378" s="33">
        <f>L1378+M1378+N1378</f>
        <v/>
      </c>
      <c r="L1378" s="33" t="n"/>
      <c r="M1378" s="33" t="n"/>
      <c r="N1378" s="33" t="n"/>
      <c r="O1378" s="33">
        <f>P1378+Q1378</f>
        <v/>
      </c>
      <c r="P1378" s="33" t="n"/>
      <c r="Q1378" s="33" t="n"/>
      <c r="R1378" s="33">
        <f>H1378+K1378-O1378</f>
        <v/>
      </c>
      <c r="S1378" s="33" t="n"/>
      <c r="T1378" s="33" t="n"/>
      <c r="U1378" s="33" t="n"/>
      <c r="V1378" s="33" t="n"/>
      <c r="W1378" s="33" t="n"/>
      <c r="X1378" s="33" t="n"/>
      <c r="Y1378" s="33" t="n"/>
      <c r="Z1378" s="33" t="n"/>
      <c r="AA1378" s="4">
        <f>R1378-G1378</f>
        <v/>
      </c>
      <c r="AB1378" s="4">
        <f>G1378-R1378</f>
        <v/>
      </c>
      <c r="AC1378" s="33" t="n"/>
    </row>
    <row r="1379" ht="18.75" customHeight="1">
      <c r="A1379" s="35">
        <f>SUBTOTAL(103,$B$24:B1379)</f>
        <v/>
      </c>
      <c r="B1379" s="36" t="inlineStr">
        <is>
          <t>Казани пересувні</t>
        </is>
      </c>
      <c r="C1379" s="37" t="inlineStr">
        <is>
          <t>к-т</t>
        </is>
      </c>
      <c r="D1379" s="33" t="n"/>
      <c r="E1379" s="33" t="n"/>
      <c r="F1379" s="33">
        <f>E1379*0.05</f>
        <v/>
      </c>
      <c r="G1379" s="33">
        <f>E1379+F1379</f>
        <v/>
      </c>
      <c r="H1379" s="33" t="n"/>
      <c r="I1379" s="33" t="n"/>
      <c r="J1379" s="33" t="n"/>
      <c r="K1379" s="33">
        <f>L1379+M1379+N1379</f>
        <v/>
      </c>
      <c r="L1379" s="33" t="n"/>
      <c r="M1379" s="33" t="n"/>
      <c r="N1379" s="33" t="n"/>
      <c r="O1379" s="33">
        <f>P1379+Q1379</f>
        <v/>
      </c>
      <c r="P1379" s="33" t="n"/>
      <c r="Q1379" s="33" t="n"/>
      <c r="R1379" s="33">
        <f>H1379+K1379-O1379</f>
        <v/>
      </c>
      <c r="S1379" s="33" t="n"/>
      <c r="T1379" s="33" t="n"/>
      <c r="U1379" s="33" t="n"/>
      <c r="V1379" s="33" t="n"/>
      <c r="W1379" s="33" t="n"/>
      <c r="X1379" s="33" t="n"/>
      <c r="Y1379" s="33" t="n"/>
      <c r="Z1379" s="33" t="n"/>
      <c r="AA1379" s="4">
        <f>R1379-G1379</f>
        <v/>
      </c>
      <c r="AB1379" s="4">
        <f>G1379-R1379</f>
        <v/>
      </c>
      <c r="AC1379" s="33" t="n"/>
    </row>
    <row r="1380" ht="18.75" customHeight="1">
      <c r="A1380" s="35">
        <f>SUBTOTAL(103,$B$24:B1380)</f>
        <v/>
      </c>
      <c r="B1380" s="36" t="inlineStr">
        <is>
          <t>Казани пересувні КП-60</t>
        </is>
      </c>
      <c r="C1380" s="37" t="inlineStr">
        <is>
          <t>к-т</t>
        </is>
      </c>
      <c r="D1380" s="33" t="n"/>
      <c r="E1380" s="33" t="n"/>
      <c r="F1380" s="33">
        <f>E1380*0.05</f>
        <v/>
      </c>
      <c r="G1380" s="33">
        <f>E1380+F1380</f>
        <v/>
      </c>
      <c r="H1380" s="33" t="n"/>
      <c r="I1380" s="33" t="n"/>
      <c r="J1380" s="33" t="n"/>
      <c r="K1380" s="33">
        <f>L1380+M1380+N1380</f>
        <v/>
      </c>
      <c r="L1380" s="33" t="n"/>
      <c r="M1380" s="33" t="n"/>
      <c r="N1380" s="33" t="n"/>
      <c r="O1380" s="33">
        <f>P1380+Q1380</f>
        <v/>
      </c>
      <c r="P1380" s="33" t="n"/>
      <c r="Q1380" s="33" t="n"/>
      <c r="R1380" s="33">
        <f>H1380+K1380-O1380</f>
        <v/>
      </c>
      <c r="S1380" s="33" t="n"/>
      <c r="T1380" s="33" t="n"/>
      <c r="U1380" s="33" t="n"/>
      <c r="V1380" s="33" t="n"/>
      <c r="W1380" s="33" t="n"/>
      <c r="X1380" s="33" t="n"/>
      <c r="Y1380" s="33" t="n"/>
      <c r="Z1380" s="33" t="n"/>
      <c r="AA1380" s="4">
        <f>R1380-G1380</f>
        <v/>
      </c>
      <c r="AB1380" s="4">
        <f>G1380-R1380</f>
        <v/>
      </c>
      <c r="AC1380" s="33" t="n"/>
    </row>
    <row r="1381" ht="18.75" customHeight="1">
      <c r="A1381" s="35">
        <f>SUBTOTAL(103,$B$24:B1381)</f>
        <v/>
      </c>
      <c r="B1381" s="36" t="inlineStr">
        <is>
          <t xml:space="preserve">Казани парові </t>
        </is>
      </c>
      <c r="C1381" s="37" t="inlineStr">
        <is>
          <t>к-т</t>
        </is>
      </c>
      <c r="D1381" s="33" t="n"/>
      <c r="E1381" s="33" t="n"/>
      <c r="F1381" s="33">
        <f>E1381*0.05</f>
        <v/>
      </c>
      <c r="G1381" s="33">
        <f>E1381+F1381</f>
        <v/>
      </c>
      <c r="H1381" s="33" t="n"/>
      <c r="I1381" s="33" t="n"/>
      <c r="J1381" s="33" t="n"/>
      <c r="K1381" s="33">
        <f>L1381+M1381+N1381</f>
        <v/>
      </c>
      <c r="L1381" s="33" t="n"/>
      <c r="M1381" s="33" t="n"/>
      <c r="N1381" s="33" t="n"/>
      <c r="O1381" s="33">
        <f>P1381+Q1381</f>
        <v/>
      </c>
      <c r="P1381" s="33" t="n"/>
      <c r="Q1381" s="33" t="n"/>
      <c r="R1381" s="33">
        <f>H1381+K1381-O1381</f>
        <v/>
      </c>
      <c r="S1381" s="33" t="n"/>
      <c r="T1381" s="33" t="n"/>
      <c r="U1381" s="33" t="n"/>
      <c r="V1381" s="33" t="n"/>
      <c r="W1381" s="33" t="n"/>
      <c r="X1381" s="33" t="n"/>
      <c r="Y1381" s="33" t="n"/>
      <c r="Z1381" s="33" t="n"/>
      <c r="AA1381" s="4">
        <f>R1381-G1381</f>
        <v/>
      </c>
      <c r="AB1381" s="4">
        <f>G1381-R1381</f>
        <v/>
      </c>
      <c r="AC1381" s="33" t="n"/>
    </row>
    <row r="1382" ht="18.75" customHeight="1">
      <c r="A1382" s="35">
        <f>SUBTOTAL(103,$B$24:B1382)</f>
        <v/>
      </c>
      <c r="B1382" s="36" t="inlineStr">
        <is>
          <t>Казан паровий КП-60М</t>
        </is>
      </c>
      <c r="C1382" s="37" t="inlineStr">
        <is>
          <t>к-т</t>
        </is>
      </c>
      <c r="D1382" s="33" t="n"/>
      <c r="E1382" s="33" t="n"/>
      <c r="F1382" s="33">
        <f>E1382*0.05</f>
        <v/>
      </c>
      <c r="G1382" s="33">
        <f>E1382+F1382</f>
        <v/>
      </c>
      <c r="H1382" s="33" t="n"/>
      <c r="I1382" s="33" t="n"/>
      <c r="J1382" s="33" t="n"/>
      <c r="K1382" s="33">
        <f>L1382+M1382+N1382</f>
        <v/>
      </c>
      <c r="L1382" s="33" t="n"/>
      <c r="M1382" s="33" t="n"/>
      <c r="N1382" s="33" t="n"/>
      <c r="O1382" s="33">
        <f>P1382+Q1382</f>
        <v/>
      </c>
      <c r="P1382" s="33" t="n"/>
      <c r="Q1382" s="33" t="n"/>
      <c r="R1382" s="33">
        <f>H1382+K1382-O1382</f>
        <v/>
      </c>
      <c r="S1382" s="33" t="n"/>
      <c r="T1382" s="33" t="n"/>
      <c r="U1382" s="33" t="n"/>
      <c r="V1382" s="33" t="n"/>
      <c r="W1382" s="33" t="n"/>
      <c r="X1382" s="33" t="n"/>
      <c r="Y1382" s="33" t="n"/>
      <c r="Z1382" s="33" t="n"/>
      <c r="AA1382" s="4">
        <f>R1382-G1382</f>
        <v/>
      </c>
      <c r="AB1382" s="4">
        <f>G1382-R1382</f>
        <v/>
      </c>
      <c r="AC1382" s="33" t="n"/>
    </row>
    <row r="1383" ht="18.75" customHeight="1">
      <c r="A1383" s="35">
        <f>SUBTOTAL(103,$B$24:B1383)</f>
        <v/>
      </c>
      <c r="B1383" s="36" t="inlineStr">
        <is>
          <t>Казан паровий КПС-250</t>
        </is>
      </c>
      <c r="C1383" s="37" t="inlineStr">
        <is>
          <t>к-т</t>
        </is>
      </c>
      <c r="D1383" s="33" t="n"/>
      <c r="E1383" s="33" t="n"/>
      <c r="F1383" s="33">
        <f>E1383*0.05</f>
        <v/>
      </c>
      <c r="G1383" s="33">
        <f>E1383+F1383</f>
        <v/>
      </c>
      <c r="H1383" s="33" t="n"/>
      <c r="I1383" s="33" t="n"/>
      <c r="J1383" s="33" t="n"/>
      <c r="K1383" s="33">
        <f>L1383+M1383+N1383</f>
        <v/>
      </c>
      <c r="L1383" s="33" t="n"/>
      <c r="M1383" s="33" t="n"/>
      <c r="N1383" s="33" t="n"/>
      <c r="O1383" s="33">
        <f>P1383+Q1383</f>
        <v/>
      </c>
      <c r="P1383" s="33" t="n"/>
      <c r="Q1383" s="33" t="n"/>
      <c r="R1383" s="33">
        <f>H1383+K1383-O1383</f>
        <v/>
      </c>
      <c r="S1383" s="33" t="n"/>
      <c r="T1383" s="33" t="n"/>
      <c r="U1383" s="33" t="n"/>
      <c r="V1383" s="33" t="n"/>
      <c r="W1383" s="33" t="n"/>
      <c r="X1383" s="33" t="n"/>
      <c r="Y1383" s="33" t="n"/>
      <c r="Z1383" s="33" t="n"/>
      <c r="AA1383" s="4">
        <f>R1383-G1383</f>
        <v/>
      </c>
      <c r="AB1383" s="4">
        <f>G1383-R1383</f>
        <v/>
      </c>
      <c r="AC1383" s="33" t="n"/>
    </row>
    <row r="1384" ht="18.75" customHeight="1">
      <c r="A1384" s="35">
        <f>SUBTOTAL(103,$B$24:B1384)</f>
        <v/>
      </c>
      <c r="B1384" s="36" t="inlineStr">
        <is>
          <t>Казан паровий КПП-400</t>
        </is>
      </c>
      <c r="C1384" s="37" t="inlineStr">
        <is>
          <t>к-т</t>
        </is>
      </c>
      <c r="D1384" s="33" t="n"/>
      <c r="E1384" s="33" t="n"/>
      <c r="F1384" s="33">
        <f>E1384*0.05</f>
        <v/>
      </c>
      <c r="G1384" s="33">
        <f>E1384+F1384</f>
        <v/>
      </c>
      <c r="H1384" s="33" t="n"/>
      <c r="I1384" s="33" t="n"/>
      <c r="J1384" s="33" t="n"/>
      <c r="K1384" s="33">
        <f>L1384+M1384+N1384</f>
        <v/>
      </c>
      <c r="L1384" s="33" t="n"/>
      <c r="M1384" s="33" t="n"/>
      <c r="N1384" s="33" t="n"/>
      <c r="O1384" s="33">
        <f>P1384+Q1384</f>
        <v/>
      </c>
      <c r="P1384" s="33" t="n"/>
      <c r="Q1384" s="33" t="n"/>
      <c r="R1384" s="33">
        <f>H1384+K1384-O1384</f>
        <v/>
      </c>
      <c r="S1384" s="33" t="n"/>
      <c r="T1384" s="33" t="n"/>
      <c r="U1384" s="33" t="n"/>
      <c r="V1384" s="33" t="n"/>
      <c r="W1384" s="33" t="n"/>
      <c r="X1384" s="33" t="n"/>
      <c r="Y1384" s="33" t="n"/>
      <c r="Z1384" s="33" t="n"/>
      <c r="AA1384" s="4">
        <f>R1384-G1384</f>
        <v/>
      </c>
      <c r="AB1384" s="4">
        <f>G1384-R1384</f>
        <v/>
      </c>
      <c r="AC1384" s="33" t="n"/>
    </row>
    <row r="1385" ht="18.75" customHeight="1">
      <c r="A1385" s="35">
        <f>SUBTOTAL(103,$B$24:B1385)</f>
        <v/>
      </c>
      <c r="B1385" s="36" t="inlineStr">
        <is>
          <t>Апарат пароварочний УЕВ-60</t>
        </is>
      </c>
      <c r="C1385" s="37" t="inlineStr">
        <is>
          <t>к-т</t>
        </is>
      </c>
      <c r="D1385" s="33" t="n"/>
      <c r="E1385" s="33" t="n"/>
      <c r="F1385" s="33">
        <f>E1385*0.05</f>
        <v/>
      </c>
      <c r="G1385" s="33">
        <f>E1385+F1385</f>
        <v/>
      </c>
      <c r="H1385" s="33" t="n"/>
      <c r="I1385" s="33" t="n"/>
      <c r="J1385" s="33" t="n"/>
      <c r="K1385" s="33">
        <f>L1385+M1385+N1385</f>
        <v/>
      </c>
      <c r="L1385" s="33" t="n"/>
      <c r="M1385" s="33" t="n"/>
      <c r="N1385" s="33" t="n"/>
      <c r="O1385" s="33">
        <f>P1385+Q1385</f>
        <v/>
      </c>
      <c r="P1385" s="33" t="n"/>
      <c r="Q1385" s="33" t="n"/>
      <c r="R1385" s="33">
        <f>H1385+K1385-O1385</f>
        <v/>
      </c>
      <c r="S1385" s="33" t="n"/>
      <c r="T1385" s="33" t="n"/>
      <c r="U1385" s="33" t="n"/>
      <c r="V1385" s="33" t="n"/>
      <c r="W1385" s="33" t="n"/>
      <c r="X1385" s="33" t="n"/>
      <c r="Y1385" s="33" t="n"/>
      <c r="Z1385" s="33" t="n"/>
      <c r="AA1385" s="4">
        <f>R1385-G1385</f>
        <v/>
      </c>
      <c r="AB1385" s="4">
        <f>G1385-R1385</f>
        <v/>
      </c>
      <c r="AC1385" s="33" t="n"/>
    </row>
    <row r="1386" ht="18.75" customHeight="1">
      <c r="A1386" s="35">
        <f>SUBTOTAL(103,$B$24:B1386)</f>
        <v/>
      </c>
      <c r="B1386" s="39" t="inlineStr">
        <is>
          <t>МАРМІТИ ЕЛЕКТРИЧНІ</t>
        </is>
      </c>
      <c r="C1386" s="37" t="n"/>
      <c r="D1386" s="33" t="n"/>
      <c r="E1386" s="33" t="n"/>
      <c r="F1386" s="33">
        <f>E1386*0.05</f>
        <v/>
      </c>
      <c r="G1386" s="33">
        <f>E1386+F1386</f>
        <v/>
      </c>
      <c r="H1386" s="33" t="n"/>
      <c r="I1386" s="33" t="n"/>
      <c r="J1386" s="33" t="n"/>
      <c r="K1386" s="33">
        <f>L1386+M1386+N1386</f>
        <v/>
      </c>
      <c r="L1386" s="33" t="n"/>
      <c r="M1386" s="33" t="n"/>
      <c r="N1386" s="33" t="n"/>
      <c r="O1386" s="33">
        <f>P1386+Q1386</f>
        <v/>
      </c>
      <c r="P1386" s="33" t="n"/>
      <c r="Q1386" s="33" t="n"/>
      <c r="R1386" s="33">
        <f>H1386+K1386-O1386</f>
        <v/>
      </c>
      <c r="S1386" s="33" t="n"/>
      <c r="T1386" s="33" t="n"/>
      <c r="U1386" s="33" t="n"/>
      <c r="V1386" s="33" t="n"/>
      <c r="W1386" s="33" t="n"/>
      <c r="X1386" s="33" t="n"/>
      <c r="Y1386" s="33" t="n"/>
      <c r="Z1386" s="33" t="n"/>
      <c r="AA1386" s="4">
        <f>R1386-G1386</f>
        <v/>
      </c>
      <c r="AB1386" s="4">
        <f>G1386-R1386</f>
        <v/>
      </c>
      <c r="AC1386" s="33" t="n"/>
    </row>
    <row r="1387" ht="18.75" customHeight="1">
      <c r="A1387" s="35">
        <f>SUBTOTAL(103,$B$24:B1387)</f>
        <v/>
      </c>
      <c r="B1387" s="36" t="inlineStr">
        <is>
          <t xml:space="preserve">Марміти електричні для 1-х страв </t>
        </is>
      </c>
      <c r="C1387" s="37" t="inlineStr">
        <is>
          <t>к-т</t>
        </is>
      </c>
      <c r="D1387" s="33" t="n"/>
      <c r="E1387" s="33" t="n"/>
      <c r="F1387" s="33">
        <f>E1387*0.05</f>
        <v/>
      </c>
      <c r="G1387" s="33">
        <f>E1387+F1387</f>
        <v/>
      </c>
      <c r="H1387" s="33" t="n"/>
      <c r="I1387" s="33" t="n"/>
      <c r="J1387" s="33" t="n"/>
      <c r="K1387" s="33">
        <f>L1387+M1387+N1387</f>
        <v/>
      </c>
      <c r="L1387" s="33" t="n"/>
      <c r="M1387" s="33" t="n"/>
      <c r="N1387" s="33" t="n"/>
      <c r="O1387" s="33">
        <f>P1387+Q1387</f>
        <v/>
      </c>
      <c r="P1387" s="33" t="n"/>
      <c r="Q1387" s="33" t="n"/>
      <c r="R1387" s="33">
        <f>H1387+K1387-O1387</f>
        <v/>
      </c>
      <c r="S1387" s="33" t="n"/>
      <c r="T1387" s="33" t="n"/>
      <c r="U1387" s="33" t="n"/>
      <c r="V1387" s="33" t="n"/>
      <c r="W1387" s="33" t="n"/>
      <c r="X1387" s="33" t="n"/>
      <c r="Y1387" s="33" t="n"/>
      <c r="Z1387" s="33" t="n"/>
      <c r="AA1387" s="4">
        <f>R1387-G1387</f>
        <v/>
      </c>
      <c r="AB1387" s="4">
        <f>G1387-R1387</f>
        <v/>
      </c>
      <c r="AC1387" s="33" t="n"/>
    </row>
    <row r="1388" ht="37.5" customHeight="1">
      <c r="A1388" s="35">
        <f>SUBTOTAL(103,$B$24:B1388)</f>
        <v/>
      </c>
      <c r="B1388" s="36" t="inlineStr">
        <is>
          <t>Марміти електричні МСЕСМ-3 (для 1 страв)</t>
        </is>
      </c>
      <c r="C1388" s="37" t="inlineStr">
        <is>
          <t>к-т</t>
        </is>
      </c>
      <c r="D1388" s="33" t="n"/>
      <c r="E1388" s="33" t="n"/>
      <c r="F1388" s="33">
        <f>E1388*0.05</f>
        <v/>
      </c>
      <c r="G1388" s="33">
        <f>E1388+F1388</f>
        <v/>
      </c>
      <c r="H1388" s="33" t="n"/>
      <c r="I1388" s="33" t="n"/>
      <c r="J1388" s="33" t="n"/>
      <c r="K1388" s="33">
        <f>L1388+M1388+N1388</f>
        <v/>
      </c>
      <c r="L1388" s="33" t="n"/>
      <c r="M1388" s="33" t="n"/>
      <c r="N1388" s="33" t="n"/>
      <c r="O1388" s="33">
        <f>P1388+Q1388</f>
        <v/>
      </c>
      <c r="P1388" s="33" t="n"/>
      <c r="Q1388" s="33" t="n"/>
      <c r="R1388" s="33">
        <f>H1388+K1388-O1388</f>
        <v/>
      </c>
      <c r="S1388" s="33" t="n"/>
      <c r="T1388" s="33" t="n"/>
      <c r="U1388" s="33" t="n"/>
      <c r="V1388" s="33" t="n"/>
      <c r="W1388" s="33" t="n"/>
      <c r="X1388" s="33" t="n"/>
      <c r="Y1388" s="33" t="n"/>
      <c r="Z1388" s="33" t="n"/>
      <c r="AA1388" s="4">
        <f>R1388-G1388</f>
        <v/>
      </c>
      <c r="AB1388" s="4">
        <f>G1388-R1388</f>
        <v/>
      </c>
      <c r="AC1388" s="33" t="n"/>
    </row>
    <row r="1389" ht="37.5" customHeight="1">
      <c r="A1389" s="35">
        <f>SUBTOTAL(103,$B$24:B1389)</f>
        <v/>
      </c>
      <c r="B1389" s="36" t="inlineStr">
        <is>
          <t>Марміти електричні МСЕСМ-3 (для 2 страв)</t>
        </is>
      </c>
      <c r="C1389" s="37" t="inlineStr">
        <is>
          <t>к-т</t>
        </is>
      </c>
      <c r="D1389" s="33" t="n"/>
      <c r="E1389" s="33" t="n"/>
      <c r="F1389" s="33">
        <f>E1389*0.05</f>
        <v/>
      </c>
      <c r="G1389" s="33">
        <f>E1389+F1389</f>
        <v/>
      </c>
      <c r="H1389" s="33" t="n"/>
      <c r="I1389" s="33" t="n"/>
      <c r="J1389" s="33" t="n"/>
      <c r="K1389" s="33">
        <f>L1389+M1389+N1389</f>
        <v/>
      </c>
      <c r="L1389" s="33" t="n"/>
      <c r="M1389" s="33" t="n"/>
      <c r="N1389" s="33" t="n"/>
      <c r="O1389" s="33">
        <f>P1389+Q1389</f>
        <v/>
      </c>
      <c r="P1389" s="33" t="n"/>
      <c r="Q1389" s="33" t="n"/>
      <c r="R1389" s="33">
        <f>H1389+K1389-O1389</f>
        <v/>
      </c>
      <c r="S1389" s="33" t="n"/>
      <c r="T1389" s="33" t="n"/>
      <c r="U1389" s="33" t="n"/>
      <c r="V1389" s="33" t="n"/>
      <c r="W1389" s="33" t="n"/>
      <c r="X1389" s="33" t="n"/>
      <c r="Y1389" s="33" t="n"/>
      <c r="Z1389" s="33" t="n"/>
      <c r="AA1389" s="4">
        <f>R1389-G1389</f>
        <v/>
      </c>
      <c r="AB1389" s="4">
        <f>G1389-R1389</f>
        <v/>
      </c>
      <c r="AC1389" s="33" t="n"/>
    </row>
    <row r="1390" ht="18.75" customHeight="1">
      <c r="A1390" s="35">
        <f>SUBTOTAL(103,$B$24:B1390)</f>
        <v/>
      </c>
      <c r="B1390" s="36" t="inlineStr">
        <is>
          <t xml:space="preserve">Марміти електричні 1-х страв інші </t>
        </is>
      </c>
      <c r="C1390" s="37" t="inlineStr">
        <is>
          <t>к-т</t>
        </is>
      </c>
      <c r="D1390" s="33" t="n"/>
      <c r="E1390" s="33" t="n"/>
      <c r="F1390" s="33">
        <f>E1390*0.05</f>
        <v/>
      </c>
      <c r="G1390" s="33">
        <f>E1390+F1390</f>
        <v/>
      </c>
      <c r="H1390" s="33" t="n"/>
      <c r="I1390" s="33" t="n"/>
      <c r="J1390" s="33" t="n"/>
      <c r="K1390" s="33">
        <f>L1390+M1390+N1390</f>
        <v/>
      </c>
      <c r="L1390" s="33" t="n"/>
      <c r="M1390" s="33" t="n"/>
      <c r="N1390" s="33" t="n"/>
      <c r="O1390" s="33">
        <f>P1390+Q1390</f>
        <v/>
      </c>
      <c r="P1390" s="33" t="n"/>
      <c r="Q1390" s="33" t="n"/>
      <c r="R1390" s="33">
        <f>H1390+K1390-O1390</f>
        <v/>
      </c>
      <c r="S1390" s="33" t="n"/>
      <c r="T1390" s="33" t="n"/>
      <c r="U1390" s="33" t="n"/>
      <c r="V1390" s="33" t="n"/>
      <c r="W1390" s="33" t="n"/>
      <c r="X1390" s="33" t="n"/>
      <c r="Y1390" s="33" t="n"/>
      <c r="Z1390" s="33" t="n"/>
      <c r="AA1390" s="4">
        <f>R1390-G1390</f>
        <v/>
      </c>
      <c r="AB1390" s="4">
        <f>G1390-R1390</f>
        <v/>
      </c>
      <c r="AC1390" s="33" t="n"/>
    </row>
    <row r="1391" ht="18.75" customHeight="1">
      <c r="A1391" s="35">
        <f>SUBTOTAL(103,$B$24:B1391)</f>
        <v/>
      </c>
      <c r="B1391" s="36" t="inlineStr">
        <is>
          <t>Марміти електричні для 2-х страв</t>
        </is>
      </c>
      <c r="C1391" s="37" t="inlineStr">
        <is>
          <t>к-т</t>
        </is>
      </c>
      <c r="D1391" s="33" t="n"/>
      <c r="E1391" s="33" t="n"/>
      <c r="F1391" s="33">
        <f>E1391*0.05</f>
        <v/>
      </c>
      <c r="G1391" s="33">
        <f>E1391+F1391</f>
        <v/>
      </c>
      <c r="H1391" s="33" t="n"/>
      <c r="I1391" s="33" t="n"/>
      <c r="J1391" s="33" t="n"/>
      <c r="K1391" s="33">
        <f>L1391+M1391+N1391</f>
        <v/>
      </c>
      <c r="L1391" s="33" t="n"/>
      <c r="M1391" s="33" t="n"/>
      <c r="N1391" s="33" t="n"/>
      <c r="O1391" s="33">
        <f>P1391+Q1391</f>
        <v/>
      </c>
      <c r="P1391" s="33" t="n"/>
      <c r="Q1391" s="33" t="n"/>
      <c r="R1391" s="33">
        <f>H1391+K1391-O1391</f>
        <v/>
      </c>
      <c r="S1391" s="33" t="n"/>
      <c r="T1391" s="33" t="n"/>
      <c r="U1391" s="33" t="n"/>
      <c r="V1391" s="33" t="n"/>
      <c r="W1391" s="33" t="n"/>
      <c r="X1391" s="33" t="n"/>
      <c r="Y1391" s="33" t="n"/>
      <c r="Z1391" s="33" t="n"/>
      <c r="AA1391" s="4">
        <f>R1391-G1391</f>
        <v/>
      </c>
      <c r="AB1391" s="4">
        <f>G1391-R1391</f>
        <v/>
      </c>
      <c r="AC1391" s="33" t="n"/>
    </row>
    <row r="1392" ht="18.75" customHeight="1">
      <c r="A1392" s="35">
        <f>SUBTOTAL(103,$B$24:B1392)</f>
        <v/>
      </c>
      <c r="B1392" s="36" t="inlineStr">
        <is>
          <t>Марміти електричні МСЕМ-110</t>
        </is>
      </c>
      <c r="C1392" s="37" t="inlineStr">
        <is>
          <t>к-т</t>
        </is>
      </c>
      <c r="D1392" s="33" t="n"/>
      <c r="E1392" s="33" t="n"/>
      <c r="F1392" s="33">
        <f>E1392*0.05</f>
        <v/>
      </c>
      <c r="G1392" s="33">
        <f>E1392+F1392</f>
        <v/>
      </c>
      <c r="H1392" s="33" t="n"/>
      <c r="I1392" s="33" t="n"/>
      <c r="J1392" s="33" t="n"/>
      <c r="K1392" s="33">
        <f>L1392+M1392+N1392</f>
        <v/>
      </c>
      <c r="L1392" s="33" t="n"/>
      <c r="M1392" s="33" t="n"/>
      <c r="N1392" s="33" t="n"/>
      <c r="O1392" s="33">
        <f>P1392+Q1392</f>
        <v/>
      </c>
      <c r="P1392" s="33" t="n"/>
      <c r="Q1392" s="33" t="n"/>
      <c r="R1392" s="33">
        <f>H1392+K1392-O1392</f>
        <v/>
      </c>
      <c r="S1392" s="33" t="n"/>
      <c r="T1392" s="33" t="n"/>
      <c r="U1392" s="33" t="n"/>
      <c r="V1392" s="33" t="n"/>
      <c r="W1392" s="33" t="n"/>
      <c r="X1392" s="33" t="n"/>
      <c r="Y1392" s="33" t="n"/>
      <c r="Z1392" s="33" t="n"/>
      <c r="AA1392" s="4">
        <f>R1392-G1392</f>
        <v/>
      </c>
      <c r="AB1392" s="4">
        <f>G1392-R1392</f>
        <v/>
      </c>
      <c r="AC1392" s="33" t="n"/>
    </row>
    <row r="1393" ht="18.75" customHeight="1">
      <c r="A1393" s="35">
        <f>SUBTOTAL(103,$B$24:B1393)</f>
        <v/>
      </c>
      <c r="B1393" s="36" t="inlineStr">
        <is>
          <t>Марміти електричні МСЕМ-60</t>
        </is>
      </c>
      <c r="C1393" s="37" t="inlineStr">
        <is>
          <t>к-т</t>
        </is>
      </c>
      <c r="D1393" s="33" t="n"/>
      <c r="E1393" s="33" t="n"/>
      <c r="F1393" s="33">
        <f>E1393*0.05</f>
        <v/>
      </c>
      <c r="G1393" s="33">
        <f>E1393+F1393</f>
        <v/>
      </c>
      <c r="H1393" s="33" t="n"/>
      <c r="I1393" s="33" t="n"/>
      <c r="J1393" s="33" t="n"/>
      <c r="K1393" s="33">
        <f>L1393+M1393+N1393</f>
        <v/>
      </c>
      <c r="L1393" s="33" t="n"/>
      <c r="M1393" s="33" t="n"/>
      <c r="N1393" s="33" t="n"/>
      <c r="O1393" s="33">
        <f>P1393+Q1393</f>
        <v/>
      </c>
      <c r="P1393" s="33" t="n"/>
      <c r="Q1393" s="33" t="n"/>
      <c r="R1393" s="33">
        <f>H1393+K1393-O1393</f>
        <v/>
      </c>
      <c r="S1393" s="33" t="n"/>
      <c r="T1393" s="33" t="n"/>
      <c r="U1393" s="33" t="n"/>
      <c r="V1393" s="33" t="n"/>
      <c r="W1393" s="33" t="n"/>
      <c r="X1393" s="33" t="n"/>
      <c r="Y1393" s="33" t="n"/>
      <c r="Z1393" s="33" t="n"/>
      <c r="AA1393" s="4">
        <f>R1393-G1393</f>
        <v/>
      </c>
      <c r="AB1393" s="4">
        <f>G1393-R1393</f>
        <v/>
      </c>
      <c r="AC1393" s="33" t="n"/>
    </row>
    <row r="1394" ht="18.75" customHeight="1">
      <c r="A1394" s="35">
        <f>SUBTOTAL(103,$B$24:B1394)</f>
        <v/>
      </c>
      <c r="B1394" s="36" t="inlineStr">
        <is>
          <t>Марміти електричні МСЕ-112</t>
        </is>
      </c>
      <c r="C1394" s="37" t="inlineStr">
        <is>
          <t>к-т</t>
        </is>
      </c>
      <c r="D1394" s="33" t="n"/>
      <c r="E1394" s="33" t="n"/>
      <c r="F1394" s="33">
        <f>E1394*0.05</f>
        <v/>
      </c>
      <c r="G1394" s="33">
        <f>E1394+F1394</f>
        <v/>
      </c>
      <c r="H1394" s="33" t="n"/>
      <c r="I1394" s="33" t="n"/>
      <c r="J1394" s="33" t="n"/>
      <c r="K1394" s="33">
        <f>L1394+M1394+N1394</f>
        <v/>
      </c>
      <c r="L1394" s="33" t="n"/>
      <c r="M1394" s="33" t="n"/>
      <c r="N1394" s="33" t="n"/>
      <c r="O1394" s="33">
        <f>P1394+Q1394</f>
        <v/>
      </c>
      <c r="P1394" s="33" t="n"/>
      <c r="Q1394" s="33" t="n"/>
      <c r="R1394" s="33">
        <f>H1394+K1394-O1394</f>
        <v/>
      </c>
      <c r="S1394" s="33" t="n"/>
      <c r="T1394" s="33" t="n"/>
      <c r="U1394" s="33" t="n"/>
      <c r="V1394" s="33" t="n"/>
      <c r="W1394" s="33" t="n"/>
      <c r="X1394" s="33" t="n"/>
      <c r="Y1394" s="33" t="n"/>
      <c r="Z1394" s="33" t="n"/>
      <c r="AA1394" s="4">
        <f>R1394-G1394</f>
        <v/>
      </c>
      <c r="AB1394" s="4">
        <f>G1394-R1394</f>
        <v/>
      </c>
      <c r="AC1394" s="33" t="n"/>
    </row>
    <row r="1395" ht="18.75" customHeight="1">
      <c r="A1395" s="35">
        <f>SUBTOTAL(103,$B$24:B1395)</f>
        <v/>
      </c>
      <c r="B1395" s="36" t="inlineStr">
        <is>
          <t>Марміти електричні ПМЕС-70К 2 комф.</t>
        </is>
      </c>
      <c r="C1395" s="37" t="inlineStr">
        <is>
          <t>к-т</t>
        </is>
      </c>
      <c r="D1395" s="33" t="n"/>
      <c r="E1395" s="33" t="n"/>
      <c r="F1395" s="33">
        <f>E1395*0.05</f>
        <v/>
      </c>
      <c r="G1395" s="33">
        <f>E1395+F1395</f>
        <v/>
      </c>
      <c r="H1395" s="33" t="n"/>
      <c r="I1395" s="33" t="n"/>
      <c r="J1395" s="33" t="n"/>
      <c r="K1395" s="33">
        <f>L1395+M1395+N1395</f>
        <v/>
      </c>
      <c r="L1395" s="33" t="n"/>
      <c r="M1395" s="33" t="n"/>
      <c r="N1395" s="33" t="n"/>
      <c r="O1395" s="33">
        <f>P1395+Q1395</f>
        <v/>
      </c>
      <c r="P1395" s="33" t="n"/>
      <c r="Q1395" s="33" t="n"/>
      <c r="R1395" s="33">
        <f>H1395+K1395-O1395</f>
        <v/>
      </c>
      <c r="S1395" s="33" t="n"/>
      <c r="T1395" s="33" t="n"/>
      <c r="U1395" s="33" t="n"/>
      <c r="V1395" s="33" t="n"/>
      <c r="W1395" s="33" t="n"/>
      <c r="X1395" s="33" t="n"/>
      <c r="Y1395" s="33" t="n"/>
      <c r="Z1395" s="33" t="n"/>
      <c r="AA1395" s="4">
        <f>R1395-G1395</f>
        <v/>
      </c>
      <c r="AB1395" s="4">
        <f>G1395-R1395</f>
        <v/>
      </c>
      <c r="AC1395" s="33" t="n"/>
    </row>
    <row r="1396" ht="18.75" customHeight="1">
      <c r="A1396" s="35">
        <f>SUBTOTAL(103,$B$24:B1396)</f>
        <v/>
      </c>
      <c r="B1396" s="36" t="inlineStr">
        <is>
          <t>Марміти електричні ПМЕС-70К 3 комф.</t>
        </is>
      </c>
      <c r="C1396" s="37" t="inlineStr">
        <is>
          <t>к-т</t>
        </is>
      </c>
      <c r="D1396" s="33" t="n"/>
      <c r="E1396" s="33" t="n"/>
      <c r="F1396" s="33">
        <f>E1396*0.05</f>
        <v/>
      </c>
      <c r="G1396" s="33">
        <f>E1396+F1396</f>
        <v/>
      </c>
      <c r="H1396" s="33" t="n"/>
      <c r="I1396" s="33" t="n"/>
      <c r="J1396" s="33" t="n"/>
      <c r="K1396" s="33">
        <f>L1396+M1396+N1396</f>
        <v/>
      </c>
      <c r="L1396" s="33" t="n"/>
      <c r="M1396" s="33" t="n"/>
      <c r="N1396" s="33" t="n"/>
      <c r="O1396" s="33">
        <f>P1396+Q1396</f>
        <v/>
      </c>
      <c r="P1396" s="33" t="n"/>
      <c r="Q1396" s="33" t="n"/>
      <c r="R1396" s="33">
        <f>H1396+K1396-O1396</f>
        <v/>
      </c>
      <c r="S1396" s="33" t="n"/>
      <c r="T1396" s="33" t="n"/>
      <c r="U1396" s="33" t="n"/>
      <c r="V1396" s="33" t="n"/>
      <c r="W1396" s="33" t="n"/>
      <c r="X1396" s="33" t="n"/>
      <c r="Y1396" s="33" t="n"/>
      <c r="Z1396" s="33" t="n"/>
      <c r="AA1396" s="4">
        <f>R1396-G1396</f>
        <v/>
      </c>
      <c r="AB1396" s="4">
        <f>G1396-R1396</f>
        <v/>
      </c>
      <c r="AC1396" s="33" t="n"/>
    </row>
    <row r="1397" ht="18.75" customHeight="1">
      <c r="A1397" s="35">
        <f>SUBTOTAL(103,$B$24:B1397)</f>
        <v/>
      </c>
      <c r="B1397" s="36" t="inlineStr">
        <is>
          <t>Марміти електричні для 2-х страв інші</t>
        </is>
      </c>
      <c r="C1397" s="37" t="inlineStr">
        <is>
          <t>к-т</t>
        </is>
      </c>
      <c r="D1397" s="33" t="n"/>
      <c r="E1397" s="33" t="n"/>
      <c r="F1397" s="33">
        <f>E1397*0.05</f>
        <v/>
      </c>
      <c r="G1397" s="33">
        <f>E1397+F1397</f>
        <v/>
      </c>
      <c r="H1397" s="33" t="n"/>
      <c r="I1397" s="33" t="n"/>
      <c r="J1397" s="33" t="n"/>
      <c r="K1397" s="33">
        <f>L1397+M1397+N1397</f>
        <v/>
      </c>
      <c r="L1397" s="33" t="n"/>
      <c r="M1397" s="33" t="n"/>
      <c r="N1397" s="33" t="n"/>
      <c r="O1397" s="33">
        <f>P1397+Q1397</f>
        <v/>
      </c>
      <c r="P1397" s="33" t="n"/>
      <c r="Q1397" s="33" t="n"/>
      <c r="R1397" s="33">
        <f>H1397+K1397-O1397</f>
        <v/>
      </c>
      <c r="S1397" s="33" t="n"/>
      <c r="T1397" s="33" t="n"/>
      <c r="U1397" s="33" t="n"/>
      <c r="V1397" s="33" t="n"/>
      <c r="W1397" s="33" t="n"/>
      <c r="X1397" s="33" t="n"/>
      <c r="Y1397" s="33" t="n"/>
      <c r="Z1397" s="33" t="n"/>
      <c r="AA1397" s="4">
        <f>R1397-G1397</f>
        <v/>
      </c>
      <c r="AB1397" s="4">
        <f>G1397-R1397</f>
        <v/>
      </c>
      <c r="AC1397" s="33" t="n"/>
    </row>
    <row r="1398" ht="18.75" customHeight="1">
      <c r="A1398" s="35">
        <f>SUBTOTAL(103,$B$24:B1398)</f>
        <v/>
      </c>
      <c r="B1398" s="36" t="inlineStr">
        <is>
          <t xml:space="preserve">Марміти електричні пересувні </t>
        </is>
      </c>
      <c r="C1398" s="37" t="inlineStr">
        <is>
          <t>к-т</t>
        </is>
      </c>
      <c r="D1398" s="33" t="n"/>
      <c r="E1398" s="33" t="n"/>
      <c r="F1398" s="33">
        <f>E1398*0.05</f>
        <v/>
      </c>
      <c r="G1398" s="33">
        <f>E1398+F1398</f>
        <v/>
      </c>
      <c r="H1398" s="33" t="n"/>
      <c r="I1398" s="33" t="n"/>
      <c r="J1398" s="33" t="n"/>
      <c r="K1398" s="33">
        <f>L1398+M1398+N1398</f>
        <v/>
      </c>
      <c r="L1398" s="33" t="n"/>
      <c r="M1398" s="33" t="n"/>
      <c r="N1398" s="33" t="n"/>
      <c r="O1398" s="33">
        <f>P1398+Q1398</f>
        <v/>
      </c>
      <c r="P1398" s="33" t="n"/>
      <c r="Q1398" s="33" t="n"/>
      <c r="R1398" s="33">
        <f>H1398+K1398-O1398</f>
        <v/>
      </c>
      <c r="S1398" s="33" t="n"/>
      <c r="T1398" s="33" t="n"/>
      <c r="U1398" s="33" t="n"/>
      <c r="V1398" s="33" t="n"/>
      <c r="W1398" s="33" t="n"/>
      <c r="X1398" s="33" t="n"/>
      <c r="Y1398" s="33" t="n"/>
      <c r="Z1398" s="33" t="n"/>
      <c r="AA1398" s="4">
        <f>R1398-G1398</f>
        <v/>
      </c>
      <c r="AB1398" s="4">
        <f>G1398-R1398</f>
        <v/>
      </c>
      <c r="AC1398" s="33" t="n"/>
    </row>
    <row r="1399" ht="18.75" customHeight="1">
      <c r="A1399" s="35">
        <f>SUBTOTAL(103,$B$24:B1399)</f>
        <v/>
      </c>
      <c r="B1399" s="36" t="inlineStr">
        <is>
          <t>Марміт МС 2Б-1445-К</t>
        </is>
      </c>
      <c r="C1399" s="37" t="inlineStr">
        <is>
          <t>к-т</t>
        </is>
      </c>
      <c r="D1399" s="33" t="n"/>
      <c r="E1399" s="33" t="n"/>
      <c r="F1399" s="33">
        <f>E1399*0.05</f>
        <v/>
      </c>
      <c r="G1399" s="33">
        <f>E1399+F1399</f>
        <v/>
      </c>
      <c r="H1399" s="33" t="n"/>
      <c r="I1399" s="33" t="n"/>
      <c r="J1399" s="33" t="n"/>
      <c r="K1399" s="33">
        <f>L1399+M1399+N1399</f>
        <v/>
      </c>
      <c r="L1399" s="33" t="n"/>
      <c r="M1399" s="33" t="n"/>
      <c r="N1399" s="33" t="n"/>
      <c r="O1399" s="33">
        <f>P1399+Q1399</f>
        <v/>
      </c>
      <c r="P1399" s="33" t="n"/>
      <c r="Q1399" s="33" t="n"/>
      <c r="R1399" s="33">
        <f>H1399+K1399-O1399</f>
        <v/>
      </c>
      <c r="S1399" s="33" t="n"/>
      <c r="T1399" s="33" t="n"/>
      <c r="U1399" s="33" t="n"/>
      <c r="V1399" s="33" t="n"/>
      <c r="W1399" s="33" t="n"/>
      <c r="X1399" s="33" t="n"/>
      <c r="Y1399" s="33" t="n"/>
      <c r="Z1399" s="33" t="n"/>
      <c r="AA1399" s="4">
        <f>R1399-G1399</f>
        <v/>
      </c>
      <c r="AB1399" s="4">
        <f>G1399-R1399</f>
        <v/>
      </c>
      <c r="AC1399" s="33" t="n"/>
    </row>
    <row r="1400" ht="37.5" customHeight="1">
      <c r="A1400" s="35">
        <f>SUBTOTAL(103,$B$24:B1400)</f>
        <v/>
      </c>
      <c r="B1400" s="36" t="inlineStr">
        <is>
          <t xml:space="preserve">Марміт електричний настільний  Kitchen Line GN/1 </t>
        </is>
      </c>
      <c r="C1400" s="37" t="inlineStr">
        <is>
          <t>к-т</t>
        </is>
      </c>
      <c r="D1400" s="33" t="n"/>
      <c r="E1400" s="33" t="n"/>
      <c r="F1400" s="33">
        <f>E1400*0.05</f>
        <v/>
      </c>
      <c r="G1400" s="33">
        <f>E1400+F1400</f>
        <v/>
      </c>
      <c r="H1400" s="33" t="n"/>
      <c r="I1400" s="33" t="n"/>
      <c r="J1400" s="33" t="n"/>
      <c r="K1400" s="33">
        <f>L1400+M1400+N1400</f>
        <v/>
      </c>
      <c r="L1400" s="33" t="n"/>
      <c r="M1400" s="33" t="n"/>
      <c r="N1400" s="33" t="n"/>
      <c r="O1400" s="33">
        <f>P1400+Q1400</f>
        <v/>
      </c>
      <c r="P1400" s="33" t="n"/>
      <c r="Q1400" s="33" t="n"/>
      <c r="R1400" s="33">
        <f>H1400+K1400-O1400</f>
        <v/>
      </c>
      <c r="S1400" s="33" t="n"/>
      <c r="T1400" s="33" t="n"/>
      <c r="U1400" s="33" t="n"/>
      <c r="V1400" s="33" t="n"/>
      <c r="W1400" s="33" t="n"/>
      <c r="X1400" s="33" t="n"/>
      <c r="Y1400" s="33" t="n"/>
      <c r="Z1400" s="33" t="n"/>
      <c r="AA1400" s="4">
        <f>R1400-G1400</f>
        <v/>
      </c>
      <c r="AB1400" s="4">
        <f>G1400-R1400</f>
        <v/>
      </c>
      <c r="AC1400" s="33" t="n"/>
    </row>
    <row r="1401" ht="18.75" customHeight="1">
      <c r="A1401" s="35">
        <f>SUBTOTAL(103,$B$24:B1401)</f>
        <v/>
      </c>
      <c r="B1401" s="39" t="inlineStr">
        <is>
          <t>ФРИТЮРНИЦІ ЕЛЕКТРИЧНІ</t>
        </is>
      </c>
      <c r="C1401" s="37" t="n"/>
      <c r="D1401" s="33" t="n"/>
      <c r="E1401" s="33" t="n"/>
      <c r="F1401" s="33">
        <f>E1401*0.05</f>
        <v/>
      </c>
      <c r="G1401" s="33">
        <f>E1401+F1401</f>
        <v/>
      </c>
      <c r="H1401" s="33" t="n"/>
      <c r="I1401" s="33" t="n"/>
      <c r="J1401" s="33" t="n"/>
      <c r="K1401" s="33">
        <f>L1401+M1401+N1401</f>
        <v/>
      </c>
      <c r="L1401" s="33" t="n"/>
      <c r="M1401" s="33" t="n"/>
      <c r="N1401" s="33" t="n"/>
      <c r="O1401" s="33">
        <f>P1401+Q1401</f>
        <v/>
      </c>
      <c r="P1401" s="33" t="n"/>
      <c r="Q1401" s="33" t="n"/>
      <c r="R1401" s="33">
        <f>H1401+K1401-O1401</f>
        <v/>
      </c>
      <c r="S1401" s="33" t="n"/>
      <c r="T1401" s="33" t="n"/>
      <c r="U1401" s="33" t="n"/>
      <c r="V1401" s="33" t="n"/>
      <c r="W1401" s="33" t="n"/>
      <c r="X1401" s="33" t="n"/>
      <c r="Y1401" s="33" t="n"/>
      <c r="Z1401" s="33" t="n"/>
      <c r="AA1401" s="4">
        <f>R1401-G1401</f>
        <v/>
      </c>
      <c r="AB1401" s="4">
        <f>G1401-R1401</f>
        <v/>
      </c>
      <c r="AC1401" s="33" t="n"/>
    </row>
    <row r="1402" ht="37.5" customHeight="1">
      <c r="A1402" s="35">
        <f>SUBTOTAL(103,$B$24:B1402)</f>
        <v/>
      </c>
      <c r="B1402" s="36" t="inlineStr">
        <is>
          <t>Фритюрниця електрична на 2 ванни обємом по 9-12 л. GAM F9+9V</t>
        </is>
      </c>
      <c r="C1402" s="37" t="inlineStr">
        <is>
          <t>к-т</t>
        </is>
      </c>
      <c r="D1402" s="33" t="n"/>
      <c r="E1402" s="33" t="n"/>
      <c r="F1402" s="33">
        <f>E1402*0.05</f>
        <v/>
      </c>
      <c r="G1402" s="33">
        <f>E1402+F1402</f>
        <v/>
      </c>
      <c r="H1402" s="33" t="n"/>
      <c r="I1402" s="33" t="n"/>
      <c r="J1402" s="33" t="n"/>
      <c r="K1402" s="33">
        <f>L1402+M1402+N1402</f>
        <v/>
      </c>
      <c r="L1402" s="33" t="n"/>
      <c r="M1402" s="33" t="n"/>
      <c r="N1402" s="33" t="n"/>
      <c r="O1402" s="33">
        <f>P1402+Q1402</f>
        <v/>
      </c>
      <c r="P1402" s="33" t="n"/>
      <c r="Q1402" s="33" t="n"/>
      <c r="R1402" s="33">
        <f>H1402+K1402-O1402</f>
        <v/>
      </c>
      <c r="S1402" s="33" t="n"/>
      <c r="T1402" s="33" t="n"/>
      <c r="U1402" s="33" t="n"/>
      <c r="V1402" s="33" t="n"/>
      <c r="W1402" s="33" t="n"/>
      <c r="X1402" s="33" t="n"/>
      <c r="Y1402" s="33" t="n"/>
      <c r="Z1402" s="33" t="n"/>
      <c r="AA1402" s="4">
        <f>R1402-G1402</f>
        <v/>
      </c>
      <c r="AB1402" s="4">
        <f>G1402-R1402</f>
        <v/>
      </c>
      <c r="AC1402" s="33" t="n"/>
    </row>
    <row r="1403" ht="37.5" customHeight="1">
      <c r="A1403" s="35">
        <f>SUBTOTAL(103,$B$24:B1403)</f>
        <v/>
      </c>
      <c r="B1403" s="36" t="inlineStr">
        <is>
          <t>Фритюрниця електрична на 2 ванни обємом по 6-8 л. GGM Gastro EFH8+8</t>
        </is>
      </c>
      <c r="C1403" s="37" t="inlineStr">
        <is>
          <t>к-т</t>
        </is>
      </c>
      <c r="D1403" s="33" t="n"/>
      <c r="E1403" s="33" t="n"/>
      <c r="F1403" s="33">
        <f>E1403*0.05</f>
        <v/>
      </c>
      <c r="G1403" s="33">
        <f>E1403+F1403</f>
        <v/>
      </c>
      <c r="H1403" s="33" t="n"/>
      <c r="I1403" s="33" t="n"/>
      <c r="J1403" s="33" t="n"/>
      <c r="K1403" s="33">
        <f>L1403+M1403+N1403</f>
        <v/>
      </c>
      <c r="L1403" s="33" t="n"/>
      <c r="M1403" s="33" t="n"/>
      <c r="N1403" s="33" t="n"/>
      <c r="O1403" s="33">
        <f>P1403+Q1403</f>
        <v/>
      </c>
      <c r="P1403" s="33" t="n"/>
      <c r="Q1403" s="33" t="n"/>
      <c r="R1403" s="33">
        <f>H1403+K1403-O1403</f>
        <v/>
      </c>
      <c r="S1403" s="33" t="n"/>
      <c r="T1403" s="33" t="n"/>
      <c r="U1403" s="33" t="n"/>
      <c r="V1403" s="33" t="n"/>
      <c r="W1403" s="33" t="n"/>
      <c r="X1403" s="33" t="n"/>
      <c r="Y1403" s="33" t="n"/>
      <c r="Z1403" s="33" t="n"/>
      <c r="AA1403" s="4">
        <f>R1403-G1403</f>
        <v/>
      </c>
      <c r="AB1403" s="4">
        <f>G1403-R1403</f>
        <v/>
      </c>
      <c r="AC1403" s="33" t="n"/>
    </row>
    <row r="1404" ht="37.5" customHeight="1">
      <c r="A1404" s="35">
        <f>SUBTOTAL(103,$B$24:B1404)</f>
        <v/>
      </c>
      <c r="B1404" s="36" t="inlineStr">
        <is>
          <t>Фритюрниця електрична на 2 ванни обємом по 6-8 л. HEF-6L</t>
        </is>
      </c>
      <c r="C1404" s="37" t="inlineStr">
        <is>
          <t>к-т</t>
        </is>
      </c>
      <c r="D1404" s="33" t="n"/>
      <c r="E1404" s="33" t="n"/>
      <c r="F1404" s="33">
        <f>E1404*0.05</f>
        <v/>
      </c>
      <c r="G1404" s="33">
        <f>E1404+F1404</f>
        <v/>
      </c>
      <c r="H1404" s="33" t="n"/>
      <c r="I1404" s="33" t="n"/>
      <c r="J1404" s="33" t="n"/>
      <c r="K1404" s="33">
        <f>L1404+M1404+N1404</f>
        <v/>
      </c>
      <c r="L1404" s="33" t="n"/>
      <c r="M1404" s="33" t="n"/>
      <c r="N1404" s="33" t="n"/>
      <c r="O1404" s="33">
        <f>P1404+Q1404</f>
        <v/>
      </c>
      <c r="P1404" s="33" t="n"/>
      <c r="Q1404" s="33" t="n"/>
      <c r="R1404" s="33">
        <f>H1404+K1404-O1404</f>
        <v/>
      </c>
      <c r="S1404" s="33" t="n"/>
      <c r="T1404" s="33" t="n"/>
      <c r="U1404" s="33" t="n"/>
      <c r="V1404" s="33" t="n"/>
      <c r="W1404" s="33" t="n"/>
      <c r="X1404" s="33" t="n"/>
      <c r="Y1404" s="33" t="n"/>
      <c r="Z1404" s="33" t="n"/>
      <c r="AA1404" s="4">
        <f>R1404-G1404</f>
        <v/>
      </c>
      <c r="AB1404" s="4">
        <f>G1404-R1404</f>
        <v/>
      </c>
      <c r="AC1404" s="33" t="n"/>
    </row>
    <row r="1405" ht="37.5" customHeight="1">
      <c r="A1405" s="35">
        <f>SUBTOTAL(103,$B$24:B1405)</f>
        <v/>
      </c>
      <c r="B1405" s="36" t="inlineStr">
        <is>
          <t>Фритюрниця електрична на 2 ванни обємом по 8 л. EF-082V</t>
        </is>
      </c>
      <c r="C1405" s="37" t="inlineStr">
        <is>
          <t>к-т</t>
        </is>
      </c>
      <c r="D1405" s="33" t="n"/>
      <c r="E1405" s="33" t="n"/>
      <c r="F1405" s="33">
        <f>E1405*0.05</f>
        <v/>
      </c>
      <c r="G1405" s="33">
        <f>E1405+F1405</f>
        <v/>
      </c>
      <c r="H1405" s="33" t="n"/>
      <c r="I1405" s="33" t="n"/>
      <c r="J1405" s="33" t="n"/>
      <c r="K1405" s="33">
        <f>L1405+M1405+N1405</f>
        <v/>
      </c>
      <c r="L1405" s="33" t="n"/>
      <c r="M1405" s="33" t="n"/>
      <c r="N1405" s="33" t="n"/>
      <c r="O1405" s="33">
        <f>P1405+Q1405</f>
        <v/>
      </c>
      <c r="P1405" s="33" t="n"/>
      <c r="Q1405" s="33" t="n"/>
      <c r="R1405" s="33">
        <f>H1405+K1405-O1405</f>
        <v/>
      </c>
      <c r="S1405" s="33" t="n"/>
      <c r="T1405" s="33" t="n"/>
      <c r="U1405" s="33" t="n"/>
      <c r="V1405" s="33" t="n"/>
      <c r="W1405" s="33" t="n"/>
      <c r="X1405" s="33" t="n"/>
      <c r="Y1405" s="33" t="n"/>
      <c r="Z1405" s="33" t="n"/>
      <c r="AA1405" s="4">
        <f>R1405-G1405</f>
        <v/>
      </c>
      <c r="AB1405" s="4">
        <f>G1405-R1405</f>
        <v/>
      </c>
      <c r="AC1405" s="33" t="n"/>
    </row>
    <row r="1406" ht="37.5" customHeight="1">
      <c r="A1406" s="35">
        <f>SUBTOTAL(103,$B$24:B1406)</f>
        <v/>
      </c>
      <c r="B1406" s="36" t="inlineStr">
        <is>
          <t>Фритюрниця електрична на 2 ванни обємом по 10 л. EF-102V</t>
        </is>
      </c>
      <c r="C1406" s="37" t="inlineStr">
        <is>
          <t>к-т</t>
        </is>
      </c>
      <c r="D1406" s="33" t="n"/>
      <c r="E1406" s="33" t="n"/>
      <c r="F1406" s="33">
        <f>E1406*0.05</f>
        <v/>
      </c>
      <c r="G1406" s="33">
        <f>E1406+F1406</f>
        <v/>
      </c>
      <c r="H1406" s="33" t="n"/>
      <c r="I1406" s="33" t="n"/>
      <c r="J1406" s="33" t="n"/>
      <c r="K1406" s="33">
        <f>L1406+M1406+N1406</f>
        <v/>
      </c>
      <c r="L1406" s="33" t="n"/>
      <c r="M1406" s="33" t="n"/>
      <c r="N1406" s="33" t="n"/>
      <c r="O1406" s="33">
        <f>P1406+Q1406</f>
        <v/>
      </c>
      <c r="P1406" s="33" t="n"/>
      <c r="Q1406" s="33" t="n"/>
      <c r="R1406" s="33">
        <f>H1406+K1406-O1406</f>
        <v/>
      </c>
      <c r="S1406" s="33" t="n"/>
      <c r="T1406" s="33" t="n"/>
      <c r="U1406" s="33" t="n"/>
      <c r="V1406" s="33" t="n"/>
      <c r="W1406" s="33" t="n"/>
      <c r="X1406" s="33" t="n"/>
      <c r="Y1406" s="33" t="n"/>
      <c r="Z1406" s="33" t="n"/>
      <c r="AA1406" s="4">
        <f>R1406-G1406</f>
        <v/>
      </c>
      <c r="AB1406" s="4">
        <f>G1406-R1406</f>
        <v/>
      </c>
      <c r="AC1406" s="33" t="n"/>
    </row>
    <row r="1407" ht="56.25" customHeight="1">
      <c r="A1407" s="35">
        <f>SUBTOTAL(103,$B$24:B1407)</f>
        <v/>
      </c>
      <c r="B1407" s="36" t="inlineStr">
        <is>
          <t>Фритюрниця електрична на 2 ванни об'ємом по 9-12 л. HURAKAN HKN-FT1010N</t>
        </is>
      </c>
      <c r="C1407" s="37" t="inlineStr">
        <is>
          <t>к-т</t>
        </is>
      </c>
      <c r="D1407" s="33" t="n"/>
      <c r="E1407" s="33" t="n"/>
      <c r="F1407" s="33">
        <f>E1407*0.05</f>
        <v/>
      </c>
      <c r="G1407" s="33">
        <f>E1407+F1407</f>
        <v/>
      </c>
      <c r="H1407" s="33" t="n"/>
      <c r="I1407" s="33" t="n"/>
      <c r="J1407" s="33" t="n"/>
      <c r="K1407" s="33">
        <f>L1407+M1407+N1407</f>
        <v/>
      </c>
      <c r="L1407" s="33" t="n"/>
      <c r="M1407" s="33" t="n"/>
      <c r="N1407" s="33" t="n"/>
      <c r="O1407" s="33">
        <f>P1407+Q1407</f>
        <v/>
      </c>
      <c r="P1407" s="33" t="n"/>
      <c r="Q1407" s="33" t="n"/>
      <c r="R1407" s="33">
        <f>H1407+K1407-O1407</f>
        <v/>
      </c>
      <c r="S1407" s="33" t="n"/>
      <c r="T1407" s="33" t="n"/>
      <c r="U1407" s="33" t="n"/>
      <c r="V1407" s="33" t="n"/>
      <c r="W1407" s="33" t="n"/>
      <c r="X1407" s="33" t="n"/>
      <c r="Y1407" s="33" t="n"/>
      <c r="Z1407" s="33" t="n"/>
      <c r="AA1407" s="4">
        <f>R1407-G1407</f>
        <v/>
      </c>
      <c r="AB1407" s="4">
        <f>G1407-R1407</f>
        <v/>
      </c>
      <c r="AC1407" s="33" t="n"/>
    </row>
    <row r="1408" ht="37.5" customHeight="1">
      <c r="A1408" s="35">
        <f>SUBTOTAL(103,$B$24:B1408)</f>
        <v/>
      </c>
      <c r="B1408" s="36" t="inlineStr">
        <is>
          <t>Фритюрниця електрична 10-12 л., TM OREST FE-0,4</t>
        </is>
      </c>
      <c r="C1408" s="37" t="inlineStr">
        <is>
          <t>к-т</t>
        </is>
      </c>
      <c r="D1408" s="33" t="n"/>
      <c r="E1408" s="33" t="n"/>
      <c r="F1408" s="33">
        <f>E1408*0.05</f>
        <v/>
      </c>
      <c r="G1408" s="33">
        <f>E1408+F1408</f>
        <v/>
      </c>
      <c r="H1408" s="33" t="n"/>
      <c r="I1408" s="33" t="n"/>
      <c r="J1408" s="33" t="n"/>
      <c r="K1408" s="33">
        <f>L1408+M1408+N1408</f>
        <v/>
      </c>
      <c r="L1408" s="33" t="n"/>
      <c r="M1408" s="33" t="n"/>
      <c r="N1408" s="33" t="n"/>
      <c r="O1408" s="33">
        <f>P1408+Q1408</f>
        <v/>
      </c>
      <c r="P1408" s="33" t="n"/>
      <c r="Q1408" s="33" t="n"/>
      <c r="R1408" s="33">
        <f>H1408+K1408-O1408</f>
        <v/>
      </c>
      <c r="S1408" s="33" t="n"/>
      <c r="T1408" s="33" t="n"/>
      <c r="U1408" s="33" t="n"/>
      <c r="V1408" s="33" t="n"/>
      <c r="W1408" s="33" t="n"/>
      <c r="X1408" s="33" t="n"/>
      <c r="Y1408" s="33" t="n"/>
      <c r="Z1408" s="33" t="n"/>
      <c r="AA1408" s="4">
        <f>R1408-G1408</f>
        <v/>
      </c>
      <c r="AB1408" s="4">
        <f>G1408-R1408</f>
        <v/>
      </c>
      <c r="AC1408" s="33" t="n"/>
    </row>
    <row r="1409" ht="18.75" customHeight="1">
      <c r="A1409" s="35">
        <f>SUBTOTAL(103,$B$24:B1409)</f>
        <v/>
      </c>
      <c r="B1409" s="36" t="inlineStr">
        <is>
          <t xml:space="preserve">Фритюрниці електричні </t>
        </is>
      </c>
      <c r="C1409" s="37" t="inlineStr">
        <is>
          <t>к-т</t>
        </is>
      </c>
      <c r="D1409" s="33" t="n"/>
      <c r="E1409" s="33" t="n"/>
      <c r="F1409" s="33">
        <f>E1409*0.05</f>
        <v/>
      </c>
      <c r="G1409" s="33">
        <f>E1409+F1409</f>
        <v/>
      </c>
      <c r="H1409" s="33" t="n"/>
      <c r="I1409" s="33" t="n"/>
      <c r="J1409" s="33" t="n"/>
      <c r="K1409" s="33">
        <f>L1409+M1409+N1409</f>
        <v/>
      </c>
      <c r="L1409" s="33" t="n"/>
      <c r="M1409" s="33" t="n"/>
      <c r="N1409" s="33" t="n"/>
      <c r="O1409" s="33">
        <f>P1409+Q1409</f>
        <v/>
      </c>
      <c r="P1409" s="33" t="n"/>
      <c r="Q1409" s="33" t="n"/>
      <c r="R1409" s="33">
        <f>H1409+K1409-O1409</f>
        <v/>
      </c>
      <c r="S1409" s="33" t="n"/>
      <c r="T1409" s="33" t="n"/>
      <c r="U1409" s="33" t="n"/>
      <c r="V1409" s="33" t="n"/>
      <c r="W1409" s="33" t="n"/>
      <c r="X1409" s="33" t="n"/>
      <c r="Y1409" s="33" t="n"/>
      <c r="Z1409" s="33" t="n"/>
      <c r="AA1409" s="4">
        <f>R1409-G1409</f>
        <v/>
      </c>
      <c r="AB1409" s="4">
        <f>G1409-R1409</f>
        <v/>
      </c>
      <c r="AC1409" s="33" t="n"/>
    </row>
    <row r="1410" ht="18.75" customHeight="1">
      <c r="A1410" s="35">
        <f>SUBTOTAL(103,$B$24:B1410)</f>
        <v/>
      </c>
      <c r="B1410" s="36" t="inlineStr">
        <is>
          <t>Фритюрниця електрична ЄФК-40/1</t>
        </is>
      </c>
      <c r="C1410" s="37" t="inlineStr">
        <is>
          <t>к-т</t>
        </is>
      </c>
      <c r="D1410" s="33" t="n"/>
      <c r="E1410" s="33" t="n"/>
      <c r="F1410" s="33">
        <f>E1410*0.05</f>
        <v/>
      </c>
      <c r="G1410" s="33">
        <f>E1410+F1410</f>
        <v/>
      </c>
      <c r="H1410" s="33" t="n"/>
      <c r="I1410" s="33" t="n"/>
      <c r="J1410" s="33" t="n"/>
      <c r="K1410" s="33">
        <f>L1410+M1410+N1410</f>
        <v/>
      </c>
      <c r="L1410" s="33" t="n"/>
      <c r="M1410" s="33" t="n"/>
      <c r="N1410" s="33" t="n"/>
      <c r="O1410" s="33">
        <f>P1410+Q1410</f>
        <v/>
      </c>
      <c r="P1410" s="33" t="n"/>
      <c r="Q1410" s="33" t="n"/>
      <c r="R1410" s="33">
        <f>H1410+K1410-O1410</f>
        <v/>
      </c>
      <c r="S1410" s="33" t="n"/>
      <c r="T1410" s="33" t="n"/>
      <c r="U1410" s="33" t="n"/>
      <c r="V1410" s="33" t="n"/>
      <c r="W1410" s="33" t="n"/>
      <c r="X1410" s="33" t="n"/>
      <c r="Y1410" s="33" t="n"/>
      <c r="Z1410" s="33" t="n"/>
      <c r="AA1410" s="4">
        <f>R1410-G1410</f>
        <v/>
      </c>
      <c r="AB1410" s="4">
        <f>G1410-R1410</f>
        <v/>
      </c>
      <c r="AC1410" s="33" t="n"/>
    </row>
    <row r="1411" ht="18.75" customHeight="1">
      <c r="A1411" s="35">
        <f>SUBTOTAL(103,$B$24:B1411)</f>
        <v/>
      </c>
      <c r="B1411" s="39" t="inlineStr">
        <is>
          <t>СКОВОРОДИ ЕЛЕКТРИЧНІ</t>
        </is>
      </c>
      <c r="C1411" s="37" t="n"/>
      <c r="D1411" s="33" t="n"/>
      <c r="E1411" s="33" t="n"/>
      <c r="F1411" s="33">
        <f>E1411*0.05</f>
        <v/>
      </c>
      <c r="G1411" s="33">
        <f>E1411+F1411</f>
        <v/>
      </c>
      <c r="H1411" s="33" t="n"/>
      <c r="I1411" s="33" t="n"/>
      <c r="J1411" s="33" t="n"/>
      <c r="K1411" s="33">
        <f>L1411+M1411+N1411</f>
        <v/>
      </c>
      <c r="L1411" s="33" t="n"/>
      <c r="M1411" s="33" t="n"/>
      <c r="N1411" s="33" t="n"/>
      <c r="O1411" s="33">
        <f>P1411+Q1411</f>
        <v/>
      </c>
      <c r="P1411" s="33" t="n"/>
      <c r="Q1411" s="33" t="n"/>
      <c r="R1411" s="33">
        <f>H1411+K1411-O1411</f>
        <v/>
      </c>
      <c r="S1411" s="33" t="n"/>
      <c r="T1411" s="33" t="n"/>
      <c r="U1411" s="33" t="n"/>
      <c r="V1411" s="33" t="n"/>
      <c r="W1411" s="33" t="n"/>
      <c r="X1411" s="33" t="n"/>
      <c r="Y1411" s="33" t="n"/>
      <c r="Z1411" s="33" t="n"/>
      <c r="AA1411" s="4">
        <f>R1411-G1411</f>
        <v/>
      </c>
      <c r="AB1411" s="4">
        <f>G1411-R1411</f>
        <v/>
      </c>
      <c r="AC1411" s="33" t="n"/>
    </row>
    <row r="1412" ht="18.75" customHeight="1">
      <c r="A1412" s="35">
        <f>SUBTOTAL(103,$B$24:B1412)</f>
        <v/>
      </c>
      <c r="B1412" s="36" t="inlineStr">
        <is>
          <t>Сковорода електрична</t>
        </is>
      </c>
      <c r="C1412" s="37" t="inlineStr">
        <is>
          <t>к-т</t>
        </is>
      </c>
      <c r="D1412" s="33" t="n"/>
      <c r="E1412" s="33" t="n"/>
      <c r="F1412" s="33">
        <f>E1412*0.05</f>
        <v/>
      </c>
      <c r="G1412" s="33">
        <f>E1412+F1412</f>
        <v/>
      </c>
      <c r="H1412" s="33" t="n"/>
      <c r="I1412" s="33" t="n"/>
      <c r="J1412" s="33" t="n"/>
      <c r="K1412" s="33">
        <f>L1412+M1412+N1412</f>
        <v/>
      </c>
      <c r="L1412" s="33" t="n"/>
      <c r="M1412" s="33" t="n"/>
      <c r="N1412" s="33" t="n"/>
      <c r="O1412" s="33">
        <f>P1412+Q1412</f>
        <v/>
      </c>
      <c r="P1412" s="33" t="n"/>
      <c r="Q1412" s="33" t="n"/>
      <c r="R1412" s="33">
        <f>H1412+K1412-O1412</f>
        <v/>
      </c>
      <c r="S1412" s="33" t="n"/>
      <c r="T1412" s="33" t="n"/>
      <c r="U1412" s="33" t="n"/>
      <c r="V1412" s="33" t="n"/>
      <c r="W1412" s="33" t="n"/>
      <c r="X1412" s="33" t="n"/>
      <c r="Y1412" s="33" t="n"/>
      <c r="Z1412" s="33" t="n"/>
      <c r="AA1412" s="4">
        <f>R1412-G1412</f>
        <v/>
      </c>
      <c r="AB1412" s="4">
        <f>G1412-R1412</f>
        <v/>
      </c>
      <c r="AC1412" s="33" t="n"/>
    </row>
    <row r="1413" ht="18.75" customHeight="1">
      <c r="A1413" s="35">
        <f>SUBTOTAL(103,$B$24:B1413)</f>
        <v/>
      </c>
      <c r="B1413" s="36" t="inlineStr">
        <is>
          <t>Сковороди електричні ПЕ-0,5</t>
        </is>
      </c>
      <c r="C1413" s="37" t="inlineStr">
        <is>
          <t>к-т</t>
        </is>
      </c>
      <c r="D1413" s="33" t="n"/>
      <c r="E1413" s="33" t="n"/>
      <c r="F1413" s="33">
        <f>E1413*0.05</f>
        <v/>
      </c>
      <c r="G1413" s="33">
        <f>E1413+F1413</f>
        <v/>
      </c>
      <c r="H1413" s="33" t="n"/>
      <c r="I1413" s="33" t="n"/>
      <c r="J1413" s="33" t="n"/>
      <c r="K1413" s="33">
        <f>L1413+M1413+N1413</f>
        <v/>
      </c>
      <c r="L1413" s="33" t="n"/>
      <c r="M1413" s="33" t="n"/>
      <c r="N1413" s="33" t="n"/>
      <c r="O1413" s="33">
        <f>P1413+Q1413</f>
        <v/>
      </c>
      <c r="P1413" s="33" t="n"/>
      <c r="Q1413" s="33" t="n"/>
      <c r="R1413" s="33">
        <f>H1413+K1413-O1413</f>
        <v/>
      </c>
      <c r="S1413" s="33" t="n"/>
      <c r="T1413" s="33" t="n"/>
      <c r="U1413" s="33" t="n"/>
      <c r="V1413" s="33" t="n"/>
      <c r="W1413" s="33" t="n"/>
      <c r="X1413" s="33" t="n"/>
      <c r="Y1413" s="33" t="n"/>
      <c r="Z1413" s="33" t="n"/>
      <c r="AA1413" s="4">
        <f>R1413-G1413</f>
        <v/>
      </c>
      <c r="AB1413" s="4">
        <f>G1413-R1413</f>
        <v/>
      </c>
      <c r="AC1413" s="33" t="n"/>
    </row>
    <row r="1414" ht="37.5" customHeight="1">
      <c r="A1414" s="35">
        <f>SUBTOTAL(103,$B$24:B1414)</f>
        <v/>
      </c>
      <c r="B1414" s="36" t="inlineStr">
        <is>
          <t>Сковороди електричні СЕСМ-0,2 (30-40 л.)</t>
        </is>
      </c>
      <c r="C1414" s="37" t="inlineStr">
        <is>
          <t>к-т</t>
        </is>
      </c>
      <c r="D1414" s="33" t="n"/>
      <c r="E1414" s="33" t="n"/>
      <c r="F1414" s="33">
        <f>E1414*0.05</f>
        <v/>
      </c>
      <c r="G1414" s="33">
        <f>E1414+F1414</f>
        <v/>
      </c>
      <c r="H1414" s="33" t="n"/>
      <c r="I1414" s="33" t="n"/>
      <c r="J1414" s="33" t="n"/>
      <c r="K1414" s="33">
        <f>L1414+M1414+N1414</f>
        <v/>
      </c>
      <c r="L1414" s="33" t="n"/>
      <c r="M1414" s="33" t="n"/>
      <c r="N1414" s="33" t="n"/>
      <c r="O1414" s="33">
        <f>P1414+Q1414</f>
        <v/>
      </c>
      <c r="P1414" s="33" t="n"/>
      <c r="Q1414" s="33" t="n"/>
      <c r="R1414" s="33">
        <f>H1414+K1414-O1414</f>
        <v/>
      </c>
      <c r="S1414" s="33" t="n"/>
      <c r="T1414" s="33" t="n"/>
      <c r="U1414" s="33" t="n"/>
      <c r="V1414" s="33" t="n"/>
      <c r="W1414" s="33" t="n"/>
      <c r="X1414" s="33" t="n"/>
      <c r="Y1414" s="33" t="n"/>
      <c r="Z1414" s="33" t="n"/>
      <c r="AA1414" s="4">
        <f>R1414-G1414</f>
        <v/>
      </c>
      <c r="AB1414" s="4">
        <f>G1414-R1414</f>
        <v/>
      </c>
      <c r="AC1414" s="33" t="n"/>
    </row>
    <row r="1415" ht="37.5" customHeight="1">
      <c r="A1415" s="35">
        <f>SUBTOTAL(103,$B$24:B1415)</f>
        <v/>
      </c>
      <c r="B1415" s="36" t="inlineStr">
        <is>
          <t>Сковороди електричні СЕМС-0,35 (41-60 л)</t>
        </is>
      </c>
      <c r="C1415" s="37" t="inlineStr">
        <is>
          <t>к-т</t>
        </is>
      </c>
      <c r="D1415" s="33" t="n"/>
      <c r="E1415" s="33" t="n"/>
      <c r="F1415" s="33">
        <f>E1415*0.05</f>
        <v/>
      </c>
      <c r="G1415" s="33">
        <f>E1415+F1415</f>
        <v/>
      </c>
      <c r="H1415" s="33" t="n"/>
      <c r="I1415" s="33" t="n"/>
      <c r="J1415" s="33" t="n"/>
      <c r="K1415" s="33">
        <f>L1415+M1415+N1415</f>
        <v/>
      </c>
      <c r="L1415" s="33" t="n"/>
      <c r="M1415" s="33" t="n"/>
      <c r="N1415" s="33" t="n"/>
      <c r="O1415" s="33">
        <f>P1415+Q1415</f>
        <v/>
      </c>
      <c r="P1415" s="33" t="n"/>
      <c r="Q1415" s="33" t="n"/>
      <c r="R1415" s="33">
        <f>H1415+K1415-O1415</f>
        <v/>
      </c>
      <c r="S1415" s="33" t="n"/>
      <c r="T1415" s="33" t="n"/>
      <c r="U1415" s="33" t="n"/>
      <c r="V1415" s="33" t="n"/>
      <c r="W1415" s="33" t="n"/>
      <c r="X1415" s="33" t="n"/>
      <c r="Y1415" s="33" t="n"/>
      <c r="Z1415" s="33" t="n"/>
      <c r="AA1415" s="4">
        <f>R1415-G1415</f>
        <v/>
      </c>
      <c r="AB1415" s="4">
        <f>G1415-R1415</f>
        <v/>
      </c>
      <c r="AC1415" s="33" t="n"/>
    </row>
    <row r="1416" ht="37.5" customHeight="1">
      <c r="A1416" s="35">
        <f>SUBTOTAL(103,$B$24:B1416)</f>
        <v/>
      </c>
      <c r="B1416" s="36" t="inlineStr">
        <is>
          <t>Сковороди електричні СЕСМ-0,5 (61-80 л.)</t>
        </is>
      </c>
      <c r="C1416" s="37" t="inlineStr">
        <is>
          <t>к-т</t>
        </is>
      </c>
      <c r="D1416" s="33" t="n"/>
      <c r="E1416" s="33" t="n"/>
      <c r="F1416" s="33">
        <f>E1416*0.05</f>
        <v/>
      </c>
      <c r="G1416" s="33">
        <f>E1416+F1416</f>
        <v/>
      </c>
      <c r="H1416" s="33" t="n"/>
      <c r="I1416" s="33" t="n"/>
      <c r="J1416" s="33" t="n"/>
      <c r="K1416" s="33">
        <f>L1416+M1416+N1416</f>
        <v/>
      </c>
      <c r="L1416" s="33" t="n"/>
      <c r="M1416" s="33" t="n"/>
      <c r="N1416" s="33" t="n"/>
      <c r="O1416" s="33">
        <f>P1416+Q1416</f>
        <v/>
      </c>
      <c r="P1416" s="33" t="n"/>
      <c r="Q1416" s="33" t="n"/>
      <c r="R1416" s="33">
        <f>H1416+K1416-O1416</f>
        <v/>
      </c>
      <c r="S1416" s="33" t="n"/>
      <c r="T1416" s="33" t="n"/>
      <c r="U1416" s="33" t="n"/>
      <c r="V1416" s="33" t="n"/>
      <c r="W1416" s="33" t="n"/>
      <c r="X1416" s="33" t="n"/>
      <c r="Y1416" s="33" t="n"/>
      <c r="Z1416" s="33" t="n"/>
      <c r="AA1416" s="4">
        <f>R1416-G1416</f>
        <v/>
      </c>
      <c r="AB1416" s="4">
        <f>G1416-R1416</f>
        <v/>
      </c>
      <c r="AC1416" s="33" t="n"/>
    </row>
    <row r="1417" ht="37.5" customHeight="1">
      <c r="A1417" s="35">
        <f>SUBTOTAL(103,$B$24:B1417)</f>
        <v/>
      </c>
      <c r="B1417" s="36" t="inlineStr">
        <is>
          <t>Сковороди електричні СЕМ-0,5 П (з чашею 60-80 л.)</t>
        </is>
      </c>
      <c r="C1417" s="37" t="inlineStr">
        <is>
          <t>к-т</t>
        </is>
      </c>
      <c r="D1417" s="33" t="n"/>
      <c r="E1417" s="33" t="n"/>
      <c r="F1417" s="33">
        <f>E1417*0.05</f>
        <v/>
      </c>
      <c r="G1417" s="33">
        <f>E1417+F1417</f>
        <v/>
      </c>
      <c r="H1417" s="33" t="n"/>
      <c r="I1417" s="33" t="n"/>
      <c r="J1417" s="33" t="n"/>
      <c r="K1417" s="33">
        <f>L1417+M1417+N1417</f>
        <v/>
      </c>
      <c r="L1417" s="33" t="n"/>
      <c r="M1417" s="33" t="n"/>
      <c r="N1417" s="33" t="n"/>
      <c r="O1417" s="33">
        <f>P1417+Q1417</f>
        <v/>
      </c>
      <c r="P1417" s="33" t="n"/>
      <c r="Q1417" s="33" t="n"/>
      <c r="R1417" s="33">
        <f>H1417+K1417-O1417</f>
        <v/>
      </c>
      <c r="S1417" s="33" t="n"/>
      <c r="T1417" s="33" t="n"/>
      <c r="U1417" s="33" t="n"/>
      <c r="V1417" s="33" t="n"/>
      <c r="W1417" s="33" t="n"/>
      <c r="X1417" s="33" t="n"/>
      <c r="Y1417" s="33" t="n"/>
      <c r="Z1417" s="33" t="n"/>
      <c r="AA1417" s="4">
        <f>R1417-G1417</f>
        <v/>
      </c>
      <c r="AB1417" s="4">
        <f>G1417-R1417</f>
        <v/>
      </c>
      <c r="AC1417" s="33" t="n"/>
    </row>
    <row r="1418" ht="18.75" customHeight="1">
      <c r="A1418" s="35">
        <f>SUBTOTAL(103,$B$24:B1418)</f>
        <v/>
      </c>
      <c r="B1418" s="36" t="inlineStr">
        <is>
          <t>Сковороди електричні СОЄ-0,5</t>
        </is>
      </c>
      <c r="C1418" s="37" t="n"/>
      <c r="D1418" s="33" t="n"/>
      <c r="E1418" s="33" t="n"/>
      <c r="F1418" s="33">
        <f>E1418*0.05</f>
        <v/>
      </c>
      <c r="G1418" s="33">
        <f>E1418+F1418</f>
        <v/>
      </c>
      <c r="H1418" s="33" t="n"/>
      <c r="I1418" s="33" t="n"/>
      <c r="J1418" s="33" t="n"/>
      <c r="K1418" s="33">
        <f>L1418+M1418+N1418</f>
        <v/>
      </c>
      <c r="L1418" s="33" t="n"/>
      <c r="M1418" s="33" t="n"/>
      <c r="N1418" s="33" t="n"/>
      <c r="O1418" s="33">
        <f>P1418+Q1418</f>
        <v/>
      </c>
      <c r="P1418" s="33" t="n"/>
      <c r="Q1418" s="33" t="n"/>
      <c r="R1418" s="33">
        <f>H1418+K1418-O1418</f>
        <v/>
      </c>
      <c r="S1418" s="33" t="n"/>
      <c r="T1418" s="33" t="n"/>
      <c r="U1418" s="33" t="n"/>
      <c r="V1418" s="33" t="n"/>
      <c r="W1418" s="33" t="n"/>
      <c r="X1418" s="33" t="n"/>
      <c r="Y1418" s="33" t="n"/>
      <c r="Z1418" s="33" t="n"/>
      <c r="AA1418" s="4">
        <f>R1418-G1418</f>
        <v/>
      </c>
      <c r="AB1418" s="4">
        <f>G1418-R1418</f>
        <v/>
      </c>
      <c r="AC1418" s="33" t="n"/>
    </row>
    <row r="1419" ht="18.75" customHeight="1">
      <c r="A1419" s="35">
        <f>SUBTOTAL(103,$B$24:B1419)</f>
        <v/>
      </c>
      <c r="B1419" s="36" t="inlineStr">
        <is>
          <t>Сковорода електрична СЕ-0,25Н</t>
        </is>
      </c>
      <c r="C1419" s="37" t="inlineStr">
        <is>
          <t>к-т</t>
        </is>
      </c>
      <c r="D1419" s="33" t="n"/>
      <c r="E1419" s="33" t="n"/>
      <c r="F1419" s="33">
        <f>E1419*0.05</f>
        <v/>
      </c>
      <c r="G1419" s="33">
        <f>E1419+F1419</f>
        <v/>
      </c>
      <c r="H1419" s="33" t="n"/>
      <c r="I1419" s="33" t="n"/>
      <c r="J1419" s="33" t="n"/>
      <c r="K1419" s="33">
        <f>L1419+M1419+N1419</f>
        <v/>
      </c>
      <c r="L1419" s="33" t="n"/>
      <c r="M1419" s="33" t="n"/>
      <c r="N1419" s="33" t="n"/>
      <c r="O1419" s="33">
        <f>P1419+Q1419</f>
        <v/>
      </c>
      <c r="P1419" s="33" t="n"/>
      <c r="Q1419" s="33" t="n"/>
      <c r="R1419" s="33">
        <f>H1419+K1419-O1419</f>
        <v/>
      </c>
      <c r="S1419" s="33" t="n"/>
      <c r="T1419" s="33" t="n"/>
      <c r="U1419" s="33" t="n"/>
      <c r="V1419" s="33" t="n"/>
      <c r="W1419" s="33" t="n"/>
      <c r="X1419" s="33" t="n"/>
      <c r="Y1419" s="33" t="n"/>
      <c r="Z1419" s="33" t="n"/>
      <c r="AA1419" s="4">
        <f>R1419-G1419</f>
        <v/>
      </c>
      <c r="AB1419" s="4">
        <f>G1419-R1419</f>
        <v/>
      </c>
      <c r="AC1419" s="33" t="n"/>
    </row>
    <row r="1420" ht="18.75" customHeight="1">
      <c r="A1420" s="35">
        <f>SUBTOTAL(103,$B$24:B1420)</f>
        <v/>
      </c>
      <c r="B1420" s="36" t="inlineStr">
        <is>
          <t>Сковорода електрична СЕ-70.2</t>
        </is>
      </c>
      <c r="C1420" s="37" t="inlineStr">
        <is>
          <t>к-т</t>
        </is>
      </c>
      <c r="D1420" s="33" t="n"/>
      <c r="E1420" s="33" t="n"/>
      <c r="F1420" s="33">
        <f>E1420*0.05</f>
        <v/>
      </c>
      <c r="G1420" s="33">
        <f>E1420+F1420</f>
        <v/>
      </c>
      <c r="H1420" s="33" t="n"/>
      <c r="I1420" s="33" t="n"/>
      <c r="J1420" s="33" t="n"/>
      <c r="K1420" s="33">
        <f>L1420+M1420+N1420</f>
        <v/>
      </c>
      <c r="L1420" s="33" t="n"/>
      <c r="M1420" s="33" t="n"/>
      <c r="N1420" s="33" t="n"/>
      <c r="O1420" s="33">
        <f>P1420+Q1420</f>
        <v/>
      </c>
      <c r="P1420" s="33" t="n"/>
      <c r="Q1420" s="33" t="n"/>
      <c r="R1420" s="33">
        <f>H1420+K1420-O1420</f>
        <v/>
      </c>
      <c r="S1420" s="33" t="n"/>
      <c r="T1420" s="33" t="n"/>
      <c r="U1420" s="33" t="n"/>
      <c r="V1420" s="33" t="n"/>
      <c r="W1420" s="33" t="n"/>
      <c r="X1420" s="33" t="n"/>
      <c r="Y1420" s="33" t="n"/>
      <c r="Z1420" s="33" t="n"/>
      <c r="AA1420" s="4">
        <f>R1420-G1420</f>
        <v/>
      </c>
      <c r="AB1420" s="4">
        <f>G1420-R1420</f>
        <v/>
      </c>
      <c r="AC1420" s="33" t="n"/>
    </row>
    <row r="1421" ht="18.75" customHeight="1">
      <c r="A1421" s="35">
        <f>SUBTOTAL(103,$B$24:B1421)</f>
        <v/>
      </c>
      <c r="B1421" s="36" t="inlineStr">
        <is>
          <t>Сковороди електричні СЕМ-0,5 -01 Є</t>
        </is>
      </c>
      <c r="C1421" s="37" t="inlineStr">
        <is>
          <t>к-т</t>
        </is>
      </c>
      <c r="D1421" s="33" t="n"/>
      <c r="E1421" s="33" t="n"/>
      <c r="F1421" s="33">
        <f>E1421*0.05</f>
        <v/>
      </c>
      <c r="G1421" s="33">
        <f>E1421+F1421</f>
        <v/>
      </c>
      <c r="H1421" s="33" t="n"/>
      <c r="I1421" s="33" t="n"/>
      <c r="J1421" s="33" t="n"/>
      <c r="K1421" s="33">
        <f>L1421+M1421+N1421</f>
        <v/>
      </c>
      <c r="L1421" s="33" t="n"/>
      <c r="M1421" s="33" t="n"/>
      <c r="N1421" s="33" t="n"/>
      <c r="O1421" s="33">
        <f>P1421+Q1421</f>
        <v/>
      </c>
      <c r="P1421" s="33" t="n"/>
      <c r="Q1421" s="33" t="n"/>
      <c r="R1421" s="33">
        <f>H1421+K1421-O1421</f>
        <v/>
      </c>
      <c r="S1421" s="33" t="n"/>
      <c r="T1421" s="33" t="n"/>
      <c r="U1421" s="33" t="n"/>
      <c r="V1421" s="33" t="n"/>
      <c r="W1421" s="33" t="n"/>
      <c r="X1421" s="33" t="n"/>
      <c r="Y1421" s="33" t="n"/>
      <c r="Z1421" s="33" t="n"/>
      <c r="AA1421" s="4">
        <f>R1421-G1421</f>
        <v/>
      </c>
      <c r="AB1421" s="4">
        <f>G1421-R1421</f>
        <v/>
      </c>
      <c r="AC1421" s="33" t="n"/>
    </row>
    <row r="1422" ht="18.75" customHeight="1">
      <c r="A1422" s="35">
        <f>SUBTOTAL(103,$B$24:B1422)</f>
        <v/>
      </c>
      <c r="B1422" s="36" t="inlineStr">
        <is>
          <t>Сковороди електричні СОЕ-0,5/80</t>
        </is>
      </c>
      <c r="C1422" s="37" t="inlineStr">
        <is>
          <t>к-т</t>
        </is>
      </c>
      <c r="D1422" s="33" t="n"/>
      <c r="E1422" s="33" t="n"/>
      <c r="F1422" s="33">
        <f>E1422*0.05</f>
        <v/>
      </c>
      <c r="G1422" s="33">
        <f>E1422+F1422</f>
        <v/>
      </c>
      <c r="H1422" s="33" t="n"/>
      <c r="I1422" s="33" t="n"/>
      <c r="J1422" s="33" t="n"/>
      <c r="K1422" s="33">
        <f>L1422+M1422+N1422</f>
        <v/>
      </c>
      <c r="L1422" s="33" t="n"/>
      <c r="M1422" s="33" t="n"/>
      <c r="N1422" s="33" t="n"/>
      <c r="O1422" s="33">
        <f>P1422+Q1422</f>
        <v/>
      </c>
      <c r="P1422" s="33" t="n"/>
      <c r="Q1422" s="33" t="n"/>
      <c r="R1422" s="33">
        <f>H1422+K1422-O1422</f>
        <v/>
      </c>
      <c r="S1422" s="33" t="n"/>
      <c r="T1422" s="33" t="n"/>
      <c r="U1422" s="33" t="n"/>
      <c r="V1422" s="33" t="n"/>
      <c r="W1422" s="33" t="n"/>
      <c r="X1422" s="33" t="n"/>
      <c r="Y1422" s="33" t="n"/>
      <c r="Z1422" s="33" t="n"/>
      <c r="AA1422" s="4">
        <f>R1422-G1422</f>
        <v/>
      </c>
      <c r="AB1422" s="4">
        <f>G1422-R1422</f>
        <v/>
      </c>
      <c r="AC1422" s="33" t="n"/>
    </row>
    <row r="1423" ht="18.75" customHeight="1">
      <c r="A1423" s="35">
        <f>SUBTOTAL(103,$B$24:B1423)</f>
        <v/>
      </c>
      <c r="B1423" s="36" t="inlineStr">
        <is>
          <t>Сковороди електричні COE-0,25/30</t>
        </is>
      </c>
      <c r="C1423" s="37" t="inlineStr">
        <is>
          <t>к-т</t>
        </is>
      </c>
      <c r="D1423" s="33" t="n"/>
      <c r="E1423" s="33" t="n"/>
      <c r="F1423" s="33">
        <f>E1423*0.05</f>
        <v/>
      </c>
      <c r="G1423" s="33">
        <f>E1423+F1423</f>
        <v/>
      </c>
      <c r="H1423" s="33" t="n"/>
      <c r="I1423" s="33" t="n"/>
      <c r="J1423" s="33" t="n"/>
      <c r="K1423" s="33">
        <f>L1423+M1423+N1423</f>
        <v/>
      </c>
      <c r="L1423" s="33" t="n"/>
      <c r="M1423" s="33" t="n"/>
      <c r="N1423" s="33" t="n"/>
      <c r="O1423" s="33">
        <f>P1423+Q1423</f>
        <v/>
      </c>
      <c r="P1423" s="33" t="n"/>
      <c r="Q1423" s="33" t="n"/>
      <c r="R1423" s="33">
        <f>H1423+K1423-O1423</f>
        <v/>
      </c>
      <c r="S1423" s="33" t="n"/>
      <c r="T1423" s="33" t="n"/>
      <c r="U1423" s="33" t="n"/>
      <c r="V1423" s="33" t="n"/>
      <c r="W1423" s="33" t="n"/>
      <c r="X1423" s="33" t="n"/>
      <c r="Y1423" s="33" t="n"/>
      <c r="Z1423" s="33" t="n"/>
      <c r="AA1423" s="4">
        <f>R1423-G1423</f>
        <v/>
      </c>
      <c r="AB1423" s="4">
        <f>G1423-R1423</f>
        <v/>
      </c>
      <c r="AC1423" s="33" t="n"/>
    </row>
    <row r="1424" ht="18.75" customHeight="1">
      <c r="A1424" s="35">
        <f>SUBTOTAL(103,$B$24:B1424)</f>
        <v/>
      </c>
      <c r="B1424" s="36" t="inlineStr">
        <is>
          <t>Сковороди електричні "Нагема"</t>
        </is>
      </c>
      <c r="C1424" s="37" t="inlineStr">
        <is>
          <t>к-т</t>
        </is>
      </c>
      <c r="D1424" s="33" t="n"/>
      <c r="E1424" s="33" t="n"/>
      <c r="F1424" s="33">
        <f>E1424*0.05</f>
        <v/>
      </c>
      <c r="G1424" s="33">
        <f>E1424+F1424</f>
        <v/>
      </c>
      <c r="H1424" s="33" t="n"/>
      <c r="I1424" s="33" t="n"/>
      <c r="J1424" s="33" t="n"/>
      <c r="K1424" s="33">
        <f>L1424+M1424+N1424</f>
        <v/>
      </c>
      <c r="L1424" s="33" t="n"/>
      <c r="M1424" s="33" t="n"/>
      <c r="N1424" s="33" t="n"/>
      <c r="O1424" s="33">
        <f>P1424+Q1424</f>
        <v/>
      </c>
      <c r="P1424" s="33" t="n"/>
      <c r="Q1424" s="33" t="n"/>
      <c r="R1424" s="33">
        <f>H1424+K1424-O1424</f>
        <v/>
      </c>
      <c r="S1424" s="33" t="n"/>
      <c r="T1424" s="33" t="n"/>
      <c r="U1424" s="33" t="n"/>
      <c r="V1424" s="33" t="n"/>
      <c r="W1424" s="33" t="n"/>
      <c r="X1424" s="33" t="n"/>
      <c r="Y1424" s="33" t="n"/>
      <c r="Z1424" s="33" t="n"/>
      <c r="AA1424" s="4">
        <f>R1424-G1424</f>
        <v/>
      </c>
      <c r="AB1424" s="4">
        <f>G1424-R1424</f>
        <v/>
      </c>
      <c r="AC1424" s="33" t="n"/>
    </row>
    <row r="1425" ht="37.5" customHeight="1">
      <c r="A1425" s="35">
        <f>SUBTOTAL(103,$B$24:B1425)</f>
        <v/>
      </c>
      <c r="B1425" s="36" t="inlineStr">
        <is>
          <t>Сковорода електрична з чашею 30-40 л. (Кий-В СЕ-30)</t>
        </is>
      </c>
      <c r="C1425" s="37" t="inlineStr">
        <is>
          <t>к-т</t>
        </is>
      </c>
      <c r="D1425" s="33" t="n"/>
      <c r="E1425" s="33" t="n"/>
      <c r="F1425" s="33">
        <f>E1425*0.05</f>
        <v/>
      </c>
      <c r="G1425" s="33">
        <f>E1425+F1425</f>
        <v/>
      </c>
      <c r="H1425" s="33" t="n"/>
      <c r="I1425" s="33" t="n"/>
      <c r="J1425" s="33" t="n"/>
      <c r="K1425" s="33">
        <f>L1425+M1425+N1425</f>
        <v/>
      </c>
      <c r="L1425" s="33" t="n"/>
      <c r="M1425" s="33" t="n"/>
      <c r="N1425" s="33" t="n"/>
      <c r="O1425" s="33">
        <f>P1425+Q1425</f>
        <v/>
      </c>
      <c r="P1425" s="33" t="n"/>
      <c r="Q1425" s="33" t="n"/>
      <c r="R1425" s="33">
        <f>H1425+K1425-O1425</f>
        <v/>
      </c>
      <c r="S1425" s="33" t="n"/>
      <c r="T1425" s="33" t="n"/>
      <c r="U1425" s="33" t="n"/>
      <c r="V1425" s="33" t="n"/>
      <c r="W1425" s="33" t="n"/>
      <c r="X1425" s="33" t="n"/>
      <c r="Y1425" s="33" t="n"/>
      <c r="Z1425" s="33" t="n"/>
      <c r="AA1425" s="4">
        <f>R1425-G1425</f>
        <v/>
      </c>
      <c r="AB1425" s="4">
        <f>G1425-R1425</f>
        <v/>
      </c>
      <c r="AC1425" s="33" t="n"/>
    </row>
    <row r="1426" ht="37.5" customHeight="1">
      <c r="A1426" s="35">
        <f>SUBTOTAL(103,$B$24:B1426)</f>
        <v/>
      </c>
      <c r="B1426" s="36" t="inlineStr">
        <is>
          <t>Сковорода електрична з чашею 30-40 л, СЕП-40 "Еталон"</t>
        </is>
      </c>
      <c r="C1426" s="37" t="inlineStr">
        <is>
          <t>к-т</t>
        </is>
      </c>
      <c r="D1426" s="33" t="n"/>
      <c r="E1426" s="33" t="n"/>
      <c r="F1426" s="33">
        <f>E1426*0.05</f>
        <v/>
      </c>
      <c r="G1426" s="33">
        <f>E1426+F1426</f>
        <v/>
      </c>
      <c r="H1426" s="33" t="n"/>
      <c r="I1426" s="33" t="n"/>
      <c r="J1426" s="33" t="n"/>
      <c r="K1426" s="33">
        <f>L1426+M1426+N1426</f>
        <v/>
      </c>
      <c r="L1426" s="33" t="n"/>
      <c r="M1426" s="33" t="n"/>
      <c r="N1426" s="33" t="n"/>
      <c r="O1426" s="33">
        <f>P1426+Q1426</f>
        <v/>
      </c>
      <c r="P1426" s="33" t="n"/>
      <c r="Q1426" s="33" t="n"/>
      <c r="R1426" s="33">
        <f>H1426+K1426-O1426</f>
        <v/>
      </c>
      <c r="S1426" s="33" t="n"/>
      <c r="T1426" s="33" t="n"/>
      <c r="U1426" s="33" t="n"/>
      <c r="V1426" s="33" t="n"/>
      <c r="W1426" s="33" t="n"/>
      <c r="X1426" s="33" t="n"/>
      <c r="Y1426" s="33" t="n"/>
      <c r="Z1426" s="33" t="n"/>
      <c r="AA1426" s="4">
        <f>R1426-G1426</f>
        <v/>
      </c>
      <c r="AB1426" s="4">
        <f>G1426-R1426</f>
        <v/>
      </c>
      <c r="AC1426" s="33" t="n"/>
    </row>
    <row r="1427" ht="18.75" customHeight="1">
      <c r="A1427" s="35">
        <f>SUBTOTAL(103,$B$24:B1427)</f>
        <v/>
      </c>
      <c r="B1427" s="36" t="inlineStr">
        <is>
          <t>Сковорода електрична з чашею 30-40 л.</t>
        </is>
      </c>
      <c r="C1427" s="37" t="inlineStr">
        <is>
          <t>к-т</t>
        </is>
      </c>
      <c r="D1427" s="33" t="n"/>
      <c r="E1427" s="33" t="n"/>
      <c r="F1427" s="33">
        <f>E1427*0.05</f>
        <v/>
      </c>
      <c r="G1427" s="33">
        <f>E1427+F1427</f>
        <v/>
      </c>
      <c r="H1427" s="33" t="n"/>
      <c r="I1427" s="33" t="n"/>
      <c r="J1427" s="33" t="n"/>
      <c r="K1427" s="33">
        <f>L1427+M1427+N1427</f>
        <v/>
      </c>
      <c r="L1427" s="33" t="n"/>
      <c r="M1427" s="33" t="n"/>
      <c r="N1427" s="33" t="n"/>
      <c r="O1427" s="33">
        <f>P1427+Q1427</f>
        <v/>
      </c>
      <c r="P1427" s="33" t="n"/>
      <c r="Q1427" s="33" t="n"/>
      <c r="R1427" s="33">
        <f>H1427+K1427-O1427</f>
        <v/>
      </c>
      <c r="S1427" s="33" t="n"/>
      <c r="T1427" s="33" t="n"/>
      <c r="U1427" s="33" t="n"/>
      <c r="V1427" s="33" t="n"/>
      <c r="W1427" s="33" t="n"/>
      <c r="X1427" s="33" t="n"/>
      <c r="Y1427" s="33" t="n"/>
      <c r="Z1427" s="33" t="n"/>
      <c r="AA1427" s="4">
        <f>R1427-G1427</f>
        <v/>
      </c>
      <c r="AB1427" s="4">
        <f>G1427-R1427</f>
        <v/>
      </c>
      <c r="AC1427" s="33" t="n"/>
    </row>
    <row r="1428" ht="18.75" customHeight="1">
      <c r="A1428" s="35">
        <f>SUBTOTAL(103,$B$24:B1428)</f>
        <v/>
      </c>
      <c r="B1428" s="36" t="inlineStr">
        <is>
          <t>Сковорода електрична 31-60 л.</t>
        </is>
      </c>
      <c r="C1428" s="37" t="inlineStr">
        <is>
          <t>к-т</t>
        </is>
      </c>
      <c r="D1428" s="33" t="n"/>
      <c r="E1428" s="33" t="n"/>
      <c r="F1428" s="33">
        <f>E1428*0.05</f>
        <v/>
      </c>
      <c r="G1428" s="33">
        <f>E1428+F1428</f>
        <v/>
      </c>
      <c r="H1428" s="33" t="n"/>
      <c r="I1428" s="33" t="n"/>
      <c r="J1428" s="33" t="n"/>
      <c r="K1428" s="33">
        <f>L1428+M1428+N1428</f>
        <v/>
      </c>
      <c r="L1428" s="33" t="n"/>
      <c r="M1428" s="33" t="n"/>
      <c r="N1428" s="33" t="n"/>
      <c r="O1428" s="33">
        <f>P1428+Q1428</f>
        <v/>
      </c>
      <c r="P1428" s="33" t="n"/>
      <c r="Q1428" s="33" t="n"/>
      <c r="R1428" s="33">
        <f>H1428+K1428-O1428</f>
        <v/>
      </c>
      <c r="S1428" s="33" t="n"/>
      <c r="T1428" s="33" t="n"/>
      <c r="U1428" s="33" t="n"/>
      <c r="V1428" s="33" t="n"/>
      <c r="W1428" s="33" t="n"/>
      <c r="X1428" s="33" t="n"/>
      <c r="Y1428" s="33" t="n"/>
      <c r="Z1428" s="33" t="n"/>
      <c r="AA1428" s="4">
        <f>R1428-G1428</f>
        <v/>
      </c>
      <c r="AB1428" s="4">
        <f>G1428-R1428</f>
        <v/>
      </c>
      <c r="AC1428" s="33" t="n"/>
    </row>
    <row r="1429" ht="18.75" customHeight="1">
      <c r="A1429" s="35">
        <f>SUBTOTAL(103,$B$24:B1429)</f>
        <v/>
      </c>
      <c r="B1429" s="36" t="inlineStr">
        <is>
          <t>Сковороди електричні інші</t>
        </is>
      </c>
      <c r="C1429" s="37" t="inlineStr">
        <is>
          <t>к-т</t>
        </is>
      </c>
      <c r="D1429" s="33" t="n"/>
      <c r="E1429" s="33" t="n"/>
      <c r="F1429" s="33">
        <f>E1429*0.05</f>
        <v/>
      </c>
      <c r="G1429" s="33">
        <f>E1429+F1429</f>
        <v/>
      </c>
      <c r="H1429" s="33" t="n"/>
      <c r="I1429" s="33" t="n"/>
      <c r="J1429" s="33" t="n"/>
      <c r="K1429" s="33">
        <f>L1429+M1429+N1429</f>
        <v/>
      </c>
      <c r="L1429" s="33" t="n"/>
      <c r="M1429" s="33" t="n"/>
      <c r="N1429" s="33" t="n"/>
      <c r="O1429" s="33">
        <f>P1429+Q1429</f>
        <v/>
      </c>
      <c r="P1429" s="33" t="n"/>
      <c r="Q1429" s="33" t="n"/>
      <c r="R1429" s="33">
        <f>H1429+K1429-O1429</f>
        <v/>
      </c>
      <c r="S1429" s="33" t="n"/>
      <c r="T1429" s="33" t="n"/>
      <c r="U1429" s="33" t="n"/>
      <c r="V1429" s="33" t="n"/>
      <c r="W1429" s="33" t="n"/>
      <c r="X1429" s="33" t="n"/>
      <c r="Y1429" s="33" t="n"/>
      <c r="Z1429" s="33" t="n"/>
      <c r="AA1429" s="4">
        <f>R1429-G1429</f>
        <v/>
      </c>
      <c r="AB1429" s="4">
        <f>G1429-R1429</f>
        <v/>
      </c>
      <c r="AC1429" s="33" t="n"/>
    </row>
    <row r="1430" ht="18.75" customHeight="1">
      <c r="A1430" s="35">
        <f>SUBTOTAL(103,$B$24:B1430)</f>
        <v/>
      </c>
      <c r="B1430" s="36" t="inlineStr">
        <is>
          <t xml:space="preserve">Жарочна поверхність електрична </t>
        </is>
      </c>
      <c r="C1430" s="37" t="inlineStr">
        <is>
          <t>к-т</t>
        </is>
      </c>
      <c r="D1430" s="33" t="n"/>
      <c r="E1430" s="33" t="n"/>
      <c r="F1430" s="33">
        <f>E1430*0.05</f>
        <v/>
      </c>
      <c r="G1430" s="33">
        <f>E1430+F1430</f>
        <v/>
      </c>
      <c r="H1430" s="33" t="n"/>
      <c r="I1430" s="33" t="n"/>
      <c r="J1430" s="33" t="n"/>
      <c r="K1430" s="33">
        <f>L1430+M1430+N1430</f>
        <v/>
      </c>
      <c r="L1430" s="33" t="n"/>
      <c r="M1430" s="33" t="n"/>
      <c r="N1430" s="33" t="n"/>
      <c r="O1430" s="33">
        <f>P1430+Q1430</f>
        <v/>
      </c>
      <c r="P1430" s="33" t="n"/>
      <c r="Q1430" s="33" t="n"/>
      <c r="R1430" s="33">
        <f>H1430+K1430-O1430</f>
        <v/>
      </c>
      <c r="S1430" s="33" t="n"/>
      <c r="T1430" s="33" t="n"/>
      <c r="U1430" s="33" t="n"/>
      <c r="V1430" s="33" t="n"/>
      <c r="W1430" s="33" t="n"/>
      <c r="X1430" s="33" t="n"/>
      <c r="Y1430" s="33" t="n"/>
      <c r="Z1430" s="33" t="n"/>
      <c r="AA1430" s="4">
        <f>R1430-G1430</f>
        <v/>
      </c>
      <c r="AB1430" s="4">
        <f>G1430-R1430</f>
        <v/>
      </c>
      <c r="AC1430" s="33" t="n"/>
    </row>
    <row r="1431" ht="18.75" customHeight="1">
      <c r="A1431" s="35">
        <f>SUBTOTAL(103,$B$24:B1431)</f>
        <v/>
      </c>
      <c r="B1431" s="36" t="inlineStr">
        <is>
          <t>Супниця SKZ-12  10л SARO</t>
        </is>
      </c>
      <c r="C1431" s="37" t="inlineStr">
        <is>
          <t>к-т</t>
        </is>
      </c>
      <c r="D1431" s="33" t="n"/>
      <c r="E1431" s="33" t="n"/>
      <c r="F1431" s="33">
        <f>E1431*0.05</f>
        <v/>
      </c>
      <c r="G1431" s="33">
        <f>E1431+F1431</f>
        <v/>
      </c>
      <c r="H1431" s="33" t="n"/>
      <c r="I1431" s="33" t="n"/>
      <c r="J1431" s="33" t="n"/>
      <c r="K1431" s="33">
        <f>L1431+M1431+N1431</f>
        <v/>
      </c>
      <c r="L1431" s="33" t="n"/>
      <c r="M1431" s="33" t="n"/>
      <c r="N1431" s="33" t="n"/>
      <c r="O1431" s="33">
        <f>P1431+Q1431</f>
        <v/>
      </c>
      <c r="P1431" s="33" t="n"/>
      <c r="Q1431" s="33" t="n"/>
      <c r="R1431" s="33">
        <f>H1431+K1431-O1431</f>
        <v/>
      </c>
      <c r="S1431" s="33" t="n"/>
      <c r="T1431" s="33" t="n"/>
      <c r="U1431" s="33" t="n"/>
      <c r="V1431" s="33" t="n"/>
      <c r="W1431" s="33" t="n"/>
      <c r="X1431" s="33" t="n"/>
      <c r="Y1431" s="33" t="n"/>
      <c r="Z1431" s="33" t="n"/>
      <c r="AA1431" s="4">
        <f>R1431-G1431</f>
        <v/>
      </c>
      <c r="AB1431" s="4">
        <f>G1431-R1431</f>
        <v/>
      </c>
      <c r="AC1431" s="33" t="n"/>
    </row>
    <row r="1432" ht="18.75" customHeight="1">
      <c r="A1432" s="35">
        <f>SUBTOTAL(103,$B$24:B1432)</f>
        <v/>
      </c>
      <c r="B1432" s="39" t="inlineStr">
        <is>
          <t>Шафа жарочні електричні</t>
        </is>
      </c>
      <c r="C1432" s="37" t="n"/>
      <c r="D1432" s="33" t="n"/>
      <c r="E1432" s="33" t="n"/>
      <c r="F1432" s="33">
        <f>E1432*0.05</f>
        <v/>
      </c>
      <c r="G1432" s="33">
        <f>E1432+F1432</f>
        <v/>
      </c>
      <c r="H1432" s="33" t="n"/>
      <c r="I1432" s="33" t="n"/>
      <c r="J1432" s="33" t="n"/>
      <c r="K1432" s="33">
        <f>L1432+M1432+N1432</f>
        <v/>
      </c>
      <c r="L1432" s="33" t="n"/>
      <c r="M1432" s="33" t="n"/>
      <c r="N1432" s="33" t="n"/>
      <c r="O1432" s="33">
        <f>P1432+Q1432</f>
        <v/>
      </c>
      <c r="P1432" s="33" t="n"/>
      <c r="Q1432" s="33" t="n"/>
      <c r="R1432" s="33">
        <f>H1432+K1432-O1432</f>
        <v/>
      </c>
      <c r="S1432" s="33" t="n"/>
      <c r="T1432" s="33" t="n"/>
      <c r="U1432" s="33" t="n"/>
      <c r="V1432" s="33" t="n"/>
      <c r="W1432" s="33" t="n"/>
      <c r="X1432" s="33" t="n"/>
      <c r="Y1432" s="33" t="n"/>
      <c r="Z1432" s="33" t="n"/>
      <c r="AA1432" s="4">
        <f>R1432-G1432</f>
        <v/>
      </c>
      <c r="AB1432" s="4">
        <f>G1432-R1432</f>
        <v/>
      </c>
      <c r="AC1432" s="33" t="n"/>
    </row>
    <row r="1433" ht="18.75" customHeight="1">
      <c r="A1433" s="35">
        <f>SUBTOTAL(103,$B$24:B1433)</f>
        <v/>
      </c>
      <c r="B1433" s="42" t="inlineStr">
        <is>
          <t>Шафа електрична жарочна 1-о секційна</t>
        </is>
      </c>
      <c r="C1433" s="37" t="inlineStr">
        <is>
          <t>к-т</t>
        </is>
      </c>
      <c r="D1433" s="33" t="n"/>
      <c r="E1433" s="33" t="n"/>
      <c r="F1433" s="33">
        <f>E1433*0.05</f>
        <v/>
      </c>
      <c r="G1433" s="33">
        <f>E1433+F1433</f>
        <v/>
      </c>
      <c r="H1433" s="33" t="n"/>
      <c r="I1433" s="33" t="n"/>
      <c r="J1433" s="33" t="n"/>
      <c r="K1433" s="33">
        <f>L1433+M1433+N1433</f>
        <v/>
      </c>
      <c r="L1433" s="33" t="n"/>
      <c r="M1433" s="33" t="n"/>
      <c r="N1433" s="33" t="n"/>
      <c r="O1433" s="33">
        <f>P1433+Q1433</f>
        <v/>
      </c>
      <c r="P1433" s="33" t="n"/>
      <c r="Q1433" s="33" t="n"/>
      <c r="R1433" s="33">
        <f>H1433+K1433-O1433</f>
        <v/>
      </c>
      <c r="S1433" s="33" t="n"/>
      <c r="T1433" s="33" t="n"/>
      <c r="U1433" s="33" t="n"/>
      <c r="V1433" s="33" t="n"/>
      <c r="W1433" s="33" t="n"/>
      <c r="X1433" s="33" t="n"/>
      <c r="Y1433" s="33" t="n"/>
      <c r="Z1433" s="33" t="n"/>
      <c r="AA1433" s="4">
        <f>R1433-G1433</f>
        <v/>
      </c>
      <c r="AB1433" s="4">
        <f>G1433-R1433</f>
        <v/>
      </c>
      <c r="AC1433" s="33" t="n"/>
    </row>
    <row r="1434" ht="18.75" customHeight="1">
      <c r="A1434" s="35">
        <f>SUBTOTAL(103,$B$24:B1434)</f>
        <v/>
      </c>
      <c r="B1434" s="42" t="inlineStr">
        <is>
          <t>Шафа електрична жарочна 2-х секційна</t>
        </is>
      </c>
      <c r="C1434" s="37" t="inlineStr">
        <is>
          <t>к-т</t>
        </is>
      </c>
      <c r="D1434" s="33" t="n"/>
      <c r="E1434" s="33" t="n"/>
      <c r="F1434" s="33">
        <f>E1434*0.05</f>
        <v/>
      </c>
      <c r="G1434" s="33">
        <f>E1434+F1434</f>
        <v/>
      </c>
      <c r="H1434" s="33" t="n"/>
      <c r="I1434" s="33" t="n"/>
      <c r="J1434" s="33" t="n"/>
      <c r="K1434" s="33">
        <f>L1434+M1434+N1434</f>
        <v/>
      </c>
      <c r="L1434" s="33" t="n"/>
      <c r="M1434" s="33" t="n"/>
      <c r="N1434" s="33" t="n"/>
      <c r="O1434" s="33">
        <f>P1434+Q1434</f>
        <v/>
      </c>
      <c r="P1434" s="33" t="n"/>
      <c r="Q1434" s="33" t="n"/>
      <c r="R1434" s="33">
        <f>H1434+K1434-O1434</f>
        <v/>
      </c>
      <c r="S1434" s="33" t="n"/>
      <c r="T1434" s="33" t="n"/>
      <c r="U1434" s="33" t="n"/>
      <c r="V1434" s="33" t="n"/>
      <c r="W1434" s="33" t="n"/>
      <c r="X1434" s="33" t="n"/>
      <c r="Y1434" s="33" t="n"/>
      <c r="Z1434" s="33" t="n"/>
      <c r="AA1434" s="4">
        <f>R1434-G1434</f>
        <v/>
      </c>
      <c r="AB1434" s="4">
        <f>G1434-R1434</f>
        <v/>
      </c>
      <c r="AC1434" s="33" t="n"/>
    </row>
    <row r="1435" ht="18.75" customHeight="1">
      <c r="A1435" s="35">
        <f>SUBTOTAL(103,$B$24:B1435)</f>
        <v/>
      </c>
      <c r="B1435" s="42" t="inlineStr">
        <is>
          <t>Шафа електрична жарочна 3-х секційна</t>
        </is>
      </c>
      <c r="C1435" s="37" t="inlineStr">
        <is>
          <t>к-т</t>
        </is>
      </c>
      <c r="D1435" s="33" t="n"/>
      <c r="E1435" s="33" t="n"/>
      <c r="F1435" s="33">
        <f>E1435*0.05</f>
        <v/>
      </c>
      <c r="G1435" s="33">
        <f>E1435+F1435</f>
        <v/>
      </c>
      <c r="H1435" s="33" t="n"/>
      <c r="I1435" s="33" t="n"/>
      <c r="J1435" s="33" t="n"/>
      <c r="K1435" s="33">
        <f>L1435+M1435+N1435</f>
        <v/>
      </c>
      <c r="L1435" s="33" t="n"/>
      <c r="M1435" s="33" t="n"/>
      <c r="N1435" s="33" t="n"/>
      <c r="O1435" s="33">
        <f>P1435+Q1435</f>
        <v/>
      </c>
      <c r="P1435" s="33" t="n"/>
      <c r="Q1435" s="33" t="n"/>
      <c r="R1435" s="33">
        <f>H1435+K1435-O1435</f>
        <v/>
      </c>
      <c r="S1435" s="33" t="n"/>
      <c r="T1435" s="33" t="n"/>
      <c r="U1435" s="33" t="n"/>
      <c r="V1435" s="33" t="n"/>
      <c r="W1435" s="33" t="n"/>
      <c r="X1435" s="33" t="n"/>
      <c r="Y1435" s="33" t="n"/>
      <c r="Z1435" s="33" t="n"/>
      <c r="AA1435" s="4">
        <f>R1435-G1435</f>
        <v/>
      </c>
      <c r="AB1435" s="4">
        <f>G1435-R1435</f>
        <v/>
      </c>
      <c r="AC1435" s="33" t="n"/>
    </row>
    <row r="1436" ht="18.75" customHeight="1">
      <c r="A1436" s="35">
        <f>SUBTOTAL(103,$B$24:B1436)</f>
        <v/>
      </c>
      <c r="B1436" s="36" t="inlineStr">
        <is>
          <t>Шафи жар. ел. ШЖЕ-1</t>
        </is>
      </c>
      <c r="C1436" s="37" t="inlineStr">
        <is>
          <t>к-т</t>
        </is>
      </c>
      <c r="D1436" s="33" t="n"/>
      <c r="E1436" s="33" t="n"/>
      <c r="F1436" s="33">
        <f>E1436*0.05</f>
        <v/>
      </c>
      <c r="G1436" s="33">
        <f>E1436+F1436</f>
        <v/>
      </c>
      <c r="H1436" s="33" t="n"/>
      <c r="I1436" s="33" t="n"/>
      <c r="J1436" s="33" t="n"/>
      <c r="K1436" s="33">
        <f>L1436+M1436+N1436</f>
        <v/>
      </c>
      <c r="L1436" s="33" t="n"/>
      <c r="M1436" s="33" t="n"/>
      <c r="N1436" s="33" t="n"/>
      <c r="O1436" s="33">
        <f>P1436+Q1436</f>
        <v/>
      </c>
      <c r="P1436" s="33" t="n"/>
      <c r="Q1436" s="33" t="n"/>
      <c r="R1436" s="33">
        <f>H1436+K1436-O1436</f>
        <v/>
      </c>
      <c r="S1436" s="33" t="n"/>
      <c r="T1436" s="33" t="n"/>
      <c r="U1436" s="33" t="n"/>
      <c r="V1436" s="33" t="n"/>
      <c r="W1436" s="33" t="n"/>
      <c r="X1436" s="33" t="n"/>
      <c r="Y1436" s="33" t="n"/>
      <c r="Z1436" s="33" t="n"/>
      <c r="AA1436" s="4">
        <f>R1436-G1436</f>
        <v/>
      </c>
      <c r="AB1436" s="4">
        <f>G1436-R1436</f>
        <v/>
      </c>
      <c r="AC1436" s="33" t="n"/>
    </row>
    <row r="1437" ht="18.75" customHeight="1">
      <c r="A1437" s="35">
        <f>SUBTOTAL(103,$B$24:B1437)</f>
        <v/>
      </c>
      <c r="B1437" s="36" t="inlineStr">
        <is>
          <t>Шафи жар. ел. ШЖЕ-2</t>
        </is>
      </c>
      <c r="C1437" s="37" t="inlineStr">
        <is>
          <t>к-т</t>
        </is>
      </c>
      <c r="D1437" s="33" t="n"/>
      <c r="E1437" s="33" t="n"/>
      <c r="F1437" s="33">
        <f>E1437*0.05</f>
        <v/>
      </c>
      <c r="G1437" s="33">
        <f>E1437+F1437</f>
        <v/>
      </c>
      <c r="H1437" s="33" t="n"/>
      <c r="I1437" s="33" t="n"/>
      <c r="J1437" s="33" t="n"/>
      <c r="K1437" s="33">
        <f>L1437+M1437+N1437</f>
        <v/>
      </c>
      <c r="L1437" s="33" t="n"/>
      <c r="M1437" s="33" t="n"/>
      <c r="N1437" s="33" t="n"/>
      <c r="O1437" s="33">
        <f>P1437+Q1437</f>
        <v/>
      </c>
      <c r="P1437" s="33" t="n"/>
      <c r="Q1437" s="33" t="n"/>
      <c r="R1437" s="33">
        <f>H1437+K1437-O1437</f>
        <v/>
      </c>
      <c r="S1437" s="33" t="n"/>
      <c r="T1437" s="33" t="n"/>
      <c r="U1437" s="33" t="n"/>
      <c r="V1437" s="33" t="n"/>
      <c r="W1437" s="33" t="n"/>
      <c r="X1437" s="33" t="n"/>
      <c r="Y1437" s="33" t="n"/>
      <c r="Z1437" s="33" t="n"/>
      <c r="AA1437" s="4">
        <f>R1437-G1437</f>
        <v/>
      </c>
      <c r="AB1437" s="4">
        <f>G1437-R1437</f>
        <v/>
      </c>
      <c r="AC1437" s="33" t="n"/>
    </row>
    <row r="1438" ht="18.75" customHeight="1">
      <c r="A1438" s="35">
        <f>SUBTOTAL(103,$B$24:B1438)</f>
        <v/>
      </c>
      <c r="B1438" s="36" t="inlineStr">
        <is>
          <t>Шафи жар. ел ШЖЕ-3</t>
        </is>
      </c>
      <c r="C1438" s="37" t="inlineStr">
        <is>
          <t>к-т</t>
        </is>
      </c>
      <c r="D1438" s="33" t="n"/>
      <c r="E1438" s="33" t="n"/>
      <c r="F1438" s="33">
        <f>E1438*0.05</f>
        <v/>
      </c>
      <c r="G1438" s="33">
        <f>E1438+F1438</f>
        <v/>
      </c>
      <c r="H1438" s="33" t="n"/>
      <c r="I1438" s="33" t="n"/>
      <c r="J1438" s="33" t="n"/>
      <c r="K1438" s="33">
        <f>L1438+M1438+N1438</f>
        <v/>
      </c>
      <c r="L1438" s="33" t="n"/>
      <c r="M1438" s="33" t="n"/>
      <c r="N1438" s="33" t="n"/>
      <c r="O1438" s="33">
        <f>P1438+Q1438</f>
        <v/>
      </c>
      <c r="P1438" s="33" t="n"/>
      <c r="Q1438" s="33" t="n"/>
      <c r="R1438" s="33">
        <f>H1438+K1438-O1438</f>
        <v/>
      </c>
      <c r="S1438" s="33" t="n"/>
      <c r="T1438" s="33" t="n"/>
      <c r="U1438" s="33" t="n"/>
      <c r="V1438" s="33" t="n"/>
      <c r="W1438" s="33" t="n"/>
      <c r="X1438" s="33" t="n"/>
      <c r="Y1438" s="33" t="n"/>
      <c r="Z1438" s="33" t="n"/>
      <c r="AA1438" s="4">
        <f>R1438-G1438</f>
        <v/>
      </c>
      <c r="AB1438" s="4">
        <f>G1438-R1438</f>
        <v/>
      </c>
      <c r="AC1438" s="33" t="n"/>
    </row>
    <row r="1439" ht="18.75" customHeight="1">
      <c r="A1439" s="35">
        <f>SUBTOTAL(103,$B$24:B1439)</f>
        <v/>
      </c>
      <c r="B1439" s="36" t="inlineStr">
        <is>
          <t>Шафи жар. ел. ШЖ-0,85</t>
        </is>
      </c>
      <c r="C1439" s="37" t="inlineStr">
        <is>
          <t>к-т</t>
        </is>
      </c>
      <c r="D1439" s="33" t="n"/>
      <c r="E1439" s="33" t="n"/>
      <c r="F1439" s="33">
        <f>E1439*0.05</f>
        <v/>
      </c>
      <c r="G1439" s="33">
        <f>E1439+F1439</f>
        <v/>
      </c>
      <c r="H1439" s="33" t="n"/>
      <c r="I1439" s="33" t="n"/>
      <c r="J1439" s="33" t="n"/>
      <c r="K1439" s="33">
        <f>L1439+M1439+N1439</f>
        <v/>
      </c>
      <c r="L1439" s="33" t="n"/>
      <c r="M1439" s="33" t="n"/>
      <c r="N1439" s="33" t="n"/>
      <c r="O1439" s="33">
        <f>P1439+Q1439</f>
        <v/>
      </c>
      <c r="P1439" s="33" t="n"/>
      <c r="Q1439" s="33" t="n"/>
      <c r="R1439" s="33">
        <f>H1439+K1439-O1439</f>
        <v/>
      </c>
      <c r="S1439" s="33" t="n"/>
      <c r="T1439" s="33" t="n"/>
      <c r="U1439" s="33" t="n"/>
      <c r="V1439" s="33" t="n"/>
      <c r="W1439" s="33" t="n"/>
      <c r="X1439" s="33" t="n"/>
      <c r="Y1439" s="33" t="n"/>
      <c r="Z1439" s="33" t="n"/>
      <c r="AA1439" s="4">
        <f>R1439-G1439</f>
        <v/>
      </c>
      <c r="AB1439" s="4">
        <f>G1439-R1439</f>
        <v/>
      </c>
      <c r="AC1439" s="33" t="n"/>
    </row>
    <row r="1440" ht="18.75" customHeight="1">
      <c r="A1440" s="35">
        <f>SUBTOTAL(103,$B$24:B1440)</f>
        <v/>
      </c>
      <c r="B1440" s="36" t="inlineStr">
        <is>
          <t>Шафи жар. ел. ШЖ-0,42</t>
        </is>
      </c>
      <c r="C1440" s="37" t="inlineStr">
        <is>
          <t>к-т</t>
        </is>
      </c>
      <c r="D1440" s="33" t="n"/>
      <c r="E1440" s="33" t="n"/>
      <c r="F1440" s="33">
        <f>E1440*0.05</f>
        <v/>
      </c>
      <c r="G1440" s="33">
        <f>E1440+F1440</f>
        <v/>
      </c>
      <c r="H1440" s="33" t="n"/>
      <c r="I1440" s="33" t="n"/>
      <c r="J1440" s="33" t="n"/>
      <c r="K1440" s="33">
        <f>L1440+M1440+N1440</f>
        <v/>
      </c>
      <c r="L1440" s="33" t="n"/>
      <c r="M1440" s="33" t="n"/>
      <c r="N1440" s="33" t="n"/>
      <c r="O1440" s="33">
        <f>P1440+Q1440</f>
        <v/>
      </c>
      <c r="P1440" s="33" t="n"/>
      <c r="Q1440" s="33" t="n"/>
      <c r="R1440" s="33">
        <f>H1440+K1440-O1440</f>
        <v/>
      </c>
      <c r="S1440" s="33" t="n"/>
      <c r="T1440" s="33" t="n"/>
      <c r="U1440" s="33" t="n"/>
      <c r="V1440" s="33" t="n"/>
      <c r="W1440" s="33" t="n"/>
      <c r="X1440" s="33" t="n"/>
      <c r="Y1440" s="33" t="n"/>
      <c r="Z1440" s="33" t="n"/>
      <c r="AA1440" s="4">
        <f>R1440-G1440</f>
        <v/>
      </c>
      <c r="AB1440" s="4">
        <f>G1440-R1440</f>
        <v/>
      </c>
      <c r="AC1440" s="33" t="n"/>
    </row>
    <row r="1441" ht="18.75" customHeight="1">
      <c r="A1441" s="35">
        <f>SUBTOTAL(103,$B$24:B1441)</f>
        <v/>
      </c>
      <c r="B1441" s="36" t="inlineStr">
        <is>
          <t>Шафи жар. ел. ЕШЖ-05</t>
        </is>
      </c>
      <c r="C1441" s="37" t="inlineStr">
        <is>
          <t>к-т</t>
        </is>
      </c>
      <c r="D1441" s="33" t="n"/>
      <c r="E1441" s="33" t="n"/>
      <c r="F1441" s="33">
        <f>E1441*0.05</f>
        <v/>
      </c>
      <c r="G1441" s="33">
        <f>E1441+F1441</f>
        <v/>
      </c>
      <c r="H1441" s="33" t="n"/>
      <c r="I1441" s="33" t="n"/>
      <c r="J1441" s="33" t="n"/>
      <c r="K1441" s="33">
        <f>L1441+M1441+N1441</f>
        <v/>
      </c>
      <c r="L1441" s="33" t="n"/>
      <c r="M1441" s="33" t="n"/>
      <c r="N1441" s="33" t="n"/>
      <c r="O1441" s="33">
        <f>P1441+Q1441</f>
        <v/>
      </c>
      <c r="P1441" s="33" t="n"/>
      <c r="Q1441" s="33" t="n"/>
      <c r="R1441" s="33">
        <f>H1441+K1441-O1441</f>
        <v/>
      </c>
      <c r="S1441" s="33" t="n"/>
      <c r="T1441" s="33" t="n"/>
      <c r="U1441" s="33" t="n"/>
      <c r="V1441" s="33" t="n"/>
      <c r="W1441" s="33" t="n"/>
      <c r="X1441" s="33" t="n"/>
      <c r="Y1441" s="33" t="n"/>
      <c r="Z1441" s="33" t="n"/>
      <c r="AA1441" s="4">
        <f>R1441-G1441</f>
        <v/>
      </c>
      <c r="AB1441" s="4">
        <f>G1441-R1441</f>
        <v/>
      </c>
      <c r="AC1441" s="33" t="n"/>
    </row>
    <row r="1442" ht="18.75" customHeight="1">
      <c r="A1442" s="35">
        <f>SUBTOTAL(103,$B$24:B1442)</f>
        <v/>
      </c>
      <c r="B1442" s="36" t="inlineStr">
        <is>
          <t>Шафи жар. ел. ЕШЖ-0,85</t>
        </is>
      </c>
      <c r="C1442" s="37" t="inlineStr">
        <is>
          <t>к-т</t>
        </is>
      </c>
      <c r="D1442" s="33" t="n"/>
      <c r="E1442" s="33" t="n"/>
      <c r="F1442" s="33">
        <f>E1442*0.05</f>
        <v/>
      </c>
      <c r="G1442" s="33">
        <f>E1442+F1442</f>
        <v/>
      </c>
      <c r="H1442" s="33" t="n"/>
      <c r="I1442" s="33" t="n"/>
      <c r="J1442" s="33" t="n"/>
      <c r="K1442" s="33">
        <f>L1442+M1442+N1442</f>
        <v/>
      </c>
      <c r="L1442" s="33" t="n"/>
      <c r="M1442" s="33" t="n"/>
      <c r="N1442" s="33" t="n"/>
      <c r="O1442" s="33">
        <f>P1442+Q1442</f>
        <v/>
      </c>
      <c r="P1442" s="33" t="n"/>
      <c r="Q1442" s="33" t="n"/>
      <c r="R1442" s="33">
        <f>H1442+K1442-O1442</f>
        <v/>
      </c>
      <c r="S1442" s="33" t="n"/>
      <c r="T1442" s="33" t="n"/>
      <c r="U1442" s="33" t="n"/>
      <c r="V1442" s="33" t="n"/>
      <c r="W1442" s="33" t="n"/>
      <c r="X1442" s="33" t="n"/>
      <c r="Y1442" s="33" t="n"/>
      <c r="Z1442" s="33" t="n"/>
      <c r="AA1442" s="4">
        <f>R1442-G1442</f>
        <v/>
      </c>
      <c r="AB1442" s="4">
        <f>G1442-R1442</f>
        <v/>
      </c>
      <c r="AC1442" s="33" t="n"/>
    </row>
    <row r="1443" ht="18.75" customHeight="1">
      <c r="A1443" s="35">
        <f>SUBTOTAL(103,$B$24:B1443)</f>
        <v/>
      </c>
      <c r="B1443" s="36" t="inlineStr">
        <is>
          <t>Шафи жар. ел. ШЖС-3</t>
        </is>
      </c>
      <c r="C1443" s="37" t="inlineStr">
        <is>
          <t>к-т</t>
        </is>
      </c>
      <c r="D1443" s="33" t="n"/>
      <c r="E1443" s="33" t="n"/>
      <c r="F1443" s="33">
        <f>E1443*0.05</f>
        <v/>
      </c>
      <c r="G1443" s="33">
        <f>E1443+F1443</f>
        <v/>
      </c>
      <c r="H1443" s="33" t="n"/>
      <c r="I1443" s="33" t="n"/>
      <c r="J1443" s="33" t="n"/>
      <c r="K1443" s="33">
        <f>L1443+M1443+N1443</f>
        <v/>
      </c>
      <c r="L1443" s="33" t="n"/>
      <c r="M1443" s="33" t="n"/>
      <c r="N1443" s="33" t="n"/>
      <c r="O1443" s="33">
        <f>P1443+Q1443</f>
        <v/>
      </c>
      <c r="P1443" s="33" t="n"/>
      <c r="Q1443" s="33" t="n"/>
      <c r="R1443" s="33">
        <f>H1443+K1443-O1443</f>
        <v/>
      </c>
      <c r="S1443" s="33" t="n"/>
      <c r="T1443" s="33" t="n"/>
      <c r="U1443" s="33" t="n"/>
      <c r="V1443" s="33" t="n"/>
      <c r="W1443" s="33" t="n"/>
      <c r="X1443" s="33" t="n"/>
      <c r="Y1443" s="33" t="n"/>
      <c r="Z1443" s="33" t="n"/>
      <c r="AA1443" s="4">
        <f>R1443-G1443</f>
        <v/>
      </c>
      <c r="AB1443" s="4">
        <f>G1443-R1443</f>
        <v/>
      </c>
      <c r="AC1443" s="33" t="n"/>
    </row>
    <row r="1444" ht="18.75" customHeight="1">
      <c r="A1444" s="35">
        <f>SUBTOTAL(103,$B$24:B1444)</f>
        <v/>
      </c>
      <c r="B1444" s="36" t="inlineStr">
        <is>
          <t>Шафи жар. ел. ШЖЕ-0,5</t>
        </is>
      </c>
      <c r="C1444" s="37" t="inlineStr">
        <is>
          <t>к-т</t>
        </is>
      </c>
      <c r="D1444" s="33" t="n"/>
      <c r="E1444" s="33" t="n"/>
      <c r="F1444" s="33">
        <f>E1444*0.05</f>
        <v/>
      </c>
      <c r="G1444" s="33">
        <f>E1444+F1444</f>
        <v/>
      </c>
      <c r="H1444" s="33" t="n"/>
      <c r="I1444" s="33" t="n"/>
      <c r="J1444" s="33" t="n"/>
      <c r="K1444" s="33">
        <f>L1444+M1444+N1444</f>
        <v/>
      </c>
      <c r="L1444" s="33" t="n"/>
      <c r="M1444" s="33" t="n"/>
      <c r="N1444" s="33" t="n"/>
      <c r="O1444" s="33">
        <f>P1444+Q1444</f>
        <v/>
      </c>
      <c r="P1444" s="33" t="n"/>
      <c r="Q1444" s="33" t="n"/>
      <c r="R1444" s="33">
        <f>H1444+K1444-O1444</f>
        <v/>
      </c>
      <c r="S1444" s="33" t="n"/>
      <c r="T1444" s="33" t="n"/>
      <c r="U1444" s="33" t="n"/>
      <c r="V1444" s="33" t="n"/>
      <c r="W1444" s="33" t="n"/>
      <c r="X1444" s="33" t="n"/>
      <c r="Y1444" s="33" t="n"/>
      <c r="Z1444" s="33" t="n"/>
      <c r="AA1444" s="4">
        <f>R1444-G1444</f>
        <v/>
      </c>
      <c r="AB1444" s="4">
        <f>G1444-R1444</f>
        <v/>
      </c>
      <c r="AC1444" s="33" t="n"/>
    </row>
    <row r="1445" ht="18.75" customHeight="1">
      <c r="A1445" s="35">
        <f>SUBTOTAL(103,$B$24:B1445)</f>
        <v/>
      </c>
      <c r="B1445" s="36" t="inlineStr">
        <is>
          <t>Шафи жар. ел. ШЖЕ-0,85</t>
        </is>
      </c>
      <c r="C1445" s="37" t="inlineStr">
        <is>
          <t>к-т</t>
        </is>
      </c>
      <c r="D1445" s="33" t="n"/>
      <c r="E1445" s="33" t="n"/>
      <c r="F1445" s="33">
        <f>E1445*0.05</f>
        <v/>
      </c>
      <c r="G1445" s="33">
        <f>E1445+F1445</f>
        <v/>
      </c>
      <c r="H1445" s="33" t="n"/>
      <c r="I1445" s="33" t="n"/>
      <c r="J1445" s="33" t="n"/>
      <c r="K1445" s="33">
        <f>L1445+M1445+N1445</f>
        <v/>
      </c>
      <c r="L1445" s="33" t="n"/>
      <c r="M1445" s="33" t="n"/>
      <c r="N1445" s="33" t="n"/>
      <c r="O1445" s="33">
        <f>P1445+Q1445</f>
        <v/>
      </c>
      <c r="P1445" s="33" t="n"/>
      <c r="Q1445" s="33" t="n"/>
      <c r="R1445" s="33">
        <f>H1445+K1445-O1445</f>
        <v/>
      </c>
      <c r="S1445" s="33" t="n"/>
      <c r="T1445" s="33" t="n"/>
      <c r="U1445" s="33" t="n"/>
      <c r="V1445" s="33" t="n"/>
      <c r="W1445" s="33" t="n"/>
      <c r="X1445" s="33" t="n"/>
      <c r="Y1445" s="33" t="n"/>
      <c r="Z1445" s="33" t="n"/>
      <c r="AA1445" s="4">
        <f>R1445-G1445</f>
        <v/>
      </c>
      <c r="AB1445" s="4">
        <f>G1445-R1445</f>
        <v/>
      </c>
      <c r="AC1445" s="33" t="n"/>
    </row>
    <row r="1446" ht="18.75" customHeight="1">
      <c r="A1446" s="35">
        <f>SUBTOTAL(103,$B$24:B1446)</f>
        <v/>
      </c>
      <c r="B1446" s="36" t="inlineStr">
        <is>
          <t>Шафи жар. ел. ШЕЖ-0,85</t>
        </is>
      </c>
      <c r="C1446" s="37" t="inlineStr">
        <is>
          <t>к-т</t>
        </is>
      </c>
      <c r="D1446" s="33" t="n"/>
      <c r="E1446" s="33" t="n"/>
      <c r="F1446" s="33">
        <f>E1446*0.05</f>
        <v/>
      </c>
      <c r="G1446" s="33">
        <f>E1446+F1446</f>
        <v/>
      </c>
      <c r="H1446" s="33" t="n"/>
      <c r="I1446" s="33" t="n"/>
      <c r="J1446" s="33" t="n"/>
      <c r="K1446" s="33">
        <f>L1446+M1446+N1446</f>
        <v/>
      </c>
      <c r="L1446" s="33" t="n"/>
      <c r="M1446" s="33" t="n"/>
      <c r="N1446" s="33" t="n"/>
      <c r="O1446" s="33">
        <f>P1446+Q1446</f>
        <v/>
      </c>
      <c r="P1446" s="33" t="n"/>
      <c r="Q1446" s="33" t="n"/>
      <c r="R1446" s="33">
        <f>H1446+K1446-O1446</f>
        <v/>
      </c>
      <c r="S1446" s="33" t="n"/>
      <c r="T1446" s="33" t="n"/>
      <c r="U1446" s="33" t="n"/>
      <c r="V1446" s="33" t="n"/>
      <c r="W1446" s="33" t="n"/>
      <c r="X1446" s="33" t="n"/>
      <c r="Y1446" s="33" t="n"/>
      <c r="Z1446" s="33" t="n"/>
      <c r="AA1446" s="4">
        <f>R1446-G1446</f>
        <v/>
      </c>
      <c r="AB1446" s="4">
        <f>G1446-R1446</f>
        <v/>
      </c>
      <c r="AC1446" s="33" t="n"/>
    </row>
    <row r="1447" ht="37.5" customHeight="1">
      <c r="A1447" s="35">
        <f>SUBTOTAL(103,$B$24:B1447)</f>
        <v/>
      </c>
      <c r="B1447" s="36" t="inlineStr">
        <is>
          <t>Шафа електрична жарочна 1-о секційна ШЖЕ-1 "Еталон"</t>
        </is>
      </c>
      <c r="C1447" s="37" t="inlineStr">
        <is>
          <t>к-т</t>
        </is>
      </c>
      <c r="D1447" s="33" t="n"/>
      <c r="E1447" s="33" t="n"/>
      <c r="F1447" s="33">
        <f>E1447*0.05</f>
        <v/>
      </c>
      <c r="G1447" s="33">
        <f>E1447+F1447</f>
        <v/>
      </c>
      <c r="H1447" s="33" t="n"/>
      <c r="I1447" s="33" t="n"/>
      <c r="J1447" s="33" t="n"/>
      <c r="K1447" s="33">
        <f>L1447+M1447+N1447</f>
        <v/>
      </c>
      <c r="L1447" s="33" t="n"/>
      <c r="M1447" s="33" t="n"/>
      <c r="N1447" s="33" t="n"/>
      <c r="O1447" s="33">
        <f>P1447+Q1447</f>
        <v/>
      </c>
      <c r="P1447" s="33" t="n"/>
      <c r="Q1447" s="33" t="n"/>
      <c r="R1447" s="33">
        <f>H1447+K1447-O1447</f>
        <v/>
      </c>
      <c r="S1447" s="33" t="n"/>
      <c r="T1447" s="33" t="n"/>
      <c r="U1447" s="33" t="n"/>
      <c r="V1447" s="33" t="n"/>
      <c r="W1447" s="33" t="n"/>
      <c r="X1447" s="33" t="n"/>
      <c r="Y1447" s="33" t="n"/>
      <c r="Z1447" s="33" t="n"/>
      <c r="AA1447" s="4">
        <f>R1447-G1447</f>
        <v/>
      </c>
      <c r="AB1447" s="4">
        <f>G1447-R1447</f>
        <v/>
      </c>
      <c r="AC1447" s="33" t="n"/>
    </row>
    <row r="1448" ht="37.5" customHeight="1">
      <c r="A1448" s="35">
        <f>SUBTOTAL(103,$B$24:B1448)</f>
        <v/>
      </c>
      <c r="B1448" s="36" t="inlineStr">
        <is>
          <t>Шафа електрична жарочна 2-х секційна ШЖЕ-2 "Еталон"</t>
        </is>
      </c>
      <c r="C1448" s="37" t="inlineStr">
        <is>
          <t>к-т</t>
        </is>
      </c>
      <c r="D1448" s="33" t="n"/>
      <c r="E1448" s="33" t="n"/>
      <c r="F1448" s="33">
        <f>E1448*0.05</f>
        <v/>
      </c>
      <c r="G1448" s="33">
        <f>E1448+F1448</f>
        <v/>
      </c>
      <c r="H1448" s="33" t="n"/>
      <c r="I1448" s="33" t="n"/>
      <c r="J1448" s="33" t="n"/>
      <c r="K1448" s="33">
        <f>L1448+M1448+N1448</f>
        <v/>
      </c>
      <c r="L1448" s="33" t="n"/>
      <c r="M1448" s="33" t="n"/>
      <c r="N1448" s="33" t="n"/>
      <c r="O1448" s="33">
        <f>P1448+Q1448</f>
        <v/>
      </c>
      <c r="P1448" s="33" t="n"/>
      <c r="Q1448" s="33" t="n"/>
      <c r="R1448" s="33">
        <f>H1448+K1448-O1448</f>
        <v/>
      </c>
      <c r="S1448" s="33" t="n"/>
      <c r="T1448" s="33" t="n"/>
      <c r="U1448" s="33" t="n"/>
      <c r="V1448" s="33" t="n"/>
      <c r="W1448" s="33" t="n"/>
      <c r="X1448" s="33" t="n"/>
      <c r="Y1448" s="33" t="n"/>
      <c r="Z1448" s="33" t="n"/>
      <c r="AA1448" s="4">
        <f>R1448-G1448</f>
        <v/>
      </c>
      <c r="AB1448" s="4">
        <f>G1448-R1448</f>
        <v/>
      </c>
      <c r="AC1448" s="33" t="n"/>
    </row>
    <row r="1449" ht="37.5" customHeight="1">
      <c r="A1449" s="35">
        <f>SUBTOTAL(103,$B$24:B1449)</f>
        <v/>
      </c>
      <c r="B1449" s="36" t="inlineStr">
        <is>
          <t>Шафа електрична жарочна 3-х секційна ШЖЕ-3 "Еталон"</t>
        </is>
      </c>
      <c r="C1449" s="37" t="inlineStr">
        <is>
          <t>к-т</t>
        </is>
      </c>
      <c r="D1449" s="33" t="n"/>
      <c r="E1449" s="33" t="n"/>
      <c r="F1449" s="33">
        <f>E1449*0.05</f>
        <v/>
      </c>
      <c r="G1449" s="33">
        <f>E1449+F1449</f>
        <v/>
      </c>
      <c r="H1449" s="33" t="n"/>
      <c r="I1449" s="33" t="n"/>
      <c r="J1449" s="33" t="n"/>
      <c r="K1449" s="33">
        <f>L1449+M1449+N1449</f>
        <v/>
      </c>
      <c r="L1449" s="33" t="n"/>
      <c r="M1449" s="33" t="n"/>
      <c r="N1449" s="33" t="n"/>
      <c r="O1449" s="33">
        <f>P1449+Q1449</f>
        <v/>
      </c>
      <c r="P1449" s="33" t="n"/>
      <c r="Q1449" s="33" t="n"/>
      <c r="R1449" s="33">
        <f>H1449+K1449-O1449</f>
        <v/>
      </c>
      <c r="S1449" s="33" t="n"/>
      <c r="T1449" s="33" t="n"/>
      <c r="U1449" s="33" t="n"/>
      <c r="V1449" s="33" t="n"/>
      <c r="W1449" s="33" t="n"/>
      <c r="X1449" s="33" t="n"/>
      <c r="Y1449" s="33" t="n"/>
      <c r="Z1449" s="33" t="n"/>
      <c r="AA1449" s="4">
        <f>R1449-G1449</f>
        <v/>
      </c>
      <c r="AB1449" s="4">
        <f>G1449-R1449</f>
        <v/>
      </c>
      <c r="AC1449" s="33" t="n"/>
    </row>
    <row r="1450" ht="18.75" customHeight="1">
      <c r="A1450" s="35">
        <f>SUBTOTAL(103,$B$24:B1450)</f>
        <v/>
      </c>
      <c r="B1450" s="36" t="inlineStr">
        <is>
          <t>Шафи жар. ел. ПС-3</t>
        </is>
      </c>
      <c r="C1450" s="37" t="inlineStr">
        <is>
          <t>к-т</t>
        </is>
      </c>
      <c r="D1450" s="33" t="n"/>
      <c r="E1450" s="33" t="n"/>
      <c r="F1450" s="33">
        <f>E1450*0.05</f>
        <v/>
      </c>
      <c r="G1450" s="33">
        <f>E1450+F1450</f>
        <v/>
      </c>
      <c r="H1450" s="33" t="n"/>
      <c r="I1450" s="33" t="n"/>
      <c r="J1450" s="33" t="n"/>
      <c r="K1450" s="33">
        <f>L1450+M1450+N1450</f>
        <v/>
      </c>
      <c r="L1450" s="33" t="n"/>
      <c r="M1450" s="33" t="n"/>
      <c r="N1450" s="33" t="n"/>
      <c r="O1450" s="33">
        <f>P1450+Q1450</f>
        <v/>
      </c>
      <c r="P1450" s="33" t="n"/>
      <c r="Q1450" s="33" t="n"/>
      <c r="R1450" s="33">
        <f>H1450+K1450-O1450</f>
        <v/>
      </c>
      <c r="S1450" s="33" t="n"/>
      <c r="T1450" s="33" t="n"/>
      <c r="U1450" s="33" t="n"/>
      <c r="V1450" s="33" t="n"/>
      <c r="W1450" s="33" t="n"/>
      <c r="X1450" s="33" t="n"/>
      <c r="Y1450" s="33" t="n"/>
      <c r="Z1450" s="33" t="n"/>
      <c r="AA1450" s="4">
        <f>R1450-G1450</f>
        <v/>
      </c>
      <c r="AB1450" s="4">
        <f>G1450-R1450</f>
        <v/>
      </c>
      <c r="AC1450" s="33" t="n"/>
    </row>
    <row r="1451" ht="18.75" customHeight="1">
      <c r="A1451" s="35">
        <f>SUBTOTAL(103,$B$24:B1451)</f>
        <v/>
      </c>
      <c r="B1451" s="36" t="inlineStr">
        <is>
          <t>Шафи жар. ел. РС-3</t>
        </is>
      </c>
      <c r="C1451" s="37" t="inlineStr">
        <is>
          <t>к-т</t>
        </is>
      </c>
      <c r="D1451" s="33" t="n"/>
      <c r="E1451" s="33" t="n"/>
      <c r="F1451" s="33">
        <f>E1451*0.05</f>
        <v/>
      </c>
      <c r="G1451" s="33">
        <f>E1451+F1451</f>
        <v/>
      </c>
      <c r="H1451" s="33" t="n"/>
      <c r="I1451" s="33" t="n"/>
      <c r="J1451" s="33" t="n"/>
      <c r="K1451" s="33">
        <f>L1451+M1451+N1451</f>
        <v/>
      </c>
      <c r="L1451" s="33" t="n"/>
      <c r="M1451" s="33" t="n"/>
      <c r="N1451" s="33" t="n"/>
      <c r="O1451" s="33">
        <f>P1451+Q1451</f>
        <v/>
      </c>
      <c r="P1451" s="33" t="n"/>
      <c r="Q1451" s="33" t="n"/>
      <c r="R1451" s="33">
        <f>H1451+K1451-O1451</f>
        <v/>
      </c>
      <c r="S1451" s="33" t="n"/>
      <c r="T1451" s="33" t="n"/>
      <c r="U1451" s="33" t="n"/>
      <c r="V1451" s="33" t="n"/>
      <c r="W1451" s="33" t="n"/>
      <c r="X1451" s="33" t="n"/>
      <c r="Y1451" s="33" t="n"/>
      <c r="Z1451" s="33" t="n"/>
      <c r="AA1451" s="4">
        <f>R1451-G1451</f>
        <v/>
      </c>
      <c r="AB1451" s="4">
        <f>G1451-R1451</f>
        <v/>
      </c>
      <c r="AC1451" s="33" t="n"/>
    </row>
    <row r="1452" ht="18.75" customHeight="1">
      <c r="A1452" s="35">
        <f>SUBTOTAL(103,$B$24:B1452)</f>
        <v/>
      </c>
      <c r="B1452" s="36" t="inlineStr">
        <is>
          <t>Шафи жар. ел. Інші</t>
        </is>
      </c>
      <c r="C1452" s="37" t="inlineStr">
        <is>
          <t>к-т</t>
        </is>
      </c>
      <c r="D1452" s="33" t="n"/>
      <c r="E1452" s="33" t="n"/>
      <c r="F1452" s="33">
        <f>E1452*0.05</f>
        <v/>
      </c>
      <c r="G1452" s="33">
        <f>E1452+F1452</f>
        <v/>
      </c>
      <c r="H1452" s="33" t="n"/>
      <c r="I1452" s="33" t="n"/>
      <c r="J1452" s="33" t="n"/>
      <c r="K1452" s="33">
        <f>L1452+M1452+N1452</f>
        <v/>
      </c>
      <c r="L1452" s="33" t="n"/>
      <c r="M1452" s="33" t="n"/>
      <c r="N1452" s="33" t="n"/>
      <c r="O1452" s="33">
        <f>P1452+Q1452</f>
        <v/>
      </c>
      <c r="P1452" s="33" t="n"/>
      <c r="Q1452" s="33" t="n"/>
      <c r="R1452" s="33">
        <f>H1452+K1452-O1452</f>
        <v/>
      </c>
      <c r="S1452" s="33" t="n"/>
      <c r="T1452" s="33" t="n"/>
      <c r="U1452" s="33" t="n"/>
      <c r="V1452" s="33" t="n"/>
      <c r="W1452" s="33" t="n"/>
      <c r="X1452" s="33" t="n"/>
      <c r="Y1452" s="33" t="n"/>
      <c r="Z1452" s="33" t="n"/>
      <c r="AA1452" s="4">
        <f>R1452-G1452</f>
        <v/>
      </c>
      <c r="AB1452" s="4">
        <f>G1452-R1452</f>
        <v/>
      </c>
      <c r="AC1452" s="33" t="n"/>
    </row>
    <row r="1453" ht="18.75" customHeight="1">
      <c r="A1453" s="35">
        <f>SUBTOTAL(103,$B$24:B1453)</f>
        <v/>
      </c>
      <c r="B1453" s="39" t="inlineStr">
        <is>
          <t>ШАФИ ПЕКАРСЬКІ ЕЛЕКТРИЧНІ</t>
        </is>
      </c>
      <c r="C1453" s="37" t="n"/>
      <c r="D1453" s="33" t="n"/>
      <c r="E1453" s="33" t="n"/>
      <c r="F1453" s="33">
        <f>E1453*0.05</f>
        <v/>
      </c>
      <c r="G1453" s="33">
        <f>E1453+F1453</f>
        <v/>
      </c>
      <c r="H1453" s="33" t="n"/>
      <c r="I1453" s="33" t="n"/>
      <c r="J1453" s="33" t="n"/>
      <c r="K1453" s="33">
        <f>L1453+M1453+N1453</f>
        <v/>
      </c>
      <c r="L1453" s="33" t="n"/>
      <c r="M1453" s="33" t="n"/>
      <c r="N1453" s="33" t="n"/>
      <c r="O1453" s="33">
        <f>P1453+Q1453</f>
        <v/>
      </c>
      <c r="P1453" s="33" t="n"/>
      <c r="Q1453" s="33" t="n"/>
      <c r="R1453" s="33">
        <f>H1453+K1453-O1453</f>
        <v/>
      </c>
      <c r="S1453" s="33" t="n"/>
      <c r="T1453" s="33" t="n"/>
      <c r="U1453" s="33" t="n"/>
      <c r="V1453" s="33" t="n"/>
      <c r="W1453" s="33" t="n"/>
      <c r="X1453" s="33" t="n"/>
      <c r="Y1453" s="33" t="n"/>
      <c r="Z1453" s="33" t="n"/>
      <c r="AA1453" s="4">
        <f>R1453-G1453</f>
        <v/>
      </c>
      <c r="AB1453" s="4">
        <f>G1453-R1453</f>
        <v/>
      </c>
      <c r="AC1453" s="33" t="n"/>
    </row>
    <row r="1454" ht="37.5" customHeight="1">
      <c r="A1454" s="35">
        <f>SUBTOTAL(103,$B$24:B1454)</f>
        <v/>
      </c>
      <c r="B1454" s="42" t="inlineStr">
        <is>
          <t>Шафа пекарська електрична 1-о секційна</t>
        </is>
      </c>
      <c r="C1454" s="37" t="inlineStr">
        <is>
          <t>к-т</t>
        </is>
      </c>
      <c r="D1454" s="33" t="n"/>
      <c r="E1454" s="33" t="n"/>
      <c r="F1454" s="33">
        <f>E1454*0.05</f>
        <v/>
      </c>
      <c r="G1454" s="33">
        <f>E1454+F1454</f>
        <v/>
      </c>
      <c r="H1454" s="33" t="n"/>
      <c r="I1454" s="33" t="n"/>
      <c r="J1454" s="33" t="n"/>
      <c r="K1454" s="33">
        <f>L1454+M1454+N1454</f>
        <v/>
      </c>
      <c r="L1454" s="33" t="n"/>
      <c r="M1454" s="33" t="n"/>
      <c r="N1454" s="33" t="n"/>
      <c r="O1454" s="33">
        <f>P1454+Q1454</f>
        <v/>
      </c>
      <c r="P1454" s="33" t="n"/>
      <c r="Q1454" s="33" t="n"/>
      <c r="R1454" s="33">
        <f>H1454+K1454-O1454</f>
        <v/>
      </c>
      <c r="S1454" s="33" t="n"/>
      <c r="T1454" s="33" t="n"/>
      <c r="U1454" s="33" t="n"/>
      <c r="V1454" s="33" t="n"/>
      <c r="W1454" s="33" t="n"/>
      <c r="X1454" s="33" t="n"/>
      <c r="Y1454" s="33" t="n"/>
      <c r="Z1454" s="33" t="n"/>
      <c r="AA1454" s="4">
        <f>R1454-G1454</f>
        <v/>
      </c>
      <c r="AB1454" s="4">
        <f>G1454-R1454</f>
        <v/>
      </c>
      <c r="AC1454" s="33" t="n"/>
    </row>
    <row r="1455" ht="37.5" customHeight="1">
      <c r="A1455" s="35">
        <f>SUBTOTAL(103,$B$24:B1455)</f>
        <v/>
      </c>
      <c r="B1455" s="42" t="inlineStr">
        <is>
          <t>Шафа пекарська електрична 2-х секційна</t>
        </is>
      </c>
      <c r="C1455" s="37" t="inlineStr">
        <is>
          <t>к-т</t>
        </is>
      </c>
      <c r="D1455" s="33" t="n"/>
      <c r="E1455" s="33" t="n"/>
      <c r="F1455" s="33">
        <f>E1455*0.05</f>
        <v/>
      </c>
      <c r="G1455" s="33">
        <f>E1455+F1455</f>
        <v/>
      </c>
      <c r="H1455" s="33" t="n"/>
      <c r="I1455" s="33" t="n"/>
      <c r="J1455" s="33" t="n"/>
      <c r="K1455" s="33">
        <f>L1455+M1455+N1455</f>
        <v/>
      </c>
      <c r="L1455" s="33" t="n"/>
      <c r="M1455" s="33" t="n"/>
      <c r="N1455" s="33" t="n"/>
      <c r="O1455" s="33">
        <f>P1455+Q1455</f>
        <v/>
      </c>
      <c r="P1455" s="33" t="n"/>
      <c r="Q1455" s="33" t="n"/>
      <c r="R1455" s="33">
        <f>H1455+K1455-O1455</f>
        <v/>
      </c>
      <c r="S1455" s="33" t="n"/>
      <c r="T1455" s="33" t="n"/>
      <c r="U1455" s="33" t="n"/>
      <c r="V1455" s="33" t="n"/>
      <c r="W1455" s="33" t="n"/>
      <c r="X1455" s="33" t="n"/>
      <c r="Y1455" s="33" t="n"/>
      <c r="Z1455" s="33" t="n"/>
      <c r="AA1455" s="4">
        <f>R1455-G1455</f>
        <v/>
      </c>
      <c r="AB1455" s="4">
        <f>G1455-R1455</f>
        <v/>
      </c>
      <c r="AC1455" s="33" t="n"/>
    </row>
    <row r="1456" ht="37.5" customHeight="1">
      <c r="A1456" s="35">
        <f>SUBTOTAL(103,$B$24:B1456)</f>
        <v/>
      </c>
      <c r="B1456" s="42" t="inlineStr">
        <is>
          <t>Шафа пекарська електрична 3-х секційна</t>
        </is>
      </c>
      <c r="C1456" s="37" t="inlineStr">
        <is>
          <t>к-т</t>
        </is>
      </c>
      <c r="D1456" s="33" t="n"/>
      <c r="E1456" s="33" t="n"/>
      <c r="F1456" s="33">
        <f>E1456*0.05</f>
        <v/>
      </c>
      <c r="G1456" s="33">
        <f>E1456+F1456</f>
        <v/>
      </c>
      <c r="H1456" s="33" t="n"/>
      <c r="I1456" s="33" t="n"/>
      <c r="J1456" s="33" t="n"/>
      <c r="K1456" s="33">
        <f>L1456+M1456+N1456</f>
        <v/>
      </c>
      <c r="L1456" s="33" t="n"/>
      <c r="M1456" s="33" t="n"/>
      <c r="N1456" s="33" t="n"/>
      <c r="O1456" s="33">
        <f>P1456+Q1456</f>
        <v/>
      </c>
      <c r="P1456" s="33" t="n"/>
      <c r="Q1456" s="33" t="n"/>
      <c r="R1456" s="33">
        <f>H1456+K1456-O1456</f>
        <v/>
      </c>
      <c r="S1456" s="33" t="n"/>
      <c r="T1456" s="33" t="n"/>
      <c r="U1456" s="33" t="n"/>
      <c r="V1456" s="33" t="n"/>
      <c r="W1456" s="33" t="n"/>
      <c r="X1456" s="33" t="n"/>
      <c r="Y1456" s="33" t="n"/>
      <c r="Z1456" s="33" t="n"/>
      <c r="AA1456" s="4">
        <f>R1456-G1456</f>
        <v/>
      </c>
      <c r="AB1456" s="4">
        <f>G1456-R1456</f>
        <v/>
      </c>
      <c r="AC1456" s="33" t="n"/>
    </row>
    <row r="1457" ht="18.75" customHeight="1">
      <c r="A1457" s="35">
        <f>SUBTOTAL(103,$B$24:B1457)</f>
        <v/>
      </c>
      <c r="B1457" s="36" t="inlineStr">
        <is>
          <t>Шафа пекарська ШПЕСМ-3</t>
        </is>
      </c>
      <c r="C1457" s="37" t="inlineStr">
        <is>
          <t>к-т</t>
        </is>
      </c>
      <c r="D1457" s="33" t="n"/>
      <c r="E1457" s="33" t="n"/>
      <c r="F1457" s="33">
        <f>E1457*0.05</f>
        <v/>
      </c>
      <c r="G1457" s="33">
        <f>E1457+F1457</f>
        <v/>
      </c>
      <c r="H1457" s="33" t="n"/>
      <c r="I1457" s="33" t="n"/>
      <c r="J1457" s="33" t="n"/>
      <c r="K1457" s="33">
        <f>L1457+M1457+N1457</f>
        <v/>
      </c>
      <c r="L1457" s="33" t="n"/>
      <c r="M1457" s="33" t="n"/>
      <c r="N1457" s="33" t="n"/>
      <c r="O1457" s="33">
        <f>P1457+Q1457</f>
        <v/>
      </c>
      <c r="P1457" s="33" t="n"/>
      <c r="Q1457" s="33" t="n"/>
      <c r="R1457" s="33">
        <f>H1457+K1457-O1457</f>
        <v/>
      </c>
      <c r="S1457" s="33" t="n"/>
      <c r="T1457" s="33" t="n"/>
      <c r="U1457" s="33" t="n"/>
      <c r="V1457" s="33" t="n"/>
      <c r="W1457" s="33" t="n"/>
      <c r="X1457" s="33" t="n"/>
      <c r="Y1457" s="33" t="n"/>
      <c r="Z1457" s="33" t="n"/>
      <c r="AA1457" s="4">
        <f>R1457-G1457</f>
        <v/>
      </c>
      <c r="AB1457" s="4">
        <f>G1457-R1457</f>
        <v/>
      </c>
      <c r="AC1457" s="33" t="n"/>
    </row>
    <row r="1458" ht="18.75" customHeight="1">
      <c r="A1458" s="35">
        <f>SUBTOTAL(103,$B$24:B1458)</f>
        <v/>
      </c>
      <c r="B1458" s="36" t="inlineStr">
        <is>
          <t>Шафа пекарська ШПЕСМ-1</t>
        </is>
      </c>
      <c r="C1458" s="37" t="inlineStr">
        <is>
          <t>к-т</t>
        </is>
      </c>
      <c r="D1458" s="33" t="n"/>
      <c r="E1458" s="33" t="n"/>
      <c r="F1458" s="33">
        <f>E1458*0.05</f>
        <v/>
      </c>
      <c r="G1458" s="33">
        <f>E1458+F1458</f>
        <v/>
      </c>
      <c r="H1458" s="33" t="n"/>
      <c r="I1458" s="33" t="n"/>
      <c r="J1458" s="33" t="n"/>
      <c r="K1458" s="33">
        <f>L1458+M1458+N1458</f>
        <v/>
      </c>
      <c r="L1458" s="33" t="n"/>
      <c r="M1458" s="33" t="n"/>
      <c r="N1458" s="33" t="n"/>
      <c r="O1458" s="33">
        <f>P1458+Q1458</f>
        <v/>
      </c>
      <c r="P1458" s="33" t="n"/>
      <c r="Q1458" s="33" t="n"/>
      <c r="R1458" s="33">
        <f>H1458+K1458-O1458</f>
        <v/>
      </c>
      <c r="S1458" s="33" t="n"/>
      <c r="T1458" s="33" t="n"/>
      <c r="U1458" s="33" t="n"/>
      <c r="V1458" s="33" t="n"/>
      <c r="W1458" s="33" t="n"/>
      <c r="X1458" s="33" t="n"/>
      <c r="Y1458" s="33" t="n"/>
      <c r="Z1458" s="33" t="n"/>
      <c r="AA1458" s="4">
        <f>R1458-G1458</f>
        <v/>
      </c>
      <c r="AB1458" s="4">
        <f>G1458-R1458</f>
        <v/>
      </c>
      <c r="AC1458" s="33" t="n"/>
    </row>
    <row r="1459" ht="18.75" customHeight="1">
      <c r="A1459" s="35">
        <f>SUBTOTAL(103,$B$24:B1459)</f>
        <v/>
      </c>
      <c r="B1459" s="36" t="inlineStr">
        <is>
          <t>Шафа пекарська ШПЕЖС-1</t>
        </is>
      </c>
      <c r="C1459" s="37" t="inlineStr">
        <is>
          <t>к-т</t>
        </is>
      </c>
      <c r="D1459" s="33" t="n"/>
      <c r="E1459" s="33" t="n"/>
      <c r="F1459" s="33">
        <f>E1459*0.05</f>
        <v/>
      </c>
      <c r="G1459" s="33">
        <f>E1459+F1459</f>
        <v/>
      </c>
      <c r="H1459" s="33" t="n"/>
      <c r="I1459" s="33" t="n"/>
      <c r="J1459" s="33" t="n"/>
      <c r="K1459" s="33">
        <f>L1459+M1459+N1459</f>
        <v/>
      </c>
      <c r="L1459" s="33" t="n"/>
      <c r="M1459" s="33" t="n"/>
      <c r="N1459" s="33" t="n"/>
      <c r="O1459" s="33">
        <f>P1459+Q1459</f>
        <v/>
      </c>
      <c r="P1459" s="33" t="n"/>
      <c r="Q1459" s="33" t="n"/>
      <c r="R1459" s="33">
        <f>H1459+K1459-O1459</f>
        <v/>
      </c>
      <c r="S1459" s="33" t="n"/>
      <c r="T1459" s="33" t="n"/>
      <c r="U1459" s="33" t="n"/>
      <c r="V1459" s="33" t="n"/>
      <c r="W1459" s="33" t="n"/>
      <c r="X1459" s="33" t="n"/>
      <c r="Y1459" s="33" t="n"/>
      <c r="Z1459" s="33" t="n"/>
      <c r="AA1459" s="4">
        <f>R1459-G1459</f>
        <v/>
      </c>
      <c r="AB1459" s="4">
        <f>G1459-R1459</f>
        <v/>
      </c>
      <c r="AC1459" s="33" t="n"/>
    </row>
    <row r="1460" ht="18.75" customHeight="1">
      <c r="A1460" s="35">
        <f>SUBTOTAL(103,$B$24:B1460)</f>
        <v/>
      </c>
      <c r="B1460" s="36" t="inlineStr">
        <is>
          <t>Шафа пекарська ШПЕЖС-3</t>
        </is>
      </c>
      <c r="C1460" s="37" t="inlineStr">
        <is>
          <t>к-т</t>
        </is>
      </c>
      <c r="D1460" s="33" t="n"/>
      <c r="E1460" s="33" t="n"/>
      <c r="F1460" s="33">
        <f>E1460*0.05</f>
        <v/>
      </c>
      <c r="G1460" s="33">
        <f>E1460+F1460</f>
        <v/>
      </c>
      <c r="H1460" s="33" t="n"/>
      <c r="I1460" s="33" t="n"/>
      <c r="J1460" s="33" t="n"/>
      <c r="K1460" s="33">
        <f>L1460+M1460+N1460</f>
        <v/>
      </c>
      <c r="L1460" s="33" t="n"/>
      <c r="M1460" s="33" t="n"/>
      <c r="N1460" s="33" t="n"/>
      <c r="O1460" s="33">
        <f>P1460+Q1460</f>
        <v/>
      </c>
      <c r="P1460" s="33" t="n"/>
      <c r="Q1460" s="33" t="n"/>
      <c r="R1460" s="33">
        <f>H1460+K1460-O1460</f>
        <v/>
      </c>
      <c r="S1460" s="33" t="n"/>
      <c r="T1460" s="33" t="n"/>
      <c r="U1460" s="33" t="n"/>
      <c r="V1460" s="33" t="n"/>
      <c r="W1460" s="33" t="n"/>
      <c r="X1460" s="33" t="n"/>
      <c r="Y1460" s="33" t="n"/>
      <c r="Z1460" s="33" t="n"/>
      <c r="AA1460" s="4">
        <f>R1460-G1460</f>
        <v/>
      </c>
      <c r="AB1460" s="4">
        <f>G1460-R1460</f>
        <v/>
      </c>
      <c r="AC1460" s="33" t="n"/>
    </row>
    <row r="1461" ht="18.75" customHeight="1">
      <c r="A1461" s="35">
        <f>SUBTOTAL(103,$B$24:B1461)</f>
        <v/>
      </c>
      <c r="B1461" s="36" t="inlineStr">
        <is>
          <t>Шафа пекарська ШПЕ-3К</t>
        </is>
      </c>
      <c r="C1461" s="37" t="inlineStr">
        <is>
          <t>к-т</t>
        </is>
      </c>
      <c r="D1461" s="33" t="n"/>
      <c r="E1461" s="33" t="n"/>
      <c r="F1461" s="33">
        <f>E1461*0.05</f>
        <v/>
      </c>
      <c r="G1461" s="33">
        <f>E1461+F1461</f>
        <v/>
      </c>
      <c r="H1461" s="33" t="n"/>
      <c r="I1461" s="33" t="n"/>
      <c r="J1461" s="33" t="n"/>
      <c r="K1461" s="33">
        <f>L1461+M1461+N1461</f>
        <v/>
      </c>
      <c r="L1461" s="33" t="n"/>
      <c r="M1461" s="33" t="n"/>
      <c r="N1461" s="33" t="n"/>
      <c r="O1461" s="33">
        <f>P1461+Q1461</f>
        <v/>
      </c>
      <c r="P1461" s="33" t="n"/>
      <c r="Q1461" s="33" t="n"/>
      <c r="R1461" s="33">
        <f>H1461+K1461-O1461</f>
        <v/>
      </c>
      <c r="S1461" s="33" t="n"/>
      <c r="T1461" s="33" t="n"/>
      <c r="U1461" s="33" t="n"/>
      <c r="V1461" s="33" t="n"/>
      <c r="W1461" s="33" t="n"/>
      <c r="X1461" s="33" t="n"/>
      <c r="Y1461" s="33" t="n"/>
      <c r="Z1461" s="33" t="n"/>
      <c r="AA1461" s="4">
        <f>R1461-G1461</f>
        <v/>
      </c>
      <c r="AB1461" s="4">
        <f>G1461-R1461</f>
        <v/>
      </c>
      <c r="AC1461" s="33" t="n"/>
    </row>
    <row r="1462" ht="18.75" customHeight="1">
      <c r="A1462" s="35">
        <f>SUBTOTAL(103,$B$24:B1462)</f>
        <v/>
      </c>
      <c r="B1462" s="36" t="inlineStr">
        <is>
          <t>Шафа пекарська ШПЕ-1К</t>
        </is>
      </c>
      <c r="C1462" s="37" t="inlineStr">
        <is>
          <t>к-т</t>
        </is>
      </c>
      <c r="D1462" s="33" t="n"/>
      <c r="E1462" s="33" t="n"/>
      <c r="F1462" s="33">
        <f>E1462*0.05</f>
        <v/>
      </c>
      <c r="G1462" s="33">
        <f>E1462+F1462</f>
        <v/>
      </c>
      <c r="H1462" s="33" t="n"/>
      <c r="I1462" s="33" t="n"/>
      <c r="J1462" s="33" t="n"/>
      <c r="K1462" s="33">
        <f>L1462+M1462+N1462</f>
        <v/>
      </c>
      <c r="L1462" s="33" t="n"/>
      <c r="M1462" s="33" t="n"/>
      <c r="N1462" s="33" t="n"/>
      <c r="O1462" s="33">
        <f>P1462+Q1462</f>
        <v/>
      </c>
      <c r="P1462" s="33" t="n"/>
      <c r="Q1462" s="33" t="n"/>
      <c r="R1462" s="33">
        <f>H1462+K1462-O1462</f>
        <v/>
      </c>
      <c r="S1462" s="33" t="n"/>
      <c r="T1462" s="33" t="n"/>
      <c r="U1462" s="33" t="n"/>
      <c r="V1462" s="33" t="n"/>
      <c r="W1462" s="33" t="n"/>
      <c r="X1462" s="33" t="n"/>
      <c r="Y1462" s="33" t="n"/>
      <c r="Z1462" s="33" t="n"/>
      <c r="AA1462" s="4">
        <f>R1462-G1462</f>
        <v/>
      </c>
      <c r="AB1462" s="4">
        <f>G1462-R1462</f>
        <v/>
      </c>
      <c r="AC1462" s="33" t="n"/>
    </row>
    <row r="1463" ht="18.75" customHeight="1">
      <c r="A1463" s="35">
        <f>SUBTOTAL(103,$B$24:B1463)</f>
        <v/>
      </c>
      <c r="B1463" s="36" t="inlineStr">
        <is>
          <t>Шафа пекарська ШПЕ-1</t>
        </is>
      </c>
      <c r="C1463" s="37" t="inlineStr">
        <is>
          <t>к-т</t>
        </is>
      </c>
      <c r="D1463" s="33" t="n"/>
      <c r="E1463" s="33" t="n"/>
      <c r="F1463" s="33">
        <f>E1463*0.05</f>
        <v/>
      </c>
      <c r="G1463" s="33">
        <f>E1463+F1463</f>
        <v/>
      </c>
      <c r="H1463" s="33" t="n"/>
      <c r="I1463" s="33" t="n"/>
      <c r="J1463" s="33" t="n"/>
      <c r="K1463" s="33">
        <f>L1463+M1463+N1463</f>
        <v/>
      </c>
      <c r="L1463" s="33" t="n"/>
      <c r="M1463" s="33" t="n"/>
      <c r="N1463" s="33" t="n"/>
      <c r="O1463" s="33">
        <f>P1463+Q1463</f>
        <v/>
      </c>
      <c r="P1463" s="33" t="n"/>
      <c r="Q1463" s="33" t="n"/>
      <c r="R1463" s="33">
        <f>H1463+K1463-O1463</f>
        <v/>
      </c>
      <c r="S1463" s="33" t="n"/>
      <c r="T1463" s="33" t="n"/>
      <c r="U1463" s="33" t="n"/>
      <c r="V1463" s="33" t="n"/>
      <c r="W1463" s="33" t="n"/>
      <c r="X1463" s="33" t="n"/>
      <c r="Y1463" s="33" t="n"/>
      <c r="Z1463" s="33" t="n"/>
      <c r="AA1463" s="4">
        <f>R1463-G1463</f>
        <v/>
      </c>
      <c r="AB1463" s="4">
        <f>G1463-R1463</f>
        <v/>
      </c>
      <c r="AC1463" s="33" t="n"/>
    </row>
    <row r="1464" ht="18.75" customHeight="1">
      <c r="A1464" s="35">
        <f>SUBTOTAL(103,$B$24:B1464)</f>
        <v/>
      </c>
      <c r="B1464" s="36" t="inlineStr">
        <is>
          <t>Шафа пекарська ШПЕ-2</t>
        </is>
      </c>
      <c r="C1464" s="37" t="inlineStr">
        <is>
          <t>к-т</t>
        </is>
      </c>
      <c r="D1464" s="33" t="n"/>
      <c r="E1464" s="33" t="n"/>
      <c r="F1464" s="33">
        <f>E1464*0.05</f>
        <v/>
      </c>
      <c r="G1464" s="33">
        <f>E1464+F1464</f>
        <v/>
      </c>
      <c r="H1464" s="33" t="n"/>
      <c r="I1464" s="33" t="n"/>
      <c r="J1464" s="33" t="n"/>
      <c r="K1464" s="33">
        <f>L1464+M1464+N1464</f>
        <v/>
      </c>
      <c r="L1464" s="33" t="n"/>
      <c r="M1464" s="33" t="n"/>
      <c r="N1464" s="33" t="n"/>
      <c r="O1464" s="33">
        <f>P1464+Q1464</f>
        <v/>
      </c>
      <c r="P1464" s="33" t="n"/>
      <c r="Q1464" s="33" t="n"/>
      <c r="R1464" s="33">
        <f>H1464+K1464-O1464</f>
        <v/>
      </c>
      <c r="S1464" s="33" t="n"/>
      <c r="T1464" s="33" t="n"/>
      <c r="U1464" s="33" t="n"/>
      <c r="V1464" s="33" t="n"/>
      <c r="W1464" s="33" t="n"/>
      <c r="X1464" s="33" t="n"/>
      <c r="Y1464" s="33" t="n"/>
      <c r="Z1464" s="33" t="n"/>
      <c r="AA1464" s="4">
        <f>R1464-G1464</f>
        <v/>
      </c>
      <c r="AB1464" s="4">
        <f>G1464-R1464</f>
        <v/>
      </c>
      <c r="AC1464" s="33" t="n"/>
    </row>
    <row r="1465" ht="18.75" customHeight="1">
      <c r="A1465" s="35">
        <f>SUBTOTAL(103,$B$24:B1465)</f>
        <v/>
      </c>
      <c r="B1465" s="36" t="inlineStr">
        <is>
          <t>Шафа пекарська ШПЕ-3</t>
        </is>
      </c>
      <c r="C1465" s="37" t="inlineStr">
        <is>
          <t>к-т</t>
        </is>
      </c>
      <c r="D1465" s="33" t="n"/>
      <c r="E1465" s="33" t="n"/>
      <c r="F1465" s="33">
        <f>E1465*0.05</f>
        <v/>
      </c>
      <c r="G1465" s="33">
        <f>E1465+F1465</f>
        <v/>
      </c>
      <c r="H1465" s="33" t="n"/>
      <c r="I1465" s="33" t="n"/>
      <c r="J1465" s="33" t="n"/>
      <c r="K1465" s="33">
        <f>L1465+M1465+N1465</f>
        <v/>
      </c>
      <c r="L1465" s="33" t="n"/>
      <c r="M1465" s="33" t="n"/>
      <c r="N1465" s="33" t="n"/>
      <c r="O1465" s="33">
        <f>P1465+Q1465</f>
        <v/>
      </c>
      <c r="P1465" s="33" t="n"/>
      <c r="Q1465" s="33" t="n"/>
      <c r="R1465" s="33">
        <f>H1465+K1465-O1465</f>
        <v/>
      </c>
      <c r="S1465" s="33" t="n"/>
      <c r="T1465" s="33" t="n"/>
      <c r="U1465" s="33" t="n"/>
      <c r="V1465" s="33" t="n"/>
      <c r="W1465" s="33" t="n"/>
      <c r="X1465" s="33" t="n"/>
      <c r="Y1465" s="33" t="n"/>
      <c r="Z1465" s="33" t="n"/>
      <c r="AA1465" s="4">
        <f>R1465-G1465</f>
        <v/>
      </c>
      <c r="AB1465" s="4">
        <f>G1465-R1465</f>
        <v/>
      </c>
      <c r="AC1465" s="33" t="n"/>
    </row>
    <row r="1466" ht="37.5" customHeight="1">
      <c r="A1466" s="35">
        <f>SUBTOTAL(103,$B$24:B1466)</f>
        <v/>
      </c>
      <c r="B1466" s="36" t="inlineStr">
        <is>
          <t>Шафа пекарська електрична 2-х секційна ШПЕС-2 "Еталон"</t>
        </is>
      </c>
      <c r="C1466" s="37" t="inlineStr">
        <is>
          <t>к-т</t>
        </is>
      </c>
      <c r="D1466" s="33" t="n"/>
      <c r="E1466" s="33" t="n"/>
      <c r="F1466" s="33">
        <f>E1466*0.05</f>
        <v/>
      </c>
      <c r="G1466" s="33">
        <f>E1466+F1466</f>
        <v/>
      </c>
      <c r="H1466" s="33" t="n"/>
      <c r="I1466" s="33" t="n"/>
      <c r="J1466" s="33" t="n"/>
      <c r="K1466" s="33">
        <f>L1466+M1466+N1466</f>
        <v/>
      </c>
      <c r="L1466" s="33" t="n"/>
      <c r="M1466" s="33" t="n"/>
      <c r="N1466" s="33" t="n"/>
      <c r="O1466" s="33">
        <f>P1466+Q1466</f>
        <v/>
      </c>
      <c r="P1466" s="33" t="n"/>
      <c r="Q1466" s="33" t="n"/>
      <c r="R1466" s="33">
        <f>H1466+K1466-O1466</f>
        <v/>
      </c>
      <c r="S1466" s="33" t="n"/>
      <c r="T1466" s="33" t="n"/>
      <c r="U1466" s="33" t="n"/>
      <c r="V1466" s="33" t="n"/>
      <c r="W1466" s="33" t="n"/>
      <c r="X1466" s="33" t="n"/>
      <c r="Y1466" s="33" t="n"/>
      <c r="Z1466" s="33" t="n"/>
      <c r="AA1466" s="4">
        <f>R1466-G1466</f>
        <v/>
      </c>
      <c r="AB1466" s="4">
        <f>G1466-R1466</f>
        <v/>
      </c>
      <c r="AC1466" s="33" t="n"/>
    </row>
    <row r="1467" ht="37.5" customHeight="1">
      <c r="A1467" s="35">
        <f>SUBTOTAL(103,$B$24:B1467)</f>
        <v/>
      </c>
      <c r="B1467" s="36" t="inlineStr">
        <is>
          <t>Шафа пекарська електрична 1-о секційна ШПЕС-1 "Еталон"</t>
        </is>
      </c>
      <c r="C1467" s="37" t="inlineStr">
        <is>
          <t>к-т</t>
        </is>
      </c>
      <c r="D1467" s="33" t="n"/>
      <c r="E1467" s="33" t="n"/>
      <c r="F1467" s="33">
        <f>E1467*0.05</f>
        <v/>
      </c>
      <c r="G1467" s="33">
        <f>E1467+F1467</f>
        <v/>
      </c>
      <c r="H1467" s="33" t="n"/>
      <c r="I1467" s="33" t="n"/>
      <c r="J1467" s="33" t="n"/>
      <c r="K1467" s="33">
        <f>L1467+M1467+N1467</f>
        <v/>
      </c>
      <c r="L1467" s="33" t="n"/>
      <c r="M1467" s="33" t="n"/>
      <c r="N1467" s="33" t="n"/>
      <c r="O1467" s="33">
        <f>P1467+Q1467</f>
        <v/>
      </c>
      <c r="P1467" s="33" t="n"/>
      <c r="Q1467" s="33" t="n"/>
      <c r="R1467" s="33">
        <f>H1467+K1467-O1467</f>
        <v/>
      </c>
      <c r="S1467" s="33" t="n"/>
      <c r="T1467" s="33" t="n"/>
      <c r="U1467" s="33" t="n"/>
      <c r="V1467" s="33" t="n"/>
      <c r="W1467" s="33" t="n"/>
      <c r="X1467" s="33" t="n"/>
      <c r="Y1467" s="33" t="n"/>
      <c r="Z1467" s="33" t="n"/>
      <c r="AA1467" s="4">
        <f>R1467-G1467</f>
        <v/>
      </c>
      <c r="AB1467" s="4">
        <f>G1467-R1467</f>
        <v/>
      </c>
      <c r="AC1467" s="33" t="n"/>
    </row>
    <row r="1468" ht="37.5" customHeight="1">
      <c r="A1468" s="35">
        <f>SUBTOTAL(103,$B$24:B1468)</f>
        <v/>
      </c>
      <c r="B1468" s="36" t="inlineStr">
        <is>
          <t>Шафа пекарська електрична 3-о секційна ШПЕС-3 "Еталон"</t>
        </is>
      </c>
      <c r="C1468" s="37" t="inlineStr">
        <is>
          <t>к-т</t>
        </is>
      </c>
      <c r="D1468" s="33" t="n"/>
      <c r="E1468" s="33" t="n"/>
      <c r="F1468" s="33">
        <f>E1468*0.05</f>
        <v/>
      </c>
      <c r="G1468" s="33">
        <f>E1468+F1468</f>
        <v/>
      </c>
      <c r="H1468" s="33" t="n"/>
      <c r="I1468" s="33" t="n"/>
      <c r="J1468" s="33" t="n"/>
      <c r="K1468" s="33">
        <f>L1468+M1468+N1468</f>
        <v/>
      </c>
      <c r="L1468" s="33" t="n"/>
      <c r="M1468" s="33" t="n"/>
      <c r="N1468" s="33" t="n"/>
      <c r="O1468" s="33">
        <f>P1468+Q1468</f>
        <v/>
      </c>
      <c r="P1468" s="33" t="n"/>
      <c r="Q1468" s="33" t="n"/>
      <c r="R1468" s="33">
        <f>H1468+K1468-O1468</f>
        <v/>
      </c>
      <c r="S1468" s="33" t="n"/>
      <c r="T1468" s="33" t="n"/>
      <c r="U1468" s="33" t="n"/>
      <c r="V1468" s="33" t="n"/>
      <c r="W1468" s="33" t="n"/>
      <c r="X1468" s="33" t="n"/>
      <c r="Y1468" s="33" t="n"/>
      <c r="Z1468" s="33" t="n"/>
      <c r="AA1468" s="4">
        <f>R1468-G1468</f>
        <v/>
      </c>
      <c r="AB1468" s="4">
        <f>G1468-R1468</f>
        <v/>
      </c>
      <c r="AC1468" s="33" t="n"/>
    </row>
    <row r="1469" ht="18.75" customHeight="1">
      <c r="A1469" s="35">
        <f>SUBTOTAL(103,$B$24:B1469)</f>
        <v/>
      </c>
      <c r="B1469" s="36" t="inlineStr">
        <is>
          <t>Шафа пекарська електрична ЄШ-4К-П</t>
        </is>
      </c>
      <c r="C1469" s="37" t="inlineStr">
        <is>
          <t>к-т</t>
        </is>
      </c>
      <c r="D1469" s="33" t="n"/>
      <c r="E1469" s="33" t="n"/>
      <c r="F1469" s="33">
        <f>E1469*0.05</f>
        <v/>
      </c>
      <c r="G1469" s="33">
        <f>E1469+F1469</f>
        <v/>
      </c>
      <c r="H1469" s="33" t="n"/>
      <c r="I1469" s="33" t="n"/>
      <c r="J1469" s="33" t="n"/>
      <c r="K1469" s="33">
        <f>L1469+M1469+N1469</f>
        <v/>
      </c>
      <c r="L1469" s="33" t="n"/>
      <c r="M1469" s="33" t="n"/>
      <c r="N1469" s="33" t="n"/>
      <c r="O1469" s="33">
        <f>P1469+Q1469</f>
        <v/>
      </c>
      <c r="P1469" s="33" t="n"/>
      <c r="Q1469" s="33" t="n"/>
      <c r="R1469" s="33">
        <f>H1469+K1469-O1469</f>
        <v/>
      </c>
      <c r="S1469" s="33" t="n"/>
      <c r="T1469" s="33" t="n"/>
      <c r="U1469" s="33" t="n"/>
      <c r="V1469" s="33" t="n"/>
      <c r="W1469" s="33" t="n"/>
      <c r="X1469" s="33" t="n"/>
      <c r="Y1469" s="33" t="n"/>
      <c r="Z1469" s="33" t="n"/>
      <c r="AA1469" s="4">
        <f>R1469-G1469</f>
        <v/>
      </c>
      <c r="AB1469" s="4">
        <f>G1469-R1469</f>
        <v/>
      </c>
      <c r="AC1469" s="33" t="n"/>
    </row>
    <row r="1470" ht="18.75" customHeight="1">
      <c r="A1470" s="35">
        <f>SUBTOTAL(103,$B$24:B1470)</f>
        <v/>
      </c>
      <c r="B1470" s="36" t="inlineStr">
        <is>
          <t xml:space="preserve">Шафа пекарська електрична </t>
        </is>
      </c>
      <c r="C1470" s="37" t="inlineStr">
        <is>
          <t>к-т</t>
        </is>
      </c>
      <c r="D1470" s="33" t="n"/>
      <c r="E1470" s="33" t="n"/>
      <c r="F1470" s="33">
        <f>E1470*0.05</f>
        <v/>
      </c>
      <c r="G1470" s="33">
        <f>E1470+F1470</f>
        <v/>
      </c>
      <c r="H1470" s="33" t="n"/>
      <c r="I1470" s="33" t="n"/>
      <c r="J1470" s="33" t="n"/>
      <c r="K1470" s="33">
        <f>L1470+M1470+N1470</f>
        <v/>
      </c>
      <c r="L1470" s="33" t="n"/>
      <c r="M1470" s="33" t="n"/>
      <c r="N1470" s="33" t="n"/>
      <c r="O1470" s="33">
        <f>P1470+Q1470</f>
        <v/>
      </c>
      <c r="P1470" s="33" t="n"/>
      <c r="Q1470" s="33" t="n"/>
      <c r="R1470" s="33">
        <f>H1470+K1470-O1470</f>
        <v/>
      </c>
      <c r="S1470" s="33" t="n"/>
      <c r="T1470" s="33" t="n"/>
      <c r="U1470" s="33" t="n"/>
      <c r="V1470" s="33" t="n"/>
      <c r="W1470" s="33" t="n"/>
      <c r="X1470" s="33" t="n"/>
      <c r="Y1470" s="33" t="n"/>
      <c r="Z1470" s="33" t="n"/>
      <c r="AA1470" s="4">
        <f>R1470-G1470</f>
        <v/>
      </c>
      <c r="AB1470" s="4">
        <f>G1470-R1470</f>
        <v/>
      </c>
      <c r="AC1470" s="33" t="n"/>
    </row>
    <row r="1471" ht="18.75" customHeight="1">
      <c r="A1471" s="35">
        <f>SUBTOTAL(103,$B$24:B1471)</f>
        <v/>
      </c>
      <c r="B1471" s="36" t="inlineStr">
        <is>
          <t>Поверхня Samsung NZ64H37070K/WT</t>
        </is>
      </c>
      <c r="C1471" s="37" t="inlineStr">
        <is>
          <t>к-т</t>
        </is>
      </c>
      <c r="D1471" s="33" t="n"/>
      <c r="E1471" s="33" t="n"/>
      <c r="F1471" s="33">
        <f>E1471*0.05</f>
        <v/>
      </c>
      <c r="G1471" s="33">
        <f>E1471+F1471</f>
        <v/>
      </c>
      <c r="H1471" s="33" t="n"/>
      <c r="I1471" s="33" t="n"/>
      <c r="J1471" s="33" t="n"/>
      <c r="K1471" s="33">
        <f>L1471+M1471+N1471</f>
        <v/>
      </c>
      <c r="L1471" s="33" t="n"/>
      <c r="M1471" s="33" t="n"/>
      <c r="N1471" s="33" t="n"/>
      <c r="O1471" s="33">
        <f>P1471+Q1471</f>
        <v/>
      </c>
      <c r="P1471" s="33" t="n"/>
      <c r="Q1471" s="33" t="n"/>
      <c r="R1471" s="33">
        <f>H1471+K1471-O1471</f>
        <v/>
      </c>
      <c r="S1471" s="33" t="n"/>
      <c r="T1471" s="33" t="n"/>
      <c r="U1471" s="33" t="n"/>
      <c r="V1471" s="33" t="n"/>
      <c r="W1471" s="33" t="n"/>
      <c r="X1471" s="33" t="n"/>
      <c r="Y1471" s="33" t="n"/>
      <c r="Z1471" s="33" t="n"/>
      <c r="AA1471" s="4">
        <f>R1471-G1471</f>
        <v/>
      </c>
      <c r="AB1471" s="4">
        <f>G1471-R1471</f>
        <v/>
      </c>
      <c r="AC1471" s="33" t="n"/>
    </row>
    <row r="1472" ht="37.5" customHeight="1">
      <c r="A1472" s="35">
        <f>SUBTOTAL(103,$B$24:B1472)</f>
        <v/>
      </c>
      <c r="B1472" s="36" t="inlineStr">
        <is>
          <t>Духова шафа Samsung NV68R1310BS/WT</t>
        </is>
      </c>
      <c r="C1472" s="37" t="inlineStr">
        <is>
          <t>к-т</t>
        </is>
      </c>
      <c r="D1472" s="33" t="n"/>
      <c r="E1472" s="33" t="n"/>
      <c r="F1472" s="33">
        <f>E1472*0.05</f>
        <v/>
      </c>
      <c r="G1472" s="33">
        <f>E1472+F1472</f>
        <v/>
      </c>
      <c r="H1472" s="33" t="n"/>
      <c r="I1472" s="33" t="n"/>
      <c r="J1472" s="33" t="n"/>
      <c r="K1472" s="33">
        <f>L1472+M1472+N1472</f>
        <v/>
      </c>
      <c r="L1472" s="33" t="n"/>
      <c r="M1472" s="33" t="n"/>
      <c r="N1472" s="33" t="n"/>
      <c r="O1472" s="33">
        <f>P1472+Q1472</f>
        <v/>
      </c>
      <c r="P1472" s="33" t="n"/>
      <c r="Q1472" s="33" t="n"/>
      <c r="R1472" s="33">
        <f>H1472+K1472-O1472</f>
        <v/>
      </c>
      <c r="S1472" s="33" t="n"/>
      <c r="T1472" s="33" t="n"/>
      <c r="U1472" s="33" t="n"/>
      <c r="V1472" s="33" t="n"/>
      <c r="W1472" s="33" t="n"/>
      <c r="X1472" s="33" t="n"/>
      <c r="Y1472" s="33" t="n"/>
      <c r="Z1472" s="33" t="n"/>
      <c r="AA1472" s="4">
        <f>R1472-G1472</f>
        <v/>
      </c>
      <c r="AB1472" s="4">
        <f>G1472-R1472</f>
        <v/>
      </c>
      <c r="AC1472" s="33" t="n"/>
    </row>
    <row r="1473" ht="18.75" customHeight="1">
      <c r="A1473" s="35">
        <f>SUBTOTAL(103,$B$24:B1473)</f>
        <v/>
      </c>
      <c r="B1473" s="36" t="inlineStr">
        <is>
          <t>Духова шафа Electrolux</t>
        </is>
      </c>
      <c r="C1473" s="37" t="inlineStr">
        <is>
          <t>к-т</t>
        </is>
      </c>
      <c r="D1473" s="33" t="n"/>
      <c r="E1473" s="33" t="n"/>
      <c r="F1473" s="33">
        <f>E1473*0.05</f>
        <v/>
      </c>
      <c r="G1473" s="33">
        <f>E1473+F1473</f>
        <v/>
      </c>
      <c r="H1473" s="33" t="n"/>
      <c r="I1473" s="33" t="n"/>
      <c r="J1473" s="33" t="n"/>
      <c r="K1473" s="33">
        <f>L1473+M1473+N1473</f>
        <v/>
      </c>
      <c r="L1473" s="33" t="n"/>
      <c r="M1473" s="33" t="n"/>
      <c r="N1473" s="33" t="n"/>
      <c r="O1473" s="33">
        <f>P1473+Q1473</f>
        <v/>
      </c>
      <c r="P1473" s="33" t="n"/>
      <c r="Q1473" s="33" t="n"/>
      <c r="R1473" s="33">
        <f>H1473+K1473-O1473</f>
        <v/>
      </c>
      <c r="S1473" s="33" t="n"/>
      <c r="T1473" s="33" t="n"/>
      <c r="U1473" s="33" t="n"/>
      <c r="V1473" s="33" t="n"/>
      <c r="W1473" s="33" t="n"/>
      <c r="X1473" s="33" t="n"/>
      <c r="Y1473" s="33" t="n"/>
      <c r="Z1473" s="33" t="n"/>
      <c r="AA1473" s="4">
        <f>R1473-G1473</f>
        <v/>
      </c>
      <c r="AB1473" s="4">
        <f>G1473-R1473</f>
        <v/>
      </c>
      <c r="AC1473" s="33" t="n"/>
    </row>
    <row r="1474" ht="18.75" customHeight="1">
      <c r="A1474" s="35">
        <f>SUBTOTAL(103,$B$24:B1474)</f>
        <v/>
      </c>
      <c r="B1474" s="36" t="inlineStr">
        <is>
          <t>Духова шафа "Хотпоінт Арістон"</t>
        </is>
      </c>
      <c r="C1474" s="37" t="inlineStr">
        <is>
          <t>к-т</t>
        </is>
      </c>
      <c r="D1474" s="33" t="n"/>
      <c r="E1474" s="33" t="n"/>
      <c r="F1474" s="33">
        <f>E1474*0.05</f>
        <v/>
      </c>
      <c r="G1474" s="33">
        <f>E1474+F1474</f>
        <v/>
      </c>
      <c r="H1474" s="33" t="n"/>
      <c r="I1474" s="33" t="n"/>
      <c r="J1474" s="33" t="n"/>
      <c r="K1474" s="33">
        <f>L1474+M1474+N1474</f>
        <v/>
      </c>
      <c r="L1474" s="33" t="n"/>
      <c r="M1474" s="33" t="n"/>
      <c r="N1474" s="33" t="n"/>
      <c r="O1474" s="33">
        <f>P1474+Q1474</f>
        <v/>
      </c>
      <c r="P1474" s="33" t="n"/>
      <c r="Q1474" s="33" t="n"/>
      <c r="R1474" s="33">
        <f>H1474+K1474-O1474</f>
        <v/>
      </c>
      <c r="S1474" s="33" t="n"/>
      <c r="T1474" s="33" t="n"/>
      <c r="U1474" s="33" t="n"/>
      <c r="V1474" s="33" t="n"/>
      <c r="W1474" s="33" t="n"/>
      <c r="X1474" s="33" t="n"/>
      <c r="Y1474" s="33" t="n"/>
      <c r="Z1474" s="33" t="n"/>
      <c r="AA1474" s="4">
        <f>R1474-G1474</f>
        <v/>
      </c>
      <c r="AB1474" s="4">
        <f>G1474-R1474</f>
        <v/>
      </c>
      <c r="AC1474" s="33" t="n"/>
    </row>
    <row r="1475" ht="18.75" customHeight="1">
      <c r="A1475" s="35">
        <f>SUBTOTAL(103,$B$24:B1475)</f>
        <v/>
      </c>
      <c r="B1475" s="36" t="inlineStr">
        <is>
          <t>Духова шафа "ЗАНУССІ"</t>
        </is>
      </c>
      <c r="C1475" s="37" t="inlineStr">
        <is>
          <t>к-т</t>
        </is>
      </c>
      <c r="D1475" s="33" t="n"/>
      <c r="E1475" s="33" t="n"/>
      <c r="F1475" s="33">
        <f>E1475*0.05</f>
        <v/>
      </c>
      <c r="G1475" s="33">
        <f>E1475+F1475</f>
        <v/>
      </c>
      <c r="H1475" s="33" t="n"/>
      <c r="I1475" s="33" t="n"/>
      <c r="J1475" s="33" t="n"/>
      <c r="K1475" s="33">
        <f>L1475+M1475+N1475</f>
        <v/>
      </c>
      <c r="L1475" s="33" t="n"/>
      <c r="M1475" s="33" t="n"/>
      <c r="N1475" s="33" t="n"/>
      <c r="O1475" s="33">
        <f>P1475+Q1475</f>
        <v/>
      </c>
      <c r="P1475" s="33" t="n"/>
      <c r="Q1475" s="33" t="n"/>
      <c r="R1475" s="33">
        <f>H1475+K1475-O1475</f>
        <v/>
      </c>
      <c r="S1475" s="33" t="n"/>
      <c r="T1475" s="33" t="n"/>
      <c r="U1475" s="33" t="n"/>
      <c r="V1475" s="33" t="n"/>
      <c r="W1475" s="33" t="n"/>
      <c r="X1475" s="33" t="n"/>
      <c r="Y1475" s="33" t="n"/>
      <c r="Z1475" s="33" t="n"/>
      <c r="AA1475" s="4">
        <f>R1475-G1475</f>
        <v/>
      </c>
      <c r="AB1475" s="4">
        <f>G1475-R1475</f>
        <v/>
      </c>
      <c r="AC1475" s="33" t="n"/>
    </row>
    <row r="1476" ht="18.75" customHeight="1">
      <c r="A1476" s="35">
        <f>SUBTOTAL(103,$B$24:B1476)</f>
        <v/>
      </c>
      <c r="B1476" s="36" t="inlineStr">
        <is>
          <t xml:space="preserve">Електродуховки побутові </t>
        </is>
      </c>
      <c r="C1476" s="37" t="inlineStr">
        <is>
          <t>к-т</t>
        </is>
      </c>
      <c r="D1476" s="33" t="n"/>
      <c r="E1476" s="33" t="n"/>
      <c r="F1476" s="33">
        <f>E1476*0.05</f>
        <v/>
      </c>
      <c r="G1476" s="33">
        <f>E1476+F1476</f>
        <v/>
      </c>
      <c r="H1476" s="33" t="n"/>
      <c r="I1476" s="33" t="n"/>
      <c r="J1476" s="33" t="n"/>
      <c r="K1476" s="33">
        <f>L1476+M1476+N1476</f>
        <v/>
      </c>
      <c r="L1476" s="33" t="n"/>
      <c r="M1476" s="33" t="n"/>
      <c r="N1476" s="33" t="n"/>
      <c r="O1476" s="33">
        <f>P1476+Q1476</f>
        <v/>
      </c>
      <c r="P1476" s="33" t="n"/>
      <c r="Q1476" s="33" t="n"/>
      <c r="R1476" s="33">
        <f>H1476+K1476-O1476</f>
        <v/>
      </c>
      <c r="S1476" s="33" t="n"/>
      <c r="T1476" s="33" t="n"/>
      <c r="U1476" s="33" t="n"/>
      <c r="V1476" s="33" t="n"/>
      <c r="W1476" s="33" t="n"/>
      <c r="X1476" s="33" t="n"/>
      <c r="Y1476" s="33" t="n"/>
      <c r="Z1476" s="33" t="n"/>
      <c r="AA1476" s="4">
        <f>R1476-G1476</f>
        <v/>
      </c>
      <c r="AB1476" s="4">
        <f>G1476-R1476</f>
        <v/>
      </c>
      <c r="AC1476" s="33" t="n"/>
    </row>
    <row r="1477" ht="18.75" customHeight="1">
      <c r="A1477" s="35">
        <f>SUBTOTAL(103,$B$24:B1477)</f>
        <v/>
      </c>
      <c r="B1477" s="36" t="inlineStr">
        <is>
          <t>Духовка електрична ЕШБП</t>
        </is>
      </c>
      <c r="C1477" s="37" t="inlineStr">
        <is>
          <t>к-т</t>
        </is>
      </c>
      <c r="D1477" s="33" t="n"/>
      <c r="E1477" s="33" t="n"/>
      <c r="F1477" s="33">
        <f>E1477*0.05</f>
        <v/>
      </c>
      <c r="G1477" s="33">
        <f>E1477+F1477</f>
        <v/>
      </c>
      <c r="H1477" s="33" t="n"/>
      <c r="I1477" s="33" t="n"/>
      <c r="J1477" s="33" t="n"/>
      <c r="K1477" s="33">
        <f>L1477+M1477+N1477</f>
        <v/>
      </c>
      <c r="L1477" s="33" t="n"/>
      <c r="M1477" s="33" t="n"/>
      <c r="N1477" s="33" t="n"/>
      <c r="O1477" s="33">
        <f>P1477+Q1477</f>
        <v/>
      </c>
      <c r="P1477" s="33" t="n"/>
      <c r="Q1477" s="33" t="n"/>
      <c r="R1477" s="33">
        <f>H1477+K1477-O1477</f>
        <v/>
      </c>
      <c r="S1477" s="33" t="n"/>
      <c r="T1477" s="33" t="n"/>
      <c r="U1477" s="33" t="n"/>
      <c r="V1477" s="33" t="n"/>
      <c r="W1477" s="33" t="n"/>
      <c r="X1477" s="33" t="n"/>
      <c r="Y1477" s="33" t="n"/>
      <c r="Z1477" s="33" t="n"/>
      <c r="AA1477" s="4">
        <f>R1477-G1477</f>
        <v/>
      </c>
      <c r="AB1477" s="4">
        <f>G1477-R1477</f>
        <v/>
      </c>
      <c r="AC1477" s="33" t="n"/>
    </row>
    <row r="1478" ht="18.75" customHeight="1">
      <c r="A1478" s="35">
        <f>SUBTOTAL(103,$B$24:B1478)</f>
        <v/>
      </c>
      <c r="B1478" s="36" t="inlineStr">
        <is>
          <t>Електропіч МРМ</t>
        </is>
      </c>
      <c r="C1478" s="37" t="inlineStr">
        <is>
          <t>к-т</t>
        </is>
      </c>
      <c r="D1478" s="33" t="n"/>
      <c r="E1478" s="33" t="n"/>
      <c r="F1478" s="33">
        <f>E1478*0.05</f>
        <v/>
      </c>
      <c r="G1478" s="33">
        <f>E1478+F1478</f>
        <v/>
      </c>
      <c r="H1478" s="33" t="n"/>
      <c r="I1478" s="33" t="n"/>
      <c r="J1478" s="33" t="n"/>
      <c r="K1478" s="33">
        <f>L1478+M1478+N1478</f>
        <v/>
      </c>
      <c r="L1478" s="33" t="n"/>
      <c r="M1478" s="33" t="n"/>
      <c r="N1478" s="33" t="n"/>
      <c r="O1478" s="33">
        <f>P1478+Q1478</f>
        <v/>
      </c>
      <c r="P1478" s="33" t="n"/>
      <c r="Q1478" s="33" t="n"/>
      <c r="R1478" s="33">
        <f>H1478+K1478-O1478</f>
        <v/>
      </c>
      <c r="S1478" s="33" t="n"/>
      <c r="T1478" s="33" t="n"/>
      <c r="U1478" s="33" t="n"/>
      <c r="V1478" s="33" t="n"/>
      <c r="W1478" s="33" t="n"/>
      <c r="X1478" s="33" t="n"/>
      <c r="Y1478" s="33" t="n"/>
      <c r="Z1478" s="33" t="n"/>
      <c r="AA1478" s="4">
        <f>R1478-G1478</f>
        <v/>
      </c>
      <c r="AB1478" s="4">
        <f>G1478-R1478</f>
        <v/>
      </c>
      <c r="AC1478" s="33" t="n"/>
    </row>
    <row r="1479" ht="18.75" customHeight="1">
      <c r="A1479" s="35">
        <f>SUBTOTAL(103,$B$24:B1479)</f>
        <v/>
      </c>
      <c r="B1479" s="39" t="inlineStr">
        <is>
          <t>ПАРОКОНВЕКЦІЙНІ ПЕЧІ</t>
        </is>
      </c>
      <c r="C1479" s="37" t="n"/>
      <c r="D1479" s="33" t="n"/>
      <c r="E1479" s="33" t="n"/>
      <c r="F1479" s="33">
        <f>E1479*0.05</f>
        <v/>
      </c>
      <c r="G1479" s="33">
        <f>E1479+F1479</f>
        <v/>
      </c>
      <c r="H1479" s="33" t="n"/>
      <c r="I1479" s="33" t="n"/>
      <c r="J1479" s="33" t="n"/>
      <c r="K1479" s="33">
        <f>L1479+M1479+N1479</f>
        <v/>
      </c>
      <c r="L1479" s="33" t="n"/>
      <c r="M1479" s="33" t="n"/>
      <c r="N1479" s="33" t="n"/>
      <c r="O1479" s="33">
        <f>P1479+Q1479</f>
        <v/>
      </c>
      <c r="P1479" s="33" t="n"/>
      <c r="Q1479" s="33" t="n"/>
      <c r="R1479" s="33">
        <f>H1479+K1479-O1479</f>
        <v/>
      </c>
      <c r="S1479" s="33" t="n"/>
      <c r="T1479" s="33" t="n"/>
      <c r="U1479" s="33" t="n"/>
      <c r="V1479" s="33" t="n"/>
      <c r="W1479" s="33" t="n"/>
      <c r="X1479" s="33" t="n"/>
      <c r="Y1479" s="33" t="n"/>
      <c r="Z1479" s="33" t="n"/>
      <c r="AA1479" s="4">
        <f>R1479-G1479</f>
        <v/>
      </c>
      <c r="AB1479" s="4">
        <f>G1479-R1479</f>
        <v/>
      </c>
      <c r="AC1479" s="33" t="n"/>
    </row>
    <row r="1480" ht="37.5" customHeight="1">
      <c r="A1480" s="35">
        <f>SUBTOTAL(103,$B$24:B1480)</f>
        <v/>
      </c>
      <c r="B1480" s="36" t="inlineStr">
        <is>
          <t xml:space="preserve">Пароконвекційна піч на 7 листів в комплекті </t>
        </is>
      </c>
      <c r="C1480" s="37" t="inlineStr">
        <is>
          <t>к-т</t>
        </is>
      </c>
      <c r="D1480" s="33" t="n"/>
      <c r="E1480" s="33" t="n"/>
      <c r="F1480" s="33">
        <f>E1480*0.05</f>
        <v/>
      </c>
      <c r="G1480" s="33">
        <f>E1480+F1480</f>
        <v/>
      </c>
      <c r="H1480" s="33" t="n"/>
      <c r="I1480" s="33" t="n"/>
      <c r="J1480" s="33" t="n"/>
      <c r="K1480" s="33">
        <f>L1480+M1480+N1480</f>
        <v/>
      </c>
      <c r="L1480" s="33" t="n"/>
      <c r="M1480" s="33" t="n"/>
      <c r="N1480" s="33" t="n"/>
      <c r="O1480" s="33">
        <f>P1480+Q1480</f>
        <v/>
      </c>
      <c r="P1480" s="33" t="n"/>
      <c r="Q1480" s="33" t="n"/>
      <c r="R1480" s="33">
        <f>H1480+K1480-O1480</f>
        <v/>
      </c>
      <c r="S1480" s="33" t="n"/>
      <c r="T1480" s="33" t="n"/>
      <c r="U1480" s="33" t="n"/>
      <c r="V1480" s="33" t="n"/>
      <c r="W1480" s="33" t="n"/>
      <c r="X1480" s="33" t="n"/>
      <c r="Y1480" s="33" t="n"/>
      <c r="Z1480" s="33" t="n"/>
      <c r="AA1480" s="4">
        <f>R1480-G1480</f>
        <v/>
      </c>
      <c r="AB1480" s="4">
        <f>G1480-R1480</f>
        <v/>
      </c>
      <c r="AC1480" s="33" t="n"/>
    </row>
    <row r="1481" ht="37.5" customHeight="1">
      <c r="A1481" s="35">
        <f>SUBTOTAL(103,$B$24:B1481)</f>
        <v/>
      </c>
      <c r="B1481" s="36" t="inlineStr">
        <is>
          <t xml:space="preserve">Пароконвекційна піч на 10 листів в комплекті </t>
        </is>
      </c>
      <c r="C1481" s="37" t="inlineStr">
        <is>
          <t>к-т</t>
        </is>
      </c>
      <c r="D1481" s="33" t="n"/>
      <c r="E1481" s="33" t="n"/>
      <c r="F1481" s="33">
        <f>E1481*0.05</f>
        <v/>
      </c>
      <c r="G1481" s="33">
        <f>E1481+F1481</f>
        <v/>
      </c>
      <c r="H1481" s="33" t="n"/>
      <c r="I1481" s="33" t="n"/>
      <c r="J1481" s="33" t="n"/>
      <c r="K1481" s="33">
        <f>L1481+M1481+N1481</f>
        <v/>
      </c>
      <c r="L1481" s="33" t="n"/>
      <c r="M1481" s="33" t="n"/>
      <c r="N1481" s="33" t="n"/>
      <c r="O1481" s="33">
        <f>P1481+Q1481</f>
        <v/>
      </c>
      <c r="P1481" s="33" t="n"/>
      <c r="Q1481" s="33" t="n"/>
      <c r="R1481" s="33">
        <f>H1481+K1481-O1481</f>
        <v/>
      </c>
      <c r="S1481" s="33" t="n"/>
      <c r="T1481" s="33" t="n"/>
      <c r="U1481" s="33" t="n"/>
      <c r="V1481" s="33" t="n"/>
      <c r="W1481" s="33" t="n"/>
      <c r="X1481" s="33" t="n"/>
      <c r="Y1481" s="33" t="n"/>
      <c r="Z1481" s="33" t="n"/>
      <c r="AA1481" s="4">
        <f>R1481-G1481</f>
        <v/>
      </c>
      <c r="AB1481" s="4">
        <f>G1481-R1481</f>
        <v/>
      </c>
      <c r="AC1481" s="33" t="n"/>
    </row>
    <row r="1482" ht="37.5" customHeight="1">
      <c r="A1482" s="35">
        <f>SUBTOTAL(103,$B$24:B1482)</f>
        <v/>
      </c>
      <c r="B1482" s="36" t="inlineStr">
        <is>
          <t xml:space="preserve">Пароконвекційна піч на 20 листів в комплекті </t>
        </is>
      </c>
      <c r="C1482" s="37" t="inlineStr">
        <is>
          <t>к-т</t>
        </is>
      </c>
      <c r="D1482" s="33" t="n"/>
      <c r="E1482" s="33" t="n"/>
      <c r="F1482" s="33">
        <f>E1482*0.05</f>
        <v/>
      </c>
      <c r="G1482" s="33">
        <f>E1482+F1482</f>
        <v/>
      </c>
      <c r="H1482" s="33" t="n"/>
      <c r="I1482" s="33" t="n"/>
      <c r="J1482" s="33" t="n"/>
      <c r="K1482" s="33">
        <f>L1482+M1482+N1482</f>
        <v/>
      </c>
      <c r="L1482" s="33" t="n"/>
      <c r="M1482" s="33" t="n"/>
      <c r="N1482" s="33" t="n"/>
      <c r="O1482" s="33">
        <f>P1482+Q1482</f>
        <v/>
      </c>
      <c r="P1482" s="33" t="n"/>
      <c r="Q1482" s="33" t="n"/>
      <c r="R1482" s="33">
        <f>H1482+K1482-O1482</f>
        <v/>
      </c>
      <c r="S1482" s="33" t="n"/>
      <c r="T1482" s="33" t="n"/>
      <c r="U1482" s="33" t="n"/>
      <c r="V1482" s="33" t="n"/>
      <c r="W1482" s="33" t="n"/>
      <c r="X1482" s="33" t="n"/>
      <c r="Y1482" s="33" t="n"/>
      <c r="Z1482" s="33" t="n"/>
      <c r="AA1482" s="4">
        <f>R1482-G1482</f>
        <v/>
      </c>
      <c r="AB1482" s="4">
        <f>G1482-R1482</f>
        <v/>
      </c>
      <c r="AC1482" s="33" t="n"/>
    </row>
    <row r="1483" ht="18.75" customHeight="1">
      <c r="A1483" s="35">
        <f>SUBTOTAL(103,$B$24:B1483)</f>
        <v/>
      </c>
      <c r="B1483" s="36" t="inlineStr">
        <is>
          <t>Пароконвекційна піч UNOX XFT193</t>
        </is>
      </c>
      <c r="C1483" s="37" t="inlineStr">
        <is>
          <t>к-т</t>
        </is>
      </c>
      <c r="D1483" s="33" t="n"/>
      <c r="E1483" s="33" t="n"/>
      <c r="F1483" s="33">
        <f>E1483*0.05</f>
        <v/>
      </c>
      <c r="G1483" s="33">
        <f>E1483+F1483</f>
        <v/>
      </c>
      <c r="H1483" s="33" t="n"/>
      <c r="I1483" s="33" t="n"/>
      <c r="J1483" s="33" t="n"/>
      <c r="K1483" s="33">
        <f>L1483+M1483+N1483</f>
        <v/>
      </c>
      <c r="L1483" s="33" t="n"/>
      <c r="M1483" s="33" t="n"/>
      <c r="N1483" s="33" t="n"/>
      <c r="O1483" s="33">
        <f>P1483+Q1483</f>
        <v/>
      </c>
      <c r="P1483" s="33" t="n"/>
      <c r="Q1483" s="33" t="n"/>
      <c r="R1483" s="33">
        <f>H1483+K1483-O1483</f>
        <v/>
      </c>
      <c r="S1483" s="33" t="n"/>
      <c r="T1483" s="33" t="n"/>
      <c r="U1483" s="33" t="n"/>
      <c r="V1483" s="33" t="n"/>
      <c r="W1483" s="33" t="n"/>
      <c r="X1483" s="33" t="n"/>
      <c r="Y1483" s="33" t="n"/>
      <c r="Z1483" s="33" t="n"/>
      <c r="AA1483" s="4">
        <f>R1483-G1483</f>
        <v/>
      </c>
      <c r="AB1483" s="4">
        <f>G1483-R1483</f>
        <v/>
      </c>
      <c r="AC1483" s="33" t="n"/>
    </row>
    <row r="1484" ht="37.5" customHeight="1">
      <c r="A1484" s="35">
        <f>SUBTOTAL(103,$B$24:B1484)</f>
        <v/>
      </c>
      <c r="B1484" s="36" t="inlineStr">
        <is>
          <t>Пароконвекційна піч MKF611CTS (Tecnoeka) 6-8 піч</t>
        </is>
      </c>
      <c r="C1484" s="37" t="inlineStr">
        <is>
          <t>к-т</t>
        </is>
      </c>
      <c r="D1484" s="33" t="n"/>
      <c r="E1484" s="33" t="n"/>
      <c r="F1484" s="33">
        <f>E1484*0.05</f>
        <v/>
      </c>
      <c r="G1484" s="33">
        <f>E1484+F1484</f>
        <v/>
      </c>
      <c r="H1484" s="33" t="n"/>
      <c r="I1484" s="33" t="n"/>
      <c r="J1484" s="33" t="n"/>
      <c r="K1484" s="33">
        <f>L1484+M1484+N1484</f>
        <v/>
      </c>
      <c r="L1484" s="33" t="n"/>
      <c r="M1484" s="33" t="n"/>
      <c r="N1484" s="33" t="n"/>
      <c r="O1484" s="33">
        <f>P1484+Q1484</f>
        <v/>
      </c>
      <c r="P1484" s="33" t="n"/>
      <c r="Q1484" s="33" t="n"/>
      <c r="R1484" s="33">
        <f>H1484+K1484-O1484</f>
        <v/>
      </c>
      <c r="S1484" s="33" t="n"/>
      <c r="T1484" s="33" t="n"/>
      <c r="U1484" s="33" t="n"/>
      <c r="V1484" s="33" t="n"/>
      <c r="W1484" s="33" t="n"/>
      <c r="X1484" s="33" t="n"/>
      <c r="Y1484" s="33" t="n"/>
      <c r="Z1484" s="33" t="n"/>
      <c r="AA1484" s="4">
        <f>R1484-G1484</f>
        <v/>
      </c>
      <c r="AB1484" s="4">
        <f>G1484-R1484</f>
        <v/>
      </c>
      <c r="AC1484" s="33" t="n"/>
    </row>
    <row r="1485" ht="37.5" customHeight="1">
      <c r="A1485" s="35">
        <f>SUBTOTAL(103,$B$24:B1485)</f>
        <v/>
      </c>
      <c r="B1485" s="36" t="inlineStr">
        <is>
          <t>Пароконвекційна піч Primax PDE-106-LD(на 6-8 рів)</t>
        </is>
      </c>
      <c r="C1485" s="37" t="inlineStr">
        <is>
          <t>к-т</t>
        </is>
      </c>
      <c r="D1485" s="33" t="n"/>
      <c r="E1485" s="33" t="n"/>
      <c r="F1485" s="33">
        <f>E1485*0.05</f>
        <v/>
      </c>
      <c r="G1485" s="33">
        <f>E1485+F1485</f>
        <v/>
      </c>
      <c r="H1485" s="33" t="n"/>
      <c r="I1485" s="33" t="n"/>
      <c r="J1485" s="33" t="n"/>
      <c r="K1485" s="33">
        <f>L1485+M1485+N1485</f>
        <v/>
      </c>
      <c r="L1485" s="33" t="n"/>
      <c r="M1485" s="33" t="n"/>
      <c r="N1485" s="33" t="n"/>
      <c r="O1485" s="33">
        <f>P1485+Q1485</f>
        <v/>
      </c>
      <c r="P1485" s="33" t="n"/>
      <c r="Q1485" s="33" t="n"/>
      <c r="R1485" s="33">
        <f>H1485+K1485-O1485</f>
        <v/>
      </c>
      <c r="S1485" s="33" t="n"/>
      <c r="T1485" s="33" t="n"/>
      <c r="U1485" s="33" t="n"/>
      <c r="V1485" s="33" t="n"/>
      <c r="W1485" s="33" t="n"/>
      <c r="X1485" s="33" t="n"/>
      <c r="Y1485" s="33" t="n"/>
      <c r="Z1485" s="33" t="n"/>
      <c r="AA1485" s="4">
        <f>R1485-G1485</f>
        <v/>
      </c>
      <c r="AB1485" s="4">
        <f>G1485-R1485</f>
        <v/>
      </c>
      <c r="AC1485" s="33" t="n"/>
    </row>
    <row r="1486" ht="37.5" customHeight="1">
      <c r="A1486" s="35">
        <f>SUBTOTAL(103,$B$24:B1486)</f>
        <v/>
      </c>
      <c r="B1486" s="36" t="inlineStr">
        <is>
          <t>Пароконвекційна піч Unox XEVC0711E1R(на 7 рів)</t>
        </is>
      </c>
      <c r="C1486" s="37" t="inlineStr">
        <is>
          <t>к-т</t>
        </is>
      </c>
      <c r="D1486" s="33" t="n"/>
      <c r="E1486" s="33" t="n"/>
      <c r="F1486" s="33">
        <f>E1486*0.05</f>
        <v/>
      </c>
      <c r="G1486" s="33">
        <f>E1486+F1486</f>
        <v/>
      </c>
      <c r="H1486" s="33" t="n"/>
      <c r="I1486" s="33" t="n"/>
      <c r="J1486" s="33" t="n"/>
      <c r="K1486" s="33">
        <f>L1486+M1486+N1486</f>
        <v/>
      </c>
      <c r="L1486" s="33" t="n"/>
      <c r="M1486" s="33" t="n"/>
      <c r="N1486" s="33" t="n"/>
      <c r="O1486" s="33">
        <f>P1486+Q1486</f>
        <v/>
      </c>
      <c r="P1486" s="33" t="n"/>
      <c r="Q1486" s="33" t="n"/>
      <c r="R1486" s="33">
        <f>H1486+K1486-O1486</f>
        <v/>
      </c>
      <c r="S1486" s="33" t="n"/>
      <c r="T1486" s="33" t="n"/>
      <c r="U1486" s="33" t="n"/>
      <c r="V1486" s="33" t="n"/>
      <c r="W1486" s="33" t="n"/>
      <c r="X1486" s="33" t="n"/>
      <c r="Y1486" s="33" t="n"/>
      <c r="Z1486" s="33" t="n"/>
      <c r="AA1486" s="4">
        <f>R1486-G1486</f>
        <v/>
      </c>
      <c r="AB1486" s="4">
        <f>G1486-R1486</f>
        <v/>
      </c>
      <c r="AC1486" s="33" t="n"/>
    </row>
    <row r="1487" ht="56.25" customHeight="1">
      <c r="A1487" s="35">
        <f>SUBTOTAL(103,$B$24:B1487)</f>
        <v/>
      </c>
      <c r="B1487" s="36" t="inlineStr">
        <is>
          <t>Пароконвекційна піч FEDL10NEMiDVH20 Tecnodom (на 10 рів)</t>
        </is>
      </c>
      <c r="C1487" s="37" t="inlineStr">
        <is>
          <t>к-т</t>
        </is>
      </c>
      <c r="D1487" s="33" t="n"/>
      <c r="E1487" s="33" t="n"/>
      <c r="F1487" s="33">
        <f>E1487*0.05</f>
        <v/>
      </c>
      <c r="G1487" s="33">
        <f>E1487+F1487</f>
        <v/>
      </c>
      <c r="H1487" s="33" t="n"/>
      <c r="I1487" s="33" t="n"/>
      <c r="J1487" s="33" t="n"/>
      <c r="K1487" s="33">
        <f>L1487+M1487+N1487</f>
        <v/>
      </c>
      <c r="L1487" s="33" t="n"/>
      <c r="M1487" s="33" t="n"/>
      <c r="N1487" s="33" t="n"/>
      <c r="O1487" s="33">
        <f>P1487+Q1487</f>
        <v/>
      </c>
      <c r="P1487" s="33" t="n"/>
      <c r="Q1487" s="33" t="n"/>
      <c r="R1487" s="33">
        <f>H1487+K1487-O1487</f>
        <v/>
      </c>
      <c r="S1487" s="33" t="n"/>
      <c r="T1487" s="33" t="n"/>
      <c r="U1487" s="33" t="n"/>
      <c r="V1487" s="33" t="n"/>
      <c r="W1487" s="33" t="n"/>
      <c r="X1487" s="33" t="n"/>
      <c r="Y1487" s="33" t="n"/>
      <c r="Z1487" s="33" t="n"/>
      <c r="AA1487" s="4">
        <f>R1487-G1487</f>
        <v/>
      </c>
      <c r="AB1487" s="4">
        <f>G1487-R1487</f>
        <v/>
      </c>
      <c r="AC1487" s="33" t="n"/>
    </row>
    <row r="1488" ht="37.5" customHeight="1">
      <c r="A1488" s="35">
        <f>SUBTOTAL(103,$B$24:B1488)</f>
        <v/>
      </c>
      <c r="B1488" s="36" t="inlineStr">
        <is>
          <t>Пароконвекційна піч Unox XEVC1011E1R (на 10 рів)</t>
        </is>
      </c>
      <c r="C1488" s="37" t="inlineStr">
        <is>
          <t>к-т</t>
        </is>
      </c>
      <c r="D1488" s="33" t="n"/>
      <c r="E1488" s="33" t="n"/>
      <c r="F1488" s="33">
        <f>E1488*0.05</f>
        <v/>
      </c>
      <c r="G1488" s="33">
        <f>E1488+F1488</f>
        <v/>
      </c>
      <c r="H1488" s="33" t="n"/>
      <c r="I1488" s="33" t="n"/>
      <c r="J1488" s="33" t="n"/>
      <c r="K1488" s="33">
        <f>L1488+M1488+N1488</f>
        <v/>
      </c>
      <c r="L1488" s="33" t="n"/>
      <c r="M1488" s="33" t="n"/>
      <c r="N1488" s="33" t="n"/>
      <c r="O1488" s="33">
        <f>P1488+Q1488</f>
        <v/>
      </c>
      <c r="P1488" s="33" t="n"/>
      <c r="Q1488" s="33" t="n"/>
      <c r="R1488" s="33">
        <f>H1488+K1488-O1488</f>
        <v/>
      </c>
      <c r="S1488" s="33" t="n"/>
      <c r="T1488" s="33" t="n"/>
      <c r="U1488" s="33" t="n"/>
      <c r="V1488" s="33" t="n"/>
      <c r="W1488" s="33" t="n"/>
      <c r="X1488" s="33" t="n"/>
      <c r="Y1488" s="33" t="n"/>
      <c r="Z1488" s="33" t="n"/>
      <c r="AA1488" s="4">
        <f>R1488-G1488</f>
        <v/>
      </c>
      <c r="AB1488" s="4">
        <f>G1488-R1488</f>
        <v/>
      </c>
      <c r="AC1488" s="33" t="n"/>
    </row>
    <row r="1489" ht="37.5" customHeight="1">
      <c r="A1489" s="35">
        <f>SUBTOTAL(103,$B$24:B1489)</f>
        <v/>
      </c>
      <c r="B1489" s="36" t="inlineStr">
        <is>
          <t>Пароконвеційна піч Primax PDE-110-LD (на 10 рівнів)</t>
        </is>
      </c>
      <c r="C1489" s="37" t="inlineStr">
        <is>
          <t>к-т</t>
        </is>
      </c>
      <c r="D1489" s="33" t="n"/>
      <c r="E1489" s="33" t="n"/>
      <c r="F1489" s="33">
        <f>E1489*0.05</f>
        <v/>
      </c>
      <c r="G1489" s="33">
        <f>E1489+F1489</f>
        <v/>
      </c>
      <c r="H1489" s="33" t="n"/>
      <c r="I1489" s="33" t="n"/>
      <c r="J1489" s="33" t="n"/>
      <c r="K1489" s="33">
        <f>L1489+M1489+N1489</f>
        <v/>
      </c>
      <c r="L1489" s="33" t="n"/>
      <c r="M1489" s="33" t="n"/>
      <c r="N1489" s="33" t="n"/>
      <c r="O1489" s="33">
        <f>P1489+Q1489</f>
        <v/>
      </c>
      <c r="P1489" s="33" t="n"/>
      <c r="Q1489" s="33" t="n"/>
      <c r="R1489" s="33">
        <f>H1489+K1489-O1489</f>
        <v/>
      </c>
      <c r="S1489" s="33" t="n"/>
      <c r="T1489" s="33" t="n"/>
      <c r="U1489" s="33" t="n"/>
      <c r="V1489" s="33" t="n"/>
      <c r="W1489" s="33" t="n"/>
      <c r="X1489" s="33" t="n"/>
      <c r="Y1489" s="33" t="n"/>
      <c r="Z1489" s="33" t="n"/>
      <c r="AA1489" s="4">
        <f>R1489-G1489</f>
        <v/>
      </c>
      <c r="AB1489" s="4">
        <f>G1489-R1489</f>
        <v/>
      </c>
      <c r="AC1489" s="33" t="n"/>
    </row>
    <row r="1490" ht="37.5" customHeight="1">
      <c r="A1490" s="35">
        <f>SUBTOTAL(103,$B$24:B1490)</f>
        <v/>
      </c>
      <c r="B1490" s="36" t="inlineStr">
        <is>
          <t>Пароконвекційна піч MKF 1011 CTS (Tecnoeka) (на 10 рівнів)</t>
        </is>
      </c>
      <c r="C1490" s="37" t="inlineStr">
        <is>
          <t>к-т</t>
        </is>
      </c>
      <c r="D1490" s="33" t="n"/>
      <c r="E1490" s="33" t="n"/>
      <c r="F1490" s="33">
        <f>E1490*0.05</f>
        <v/>
      </c>
      <c r="G1490" s="33">
        <f>E1490+F1490</f>
        <v/>
      </c>
      <c r="H1490" s="33" t="n"/>
      <c r="I1490" s="33" t="n"/>
      <c r="J1490" s="33" t="n"/>
      <c r="K1490" s="33">
        <f>L1490+M1490+N1490</f>
        <v/>
      </c>
      <c r="L1490" s="33" t="n"/>
      <c r="M1490" s="33" t="n"/>
      <c r="N1490" s="33" t="n"/>
      <c r="O1490" s="33">
        <f>P1490+Q1490</f>
        <v/>
      </c>
      <c r="P1490" s="33" t="n"/>
      <c r="Q1490" s="33" t="n"/>
      <c r="R1490" s="33">
        <f>H1490+K1490-O1490</f>
        <v/>
      </c>
      <c r="S1490" s="33" t="n"/>
      <c r="T1490" s="33" t="n"/>
      <c r="U1490" s="33" t="n"/>
      <c r="V1490" s="33" t="n"/>
      <c r="W1490" s="33" t="n"/>
      <c r="X1490" s="33" t="n"/>
      <c r="Y1490" s="33" t="n"/>
      <c r="Z1490" s="33" t="n"/>
      <c r="AA1490" s="4">
        <f>R1490-G1490</f>
        <v/>
      </c>
      <c r="AB1490" s="4">
        <f>G1490-R1490</f>
        <v/>
      </c>
      <c r="AC1490" s="33" t="n"/>
    </row>
    <row r="1491" ht="37.5" customHeight="1">
      <c r="A1491" s="35">
        <f>SUBTOTAL(103,$B$24:B1491)</f>
        <v/>
      </c>
      <c r="B1491" s="36" t="inlineStr">
        <is>
          <t>Пароконвекційна піч Primax TDE-616-HD (на 16 рівнів)</t>
        </is>
      </c>
      <c r="C1491" s="37" t="inlineStr">
        <is>
          <t>к-т</t>
        </is>
      </c>
      <c r="D1491" s="33" t="n"/>
      <c r="E1491" s="33" t="n"/>
      <c r="F1491" s="33">
        <f>E1491*0.05</f>
        <v/>
      </c>
      <c r="G1491" s="33">
        <f>E1491+F1491</f>
        <v/>
      </c>
      <c r="H1491" s="33" t="n"/>
      <c r="I1491" s="33" t="n"/>
      <c r="J1491" s="33" t="n"/>
      <c r="K1491" s="33">
        <f>L1491+M1491+N1491</f>
        <v/>
      </c>
      <c r="L1491" s="33" t="n"/>
      <c r="M1491" s="33" t="n"/>
      <c r="N1491" s="33" t="n"/>
      <c r="O1491" s="33">
        <f>P1491+Q1491</f>
        <v/>
      </c>
      <c r="P1491" s="33" t="n"/>
      <c r="Q1491" s="33" t="n"/>
      <c r="R1491" s="33">
        <f>H1491+K1491-O1491</f>
        <v/>
      </c>
      <c r="S1491" s="33" t="n"/>
      <c r="T1491" s="33" t="n"/>
      <c r="U1491" s="33" t="n"/>
      <c r="V1491" s="33" t="n"/>
      <c r="W1491" s="33" t="n"/>
      <c r="X1491" s="33" t="n"/>
      <c r="Y1491" s="33" t="n"/>
      <c r="Z1491" s="33" t="n"/>
      <c r="AA1491" s="4">
        <f>R1491-G1491</f>
        <v/>
      </c>
      <c r="AB1491" s="4">
        <f>G1491-R1491</f>
        <v/>
      </c>
      <c r="AC1491" s="33" t="n"/>
    </row>
    <row r="1492" ht="37.5" customHeight="1">
      <c r="A1492" s="35">
        <f>SUBTOTAL(103,$B$24:B1492)</f>
        <v/>
      </c>
      <c r="B1492" s="36" t="inlineStr">
        <is>
          <t>Пароконвекційна піч Primax PDE-616-HD (на 16 рів)</t>
        </is>
      </c>
      <c r="C1492" s="37" t="inlineStr">
        <is>
          <t>к-т</t>
        </is>
      </c>
      <c r="D1492" s="33" t="n"/>
      <c r="E1492" s="33" t="n"/>
      <c r="F1492" s="33">
        <f>E1492*0.05</f>
        <v/>
      </c>
      <c r="G1492" s="33">
        <f>E1492+F1492</f>
        <v/>
      </c>
      <c r="H1492" s="33" t="n"/>
      <c r="I1492" s="33" t="n"/>
      <c r="J1492" s="33" t="n"/>
      <c r="K1492" s="33">
        <f>L1492+M1492+N1492</f>
        <v/>
      </c>
      <c r="L1492" s="33" t="n"/>
      <c r="M1492" s="33" t="n"/>
      <c r="N1492" s="33" t="n"/>
      <c r="O1492" s="33">
        <f>P1492+Q1492</f>
        <v/>
      </c>
      <c r="P1492" s="33" t="n"/>
      <c r="Q1492" s="33" t="n"/>
      <c r="R1492" s="33">
        <f>H1492+K1492-O1492</f>
        <v/>
      </c>
      <c r="S1492" s="33" t="n"/>
      <c r="T1492" s="33" t="n"/>
      <c r="U1492" s="33" t="n"/>
      <c r="V1492" s="33" t="n"/>
      <c r="W1492" s="33" t="n"/>
      <c r="X1492" s="33" t="n"/>
      <c r="Y1492" s="33" t="n"/>
      <c r="Z1492" s="33" t="n"/>
      <c r="AA1492" s="4">
        <f>R1492-G1492</f>
        <v/>
      </c>
      <c r="AB1492" s="4">
        <f>G1492-R1492</f>
        <v/>
      </c>
      <c r="AC1492" s="33" t="n"/>
    </row>
    <row r="1493" ht="37.5" customHeight="1">
      <c r="A1493" s="35">
        <f>SUBTOTAL(103,$B$24:B1493)</f>
        <v/>
      </c>
      <c r="B1493" s="36" t="inlineStr">
        <is>
          <t>Пароконвекційна піч MKF 1611 TS (Tecnoeka) на 16 рівнів</t>
        </is>
      </c>
      <c r="C1493" s="37" t="inlineStr">
        <is>
          <t>к-т</t>
        </is>
      </c>
      <c r="D1493" s="33" t="n"/>
      <c r="E1493" s="33" t="n"/>
      <c r="F1493" s="33">
        <f>E1493*0.05</f>
        <v/>
      </c>
      <c r="G1493" s="33">
        <f>E1493+F1493</f>
        <v/>
      </c>
      <c r="H1493" s="33" t="n"/>
      <c r="I1493" s="33" t="n"/>
      <c r="J1493" s="33" t="n"/>
      <c r="K1493" s="33">
        <f>L1493+M1493+N1493</f>
        <v/>
      </c>
      <c r="L1493" s="33" t="n"/>
      <c r="M1493" s="33" t="n"/>
      <c r="N1493" s="33" t="n"/>
      <c r="O1493" s="33">
        <f>P1493+Q1493</f>
        <v/>
      </c>
      <c r="P1493" s="33" t="n"/>
      <c r="Q1493" s="33" t="n"/>
      <c r="R1493" s="33">
        <f>H1493+K1493-O1493</f>
        <v/>
      </c>
      <c r="S1493" s="33" t="n"/>
      <c r="T1493" s="33" t="n"/>
      <c r="U1493" s="33" t="n"/>
      <c r="V1493" s="33" t="n"/>
      <c r="W1493" s="33" t="n"/>
      <c r="X1493" s="33" t="n"/>
      <c r="Y1493" s="33" t="n"/>
      <c r="Z1493" s="33" t="n"/>
      <c r="AA1493" s="4">
        <f>R1493-G1493</f>
        <v/>
      </c>
      <c r="AB1493" s="4">
        <f>G1493-R1493</f>
        <v/>
      </c>
      <c r="AC1493" s="33" t="n"/>
    </row>
    <row r="1494" ht="37.5" customHeight="1">
      <c r="A1494" s="35">
        <f>SUBTOTAL(103,$B$24:B1494)</f>
        <v/>
      </c>
      <c r="B1494" s="36" t="inlineStr">
        <is>
          <t>Пароконвекційна піч Unox XEVC2011E1R (на 16-20 рівнів)</t>
        </is>
      </c>
      <c r="C1494" s="37" t="inlineStr">
        <is>
          <t>к-т</t>
        </is>
      </c>
      <c r="D1494" s="33" t="n"/>
      <c r="E1494" s="33" t="n"/>
      <c r="F1494" s="33">
        <f>E1494*0.05</f>
        <v/>
      </c>
      <c r="G1494" s="33">
        <f>E1494+F1494</f>
        <v/>
      </c>
      <c r="H1494" s="33" t="n"/>
      <c r="I1494" s="33" t="n"/>
      <c r="J1494" s="33" t="n"/>
      <c r="K1494" s="33">
        <f>L1494+M1494+N1494</f>
        <v/>
      </c>
      <c r="L1494" s="33" t="n"/>
      <c r="M1494" s="33" t="n"/>
      <c r="N1494" s="33" t="n"/>
      <c r="O1494" s="33">
        <f>P1494+Q1494</f>
        <v/>
      </c>
      <c r="P1494" s="33" t="n"/>
      <c r="Q1494" s="33" t="n"/>
      <c r="R1494" s="33">
        <f>H1494+K1494-O1494</f>
        <v/>
      </c>
      <c r="S1494" s="33" t="n"/>
      <c r="T1494" s="33" t="n"/>
      <c r="U1494" s="33" t="n"/>
      <c r="V1494" s="33" t="n"/>
      <c r="W1494" s="33" t="n"/>
      <c r="X1494" s="33" t="n"/>
      <c r="Y1494" s="33" t="n"/>
      <c r="Z1494" s="33" t="n"/>
      <c r="AA1494" s="4">
        <f>R1494-G1494</f>
        <v/>
      </c>
      <c r="AB1494" s="4">
        <f>G1494-R1494</f>
        <v/>
      </c>
      <c r="AC1494" s="33" t="n"/>
    </row>
    <row r="1495" ht="37.5" customHeight="1">
      <c r="A1495" s="35">
        <f>SUBTOTAL(103,$B$24:B1495)</f>
        <v/>
      </c>
      <c r="B1495" s="36" t="inlineStr">
        <is>
          <t>Пароконвекційна піч Primax PDE-120-LD (на 20 рів)</t>
        </is>
      </c>
      <c r="C1495" s="37" t="inlineStr">
        <is>
          <t>к-т</t>
        </is>
      </c>
      <c r="D1495" s="33" t="n"/>
      <c r="E1495" s="33" t="n"/>
      <c r="F1495" s="33">
        <f>E1495*0.05</f>
        <v/>
      </c>
      <c r="G1495" s="33">
        <f>E1495+F1495</f>
        <v/>
      </c>
      <c r="H1495" s="33" t="n"/>
      <c r="I1495" s="33" t="n"/>
      <c r="J1495" s="33" t="n"/>
      <c r="K1495" s="33">
        <f>L1495+M1495+N1495</f>
        <v/>
      </c>
      <c r="L1495" s="33" t="n"/>
      <c r="M1495" s="33" t="n"/>
      <c r="N1495" s="33" t="n"/>
      <c r="O1495" s="33">
        <f>P1495+Q1495</f>
        <v/>
      </c>
      <c r="P1495" s="33" t="n"/>
      <c r="Q1495" s="33" t="n"/>
      <c r="R1495" s="33">
        <f>H1495+K1495-O1495</f>
        <v/>
      </c>
      <c r="S1495" s="33" t="n"/>
      <c r="T1495" s="33" t="n"/>
      <c r="U1495" s="33" t="n"/>
      <c r="V1495" s="33" t="n"/>
      <c r="W1495" s="33" t="n"/>
      <c r="X1495" s="33" t="n"/>
      <c r="Y1495" s="33" t="n"/>
      <c r="Z1495" s="33" t="n"/>
      <c r="AA1495" s="4">
        <f>R1495-G1495</f>
        <v/>
      </c>
      <c r="AB1495" s="4">
        <f>G1495-R1495</f>
        <v/>
      </c>
      <c r="AC1495" s="33" t="n"/>
    </row>
    <row r="1496" ht="37.5" customHeight="1">
      <c r="A1496" s="35">
        <f>SUBTOTAL(103,$B$24:B1496)</f>
        <v/>
      </c>
      <c r="B1496" s="36" t="inlineStr">
        <is>
          <t>Пароконвекційна піч MKF2011TS (Tecnoeka) на 20 рів</t>
        </is>
      </c>
      <c r="C1496" s="37" t="inlineStr">
        <is>
          <t>к-т</t>
        </is>
      </c>
      <c r="D1496" s="33" t="n"/>
      <c r="E1496" s="33" t="n"/>
      <c r="F1496" s="33">
        <f>E1496*0.05</f>
        <v/>
      </c>
      <c r="G1496" s="33">
        <f>E1496+F1496</f>
        <v/>
      </c>
      <c r="H1496" s="33" t="n"/>
      <c r="I1496" s="33" t="n"/>
      <c r="J1496" s="33" t="n"/>
      <c r="K1496" s="33">
        <f>L1496+M1496+N1496</f>
        <v/>
      </c>
      <c r="L1496" s="33" t="n"/>
      <c r="M1496" s="33" t="n"/>
      <c r="N1496" s="33" t="n"/>
      <c r="O1496" s="33">
        <f>P1496+Q1496</f>
        <v/>
      </c>
      <c r="P1496" s="33" t="n"/>
      <c r="Q1496" s="33" t="n"/>
      <c r="R1496" s="33">
        <f>H1496+K1496-O1496</f>
        <v/>
      </c>
      <c r="S1496" s="33" t="n"/>
      <c r="T1496" s="33" t="n"/>
      <c r="U1496" s="33" t="n"/>
      <c r="V1496" s="33" t="n"/>
      <c r="W1496" s="33" t="n"/>
      <c r="X1496" s="33" t="n"/>
      <c r="Y1496" s="33" t="n"/>
      <c r="Z1496" s="33" t="n"/>
      <c r="AA1496" s="4">
        <f>R1496-G1496</f>
        <v/>
      </c>
      <c r="AB1496" s="4">
        <f>G1496-R1496</f>
        <v/>
      </c>
      <c r="AC1496" s="33" t="n"/>
    </row>
    <row r="1497" ht="18.75" customHeight="1">
      <c r="A1497" s="35">
        <f>SUBTOTAL(103,$B$24:B1497)</f>
        <v/>
      </c>
      <c r="B1497" s="36" t="inlineStr">
        <is>
          <t>Конвекційна піч Apach</t>
        </is>
      </c>
      <c r="C1497" s="37" t="inlineStr">
        <is>
          <t>к-т</t>
        </is>
      </c>
      <c r="D1497" s="33" t="n"/>
      <c r="E1497" s="33" t="n"/>
      <c r="F1497" s="33">
        <f>E1497*0.05</f>
        <v/>
      </c>
      <c r="G1497" s="33">
        <f>E1497+F1497</f>
        <v/>
      </c>
      <c r="H1497" s="33" t="n"/>
      <c r="I1497" s="33" t="n"/>
      <c r="J1497" s="33" t="n"/>
      <c r="K1497" s="33">
        <f>L1497+M1497+N1497</f>
        <v/>
      </c>
      <c r="L1497" s="33" t="n"/>
      <c r="M1497" s="33" t="n"/>
      <c r="N1497" s="33" t="n"/>
      <c r="O1497" s="33">
        <f>P1497+Q1497</f>
        <v/>
      </c>
      <c r="P1497" s="33" t="n"/>
      <c r="Q1497" s="33" t="n"/>
      <c r="R1497" s="33">
        <f>H1497+K1497-O1497</f>
        <v/>
      </c>
      <c r="S1497" s="33" t="n"/>
      <c r="T1497" s="33" t="n"/>
      <c r="U1497" s="33" t="n"/>
      <c r="V1497" s="33" t="n"/>
      <c r="W1497" s="33" t="n"/>
      <c r="X1497" s="33" t="n"/>
      <c r="Y1497" s="33" t="n"/>
      <c r="Z1497" s="33" t="n"/>
      <c r="AA1497" s="4">
        <f>R1497-G1497</f>
        <v/>
      </c>
      <c r="AB1497" s="4">
        <f>G1497-R1497</f>
        <v/>
      </c>
      <c r="AC1497" s="33" t="n"/>
    </row>
    <row r="1498" ht="18.75" customHeight="1">
      <c r="A1498" s="35">
        <f>SUBTOTAL(103,$B$24:B1498)</f>
        <v/>
      </c>
      <c r="B1498" s="36" t="inlineStr">
        <is>
          <t>Пароварка ST-7177</t>
        </is>
      </c>
      <c r="C1498" s="37" t="inlineStr">
        <is>
          <t>к-т</t>
        </is>
      </c>
      <c r="D1498" s="33" t="n"/>
      <c r="E1498" s="33" t="n"/>
      <c r="F1498" s="33">
        <f>E1498*0.05</f>
        <v/>
      </c>
      <c r="G1498" s="33">
        <f>E1498+F1498</f>
        <v/>
      </c>
      <c r="H1498" s="33" t="n"/>
      <c r="I1498" s="33" t="n"/>
      <c r="J1498" s="33" t="n"/>
      <c r="K1498" s="33">
        <f>L1498+M1498+N1498</f>
        <v/>
      </c>
      <c r="L1498" s="33" t="n"/>
      <c r="M1498" s="33" t="n"/>
      <c r="N1498" s="33" t="n"/>
      <c r="O1498" s="33">
        <f>P1498+Q1498</f>
        <v/>
      </c>
      <c r="P1498" s="33" t="n"/>
      <c r="Q1498" s="33" t="n"/>
      <c r="R1498" s="33">
        <f>H1498+K1498-O1498</f>
        <v/>
      </c>
      <c r="S1498" s="33" t="n"/>
      <c r="T1498" s="33" t="n"/>
      <c r="U1498" s="33" t="n"/>
      <c r="V1498" s="33" t="n"/>
      <c r="W1498" s="33" t="n"/>
      <c r="X1498" s="33" t="n"/>
      <c r="Y1498" s="33" t="n"/>
      <c r="Z1498" s="33" t="n"/>
      <c r="AA1498" s="4">
        <f>R1498-G1498</f>
        <v/>
      </c>
      <c r="AB1498" s="4">
        <f>G1498-R1498</f>
        <v/>
      </c>
      <c r="AC1498" s="33" t="n"/>
    </row>
    <row r="1499" ht="37.5" customHeight="1">
      <c r="A1499" s="35">
        <f>SUBTOTAL(103,$B$24:B1499)</f>
        <v/>
      </c>
      <c r="B1499" s="36" t="inlineStr">
        <is>
          <t>Настільна конвекційна піч Good Food(4 рівні</t>
        </is>
      </c>
      <c r="C1499" s="37" t="inlineStr">
        <is>
          <t>к-т</t>
        </is>
      </c>
      <c r="D1499" s="33" t="n"/>
      <c r="E1499" s="33" t="n"/>
      <c r="F1499" s="33">
        <f>E1499*0.05</f>
        <v/>
      </c>
      <c r="G1499" s="33">
        <f>E1499+F1499</f>
        <v/>
      </c>
      <c r="H1499" s="33" t="n"/>
      <c r="I1499" s="33" t="n"/>
      <c r="J1499" s="33" t="n"/>
      <c r="K1499" s="33">
        <f>L1499+M1499+N1499</f>
        <v/>
      </c>
      <c r="L1499" s="33" t="n"/>
      <c r="M1499" s="33" t="n"/>
      <c r="N1499" s="33" t="n"/>
      <c r="O1499" s="33">
        <f>P1499+Q1499</f>
        <v/>
      </c>
      <c r="P1499" s="33" t="n"/>
      <c r="Q1499" s="33" t="n"/>
      <c r="R1499" s="33">
        <f>H1499+K1499-O1499</f>
        <v/>
      </c>
      <c r="S1499" s="33" t="n"/>
      <c r="T1499" s="33" t="n"/>
      <c r="U1499" s="33" t="n"/>
      <c r="V1499" s="33" t="n"/>
      <c r="W1499" s="33" t="n"/>
      <c r="X1499" s="33" t="n"/>
      <c r="Y1499" s="33" t="n"/>
      <c r="Z1499" s="33" t="n"/>
      <c r="AA1499" s="4">
        <f>R1499-G1499</f>
        <v/>
      </c>
      <c r="AB1499" s="4">
        <f>G1499-R1499</f>
        <v/>
      </c>
      <c r="AC1499" s="33" t="n"/>
    </row>
    <row r="1500" ht="37.5" customHeight="1">
      <c r="A1500" s="35">
        <f>SUBTOTAL(103,$B$24:B1500)</f>
        <v/>
      </c>
      <c r="B1500" s="36" t="inlineStr">
        <is>
          <t>Піч конвекційна 10 рівнів CustomHeat 84GXH</t>
        </is>
      </c>
      <c r="C1500" s="37" t="inlineStr">
        <is>
          <t>к-т</t>
        </is>
      </c>
      <c r="D1500" s="33" t="n"/>
      <c r="E1500" s="33" t="n"/>
      <c r="F1500" s="33">
        <f>E1500*0.05</f>
        <v/>
      </c>
      <c r="G1500" s="33">
        <f>E1500+F1500</f>
        <v/>
      </c>
      <c r="H1500" s="33" t="n"/>
      <c r="I1500" s="33" t="n"/>
      <c r="J1500" s="33" t="n"/>
      <c r="K1500" s="33">
        <f>L1500+M1500+N1500</f>
        <v/>
      </c>
      <c r="L1500" s="33" t="n"/>
      <c r="M1500" s="33" t="n"/>
      <c r="N1500" s="33" t="n"/>
      <c r="O1500" s="33">
        <f>P1500+Q1500</f>
        <v/>
      </c>
      <c r="P1500" s="33" t="n"/>
      <c r="Q1500" s="33" t="n"/>
      <c r="R1500" s="33">
        <f>H1500+K1500-O1500</f>
        <v/>
      </c>
      <c r="S1500" s="33" t="n"/>
      <c r="T1500" s="33" t="n"/>
      <c r="U1500" s="33" t="n"/>
      <c r="V1500" s="33" t="n"/>
      <c r="W1500" s="33" t="n"/>
      <c r="X1500" s="33" t="n"/>
      <c r="Y1500" s="33" t="n"/>
      <c r="Z1500" s="33" t="n"/>
      <c r="AA1500" s="4">
        <f>R1500-G1500</f>
        <v/>
      </c>
      <c r="AB1500" s="4">
        <f>G1500-R1500</f>
        <v/>
      </c>
      <c r="AC1500" s="33" t="n"/>
    </row>
    <row r="1501" ht="18.75" customHeight="1">
      <c r="A1501" s="35">
        <f>SUBTOTAL(103,$B$24:B1501)</f>
        <v/>
      </c>
      <c r="B1501" s="36" t="inlineStr">
        <is>
          <t xml:space="preserve">Пароконвектомат </t>
        </is>
      </c>
      <c r="C1501" s="37" t="inlineStr">
        <is>
          <t>к-т</t>
        </is>
      </c>
      <c r="D1501" s="33" t="n"/>
      <c r="E1501" s="33" t="n"/>
      <c r="F1501" s="33">
        <f>E1501*0.05</f>
        <v/>
      </c>
      <c r="G1501" s="33">
        <f>E1501+F1501</f>
        <v/>
      </c>
      <c r="H1501" s="33" t="n"/>
      <c r="I1501" s="33" t="n"/>
      <c r="J1501" s="33" t="n"/>
      <c r="K1501" s="33">
        <f>L1501+M1501+N1501</f>
        <v/>
      </c>
      <c r="L1501" s="33" t="n"/>
      <c r="M1501" s="33" t="n"/>
      <c r="N1501" s="33" t="n"/>
      <c r="O1501" s="33">
        <f>P1501+Q1501</f>
        <v/>
      </c>
      <c r="P1501" s="33" t="n"/>
      <c r="Q1501" s="33" t="n"/>
      <c r="R1501" s="33">
        <f>H1501+K1501-O1501</f>
        <v/>
      </c>
      <c r="S1501" s="33" t="n"/>
      <c r="T1501" s="33" t="n"/>
      <c r="U1501" s="33" t="n"/>
      <c r="V1501" s="33" t="n"/>
      <c r="W1501" s="33" t="n"/>
      <c r="X1501" s="33" t="n"/>
      <c r="Y1501" s="33" t="n"/>
      <c r="Z1501" s="33" t="n"/>
      <c r="AA1501" s="4">
        <f>R1501-G1501</f>
        <v/>
      </c>
      <c r="AB1501" s="4">
        <f>G1501-R1501</f>
        <v/>
      </c>
      <c r="AC1501" s="33" t="n"/>
    </row>
    <row r="1502" ht="37.5" customHeight="1">
      <c r="A1502" s="35">
        <f>SUBTOTAL(103,$B$24:B1502)</f>
        <v/>
      </c>
      <c r="B1502" s="39" t="inlineStr">
        <is>
          <t>ШАФА- РОЗСТІЙНА З ЖАРОВОЮ ШАФОЮ</t>
        </is>
      </c>
      <c r="C1502" s="37" t="n"/>
      <c r="D1502" s="33" t="n"/>
      <c r="E1502" s="33" t="n"/>
      <c r="F1502" s="33">
        <f>E1502*0.05</f>
        <v/>
      </c>
      <c r="G1502" s="33">
        <f>E1502+F1502</f>
        <v/>
      </c>
      <c r="H1502" s="33" t="n"/>
      <c r="I1502" s="33" t="n"/>
      <c r="J1502" s="33" t="n"/>
      <c r="K1502" s="33">
        <f>L1502+M1502+N1502</f>
        <v/>
      </c>
      <c r="L1502" s="33" t="n"/>
      <c r="M1502" s="33" t="n"/>
      <c r="N1502" s="33" t="n"/>
      <c r="O1502" s="33">
        <f>P1502+Q1502</f>
        <v/>
      </c>
      <c r="P1502" s="33" t="n"/>
      <c r="Q1502" s="33" t="n"/>
      <c r="R1502" s="33">
        <f>H1502+K1502-O1502</f>
        <v/>
      </c>
      <c r="S1502" s="33" t="n"/>
      <c r="T1502" s="33" t="n"/>
      <c r="U1502" s="33" t="n"/>
      <c r="V1502" s="33" t="n"/>
      <c r="W1502" s="33" t="n"/>
      <c r="X1502" s="33" t="n"/>
      <c r="Y1502" s="33" t="n"/>
      <c r="Z1502" s="33" t="n"/>
      <c r="AA1502" s="4">
        <f>R1502-G1502</f>
        <v/>
      </c>
      <c r="AB1502" s="4">
        <f>G1502-R1502</f>
        <v/>
      </c>
      <c r="AC1502" s="33" t="n"/>
    </row>
    <row r="1503" ht="18.75" customHeight="1">
      <c r="A1503" s="35">
        <f>SUBTOTAL(103,$B$24:B1503)</f>
        <v/>
      </c>
      <c r="B1503" s="36" t="inlineStr">
        <is>
          <t>Шафа- розстійна на 4 рівні</t>
        </is>
      </c>
      <c r="C1503" s="37" t="inlineStr">
        <is>
          <t>к-т</t>
        </is>
      </c>
      <c r="D1503" s="33" t="n"/>
      <c r="E1503" s="33" t="n"/>
      <c r="F1503" s="33">
        <f>E1503*0.05</f>
        <v/>
      </c>
      <c r="G1503" s="33">
        <f>E1503+F1503</f>
        <v/>
      </c>
      <c r="H1503" s="33" t="n"/>
      <c r="I1503" s="33" t="n"/>
      <c r="J1503" s="33" t="n"/>
      <c r="K1503" s="33">
        <f>L1503+M1503+N1503</f>
        <v/>
      </c>
      <c r="L1503" s="33" t="n"/>
      <c r="M1503" s="33" t="n"/>
      <c r="N1503" s="33" t="n"/>
      <c r="O1503" s="33">
        <f>P1503+Q1503</f>
        <v/>
      </c>
      <c r="P1503" s="33" t="n"/>
      <c r="Q1503" s="33" t="n"/>
      <c r="R1503" s="33">
        <f>H1503+K1503-O1503</f>
        <v/>
      </c>
      <c r="S1503" s="33" t="n"/>
      <c r="T1503" s="33" t="n"/>
      <c r="U1503" s="33" t="n"/>
      <c r="V1503" s="33" t="n"/>
      <c r="W1503" s="33" t="n"/>
      <c r="X1503" s="33" t="n"/>
      <c r="Y1503" s="33" t="n"/>
      <c r="Z1503" s="33" t="n"/>
      <c r="AA1503" s="4">
        <f>R1503-G1503</f>
        <v/>
      </c>
      <c r="AB1503" s="4">
        <f>G1503-R1503</f>
        <v/>
      </c>
      <c r="AC1503" s="33" t="n"/>
    </row>
    <row r="1504" ht="18.75" customHeight="1">
      <c r="A1504" s="35">
        <f>SUBTOTAL(103,$B$24:B1504)</f>
        <v/>
      </c>
      <c r="B1504" s="36" t="inlineStr">
        <is>
          <t>Шафа- розстійна на 7 рівні</t>
        </is>
      </c>
      <c r="C1504" s="37" t="inlineStr">
        <is>
          <t>к-т</t>
        </is>
      </c>
      <c r="D1504" s="33" t="n"/>
      <c r="E1504" s="33" t="n"/>
      <c r="F1504" s="33">
        <f>E1504*0.05</f>
        <v/>
      </c>
      <c r="G1504" s="33">
        <f>E1504+F1504</f>
        <v/>
      </c>
      <c r="H1504" s="33" t="n"/>
      <c r="I1504" s="33" t="n"/>
      <c r="J1504" s="33" t="n"/>
      <c r="K1504" s="33">
        <f>L1504+M1504+N1504</f>
        <v/>
      </c>
      <c r="L1504" s="33" t="n"/>
      <c r="M1504" s="33" t="n"/>
      <c r="N1504" s="33" t="n"/>
      <c r="O1504" s="33">
        <f>P1504+Q1504</f>
        <v/>
      </c>
      <c r="P1504" s="33" t="n"/>
      <c r="Q1504" s="33" t="n"/>
      <c r="R1504" s="33">
        <f>H1504+K1504-O1504</f>
        <v/>
      </c>
      <c r="S1504" s="33" t="n"/>
      <c r="T1504" s="33" t="n"/>
      <c r="U1504" s="33" t="n"/>
      <c r="V1504" s="33" t="n"/>
      <c r="W1504" s="33" t="n"/>
      <c r="X1504" s="33" t="n"/>
      <c r="Y1504" s="33" t="n"/>
      <c r="Z1504" s="33" t="n"/>
      <c r="AA1504" s="4">
        <f>R1504-G1504</f>
        <v/>
      </c>
      <c r="AB1504" s="4">
        <f>G1504-R1504</f>
        <v/>
      </c>
      <c r="AC1504" s="33" t="n"/>
    </row>
    <row r="1505" ht="18.75" customHeight="1">
      <c r="A1505" s="35">
        <f>SUBTOTAL(103,$B$24:B1505)</f>
        <v/>
      </c>
      <c r="B1505" s="36" t="inlineStr">
        <is>
          <t>Шафа- розстійна на 8 рівні</t>
        </is>
      </c>
      <c r="C1505" s="37" t="inlineStr">
        <is>
          <t>к-т</t>
        </is>
      </c>
      <c r="D1505" s="33" t="n"/>
      <c r="E1505" s="33" t="n"/>
      <c r="F1505" s="33">
        <f>E1505*0.05</f>
        <v/>
      </c>
      <c r="G1505" s="33">
        <f>E1505+F1505</f>
        <v/>
      </c>
      <c r="H1505" s="33" t="n"/>
      <c r="I1505" s="33" t="n"/>
      <c r="J1505" s="33" t="n"/>
      <c r="K1505" s="33">
        <f>L1505+M1505+N1505</f>
        <v/>
      </c>
      <c r="L1505" s="33" t="n"/>
      <c r="M1505" s="33" t="n"/>
      <c r="N1505" s="33" t="n"/>
      <c r="O1505" s="33">
        <f>P1505+Q1505</f>
        <v/>
      </c>
      <c r="P1505" s="33" t="n"/>
      <c r="Q1505" s="33" t="n"/>
      <c r="R1505" s="33">
        <f>H1505+K1505-O1505</f>
        <v/>
      </c>
      <c r="S1505" s="33" t="n"/>
      <c r="T1505" s="33" t="n"/>
      <c r="U1505" s="33" t="n"/>
      <c r="V1505" s="33" t="n"/>
      <c r="W1505" s="33" t="n"/>
      <c r="X1505" s="33" t="n"/>
      <c r="Y1505" s="33" t="n"/>
      <c r="Z1505" s="33" t="n"/>
      <c r="AA1505" s="4">
        <f>R1505-G1505</f>
        <v/>
      </c>
      <c r="AB1505" s="4">
        <f>G1505-R1505</f>
        <v/>
      </c>
      <c r="AC1505" s="33" t="n"/>
    </row>
    <row r="1506" ht="18.75" customHeight="1">
      <c r="A1506" s="35">
        <f>SUBTOTAL(103,$B$24:B1506)</f>
        <v/>
      </c>
      <c r="B1506" s="36" t="inlineStr">
        <is>
          <t>Шафа- розстійна на 10 рівні</t>
        </is>
      </c>
      <c r="C1506" s="37" t="inlineStr">
        <is>
          <t>к-т</t>
        </is>
      </c>
      <c r="D1506" s="33" t="n"/>
      <c r="E1506" s="33" t="n"/>
      <c r="F1506" s="33">
        <f>E1506*0.05</f>
        <v/>
      </c>
      <c r="G1506" s="33">
        <f>E1506+F1506</f>
        <v/>
      </c>
      <c r="H1506" s="33" t="n"/>
      <c r="I1506" s="33" t="n"/>
      <c r="J1506" s="33" t="n"/>
      <c r="K1506" s="33">
        <f>L1506+M1506+N1506</f>
        <v/>
      </c>
      <c r="L1506" s="33" t="n"/>
      <c r="M1506" s="33" t="n"/>
      <c r="N1506" s="33" t="n"/>
      <c r="O1506" s="33">
        <f>P1506+Q1506</f>
        <v/>
      </c>
      <c r="P1506" s="33" t="n"/>
      <c r="Q1506" s="33" t="n"/>
      <c r="R1506" s="33">
        <f>H1506+K1506-O1506</f>
        <v/>
      </c>
      <c r="S1506" s="33" t="n"/>
      <c r="T1506" s="33" t="n"/>
      <c r="U1506" s="33" t="n"/>
      <c r="V1506" s="33" t="n"/>
      <c r="W1506" s="33" t="n"/>
      <c r="X1506" s="33" t="n"/>
      <c r="Y1506" s="33" t="n"/>
      <c r="Z1506" s="33" t="n"/>
      <c r="AA1506" s="4">
        <f>R1506-G1506</f>
        <v/>
      </c>
      <c r="AB1506" s="4">
        <f>G1506-R1506</f>
        <v/>
      </c>
      <c r="AC1506" s="33" t="n"/>
    </row>
    <row r="1507" ht="18.75" customHeight="1">
      <c r="A1507" s="35">
        <f>SUBTOTAL(103,$B$24:B1507)</f>
        <v/>
      </c>
      <c r="B1507" s="36" t="inlineStr">
        <is>
          <t>Шафа- розстійна на 12 рівні</t>
        </is>
      </c>
      <c r="C1507" s="37" t="inlineStr">
        <is>
          <t>к-т</t>
        </is>
      </c>
      <c r="D1507" s="33" t="n"/>
      <c r="E1507" s="33" t="n"/>
      <c r="F1507" s="33">
        <f>E1507*0.05</f>
        <v/>
      </c>
      <c r="G1507" s="33">
        <f>E1507+F1507</f>
        <v/>
      </c>
      <c r="H1507" s="33" t="n"/>
      <c r="I1507" s="33" t="n"/>
      <c r="J1507" s="33" t="n"/>
      <c r="K1507" s="33">
        <f>L1507+M1507+N1507</f>
        <v/>
      </c>
      <c r="L1507" s="33" t="n"/>
      <c r="M1507" s="33" t="n"/>
      <c r="N1507" s="33" t="n"/>
      <c r="O1507" s="33">
        <f>P1507+Q1507</f>
        <v/>
      </c>
      <c r="P1507" s="33" t="n"/>
      <c r="Q1507" s="33" t="n"/>
      <c r="R1507" s="33">
        <f>H1507+K1507-O1507</f>
        <v/>
      </c>
      <c r="S1507" s="33" t="n"/>
      <c r="T1507" s="33" t="n"/>
      <c r="U1507" s="33" t="n"/>
      <c r="V1507" s="33" t="n"/>
      <c r="W1507" s="33" t="n"/>
      <c r="X1507" s="33" t="n"/>
      <c r="Y1507" s="33" t="n"/>
      <c r="Z1507" s="33" t="n"/>
      <c r="AA1507" s="4">
        <f>R1507-G1507</f>
        <v/>
      </c>
      <c r="AB1507" s="4">
        <f>G1507-R1507</f>
        <v/>
      </c>
      <c r="AC1507" s="33" t="n"/>
    </row>
    <row r="1508" ht="18.75" customHeight="1">
      <c r="A1508" s="35">
        <f>SUBTOTAL(103,$B$24:B1508)</f>
        <v/>
      </c>
      <c r="B1508" s="36" t="inlineStr">
        <is>
          <t>Шафа- розстійна на 13 рівні</t>
        </is>
      </c>
      <c r="C1508" s="37" t="inlineStr">
        <is>
          <t>к-т</t>
        </is>
      </c>
      <c r="D1508" s="33" t="n"/>
      <c r="E1508" s="33" t="n"/>
      <c r="F1508" s="33">
        <f>E1508*0.05</f>
        <v/>
      </c>
      <c r="G1508" s="33">
        <f>E1508+F1508</f>
        <v/>
      </c>
      <c r="H1508" s="33" t="n"/>
      <c r="I1508" s="33" t="n"/>
      <c r="J1508" s="33" t="n"/>
      <c r="K1508" s="33">
        <f>L1508+M1508+N1508</f>
        <v/>
      </c>
      <c r="L1508" s="33" t="n"/>
      <c r="M1508" s="33" t="n"/>
      <c r="N1508" s="33" t="n"/>
      <c r="O1508" s="33">
        <f>P1508+Q1508</f>
        <v/>
      </c>
      <c r="P1508" s="33" t="n"/>
      <c r="Q1508" s="33" t="n"/>
      <c r="R1508" s="33">
        <f>H1508+K1508-O1508</f>
        <v/>
      </c>
      <c r="S1508" s="33" t="n"/>
      <c r="T1508" s="33" t="n"/>
      <c r="U1508" s="33" t="n"/>
      <c r="V1508" s="33" t="n"/>
      <c r="W1508" s="33" t="n"/>
      <c r="X1508" s="33" t="n"/>
      <c r="Y1508" s="33" t="n"/>
      <c r="Z1508" s="33" t="n"/>
      <c r="AA1508" s="4">
        <f>R1508-G1508</f>
        <v/>
      </c>
      <c r="AB1508" s="4">
        <f>G1508-R1508</f>
        <v/>
      </c>
      <c r="AC1508" s="33" t="n"/>
    </row>
    <row r="1509" ht="18.75" customHeight="1">
      <c r="A1509" s="35">
        <f>SUBTOTAL(103,$B$24:B1509)</f>
        <v/>
      </c>
      <c r="B1509" s="36" t="inlineStr">
        <is>
          <t>Шафа- розстійна на 15 рівні</t>
        </is>
      </c>
      <c r="C1509" s="37" t="inlineStr">
        <is>
          <t>к-т</t>
        </is>
      </c>
      <c r="D1509" s="33" t="n"/>
      <c r="E1509" s="33" t="n"/>
      <c r="F1509" s="33">
        <f>E1509*0.05</f>
        <v/>
      </c>
      <c r="G1509" s="33">
        <f>E1509+F1509</f>
        <v/>
      </c>
      <c r="H1509" s="33" t="n"/>
      <c r="I1509" s="33" t="n"/>
      <c r="J1509" s="33" t="n"/>
      <c r="K1509" s="33">
        <f>L1509+M1509+N1509</f>
        <v/>
      </c>
      <c r="L1509" s="33" t="n"/>
      <c r="M1509" s="33" t="n"/>
      <c r="N1509" s="33" t="n"/>
      <c r="O1509" s="33">
        <f>P1509+Q1509</f>
        <v/>
      </c>
      <c r="P1509" s="33" t="n"/>
      <c r="Q1509" s="33" t="n"/>
      <c r="R1509" s="33">
        <f>H1509+K1509-O1509</f>
        <v/>
      </c>
      <c r="S1509" s="33" t="n"/>
      <c r="T1509" s="33" t="n"/>
      <c r="U1509" s="33" t="n"/>
      <c r="V1509" s="33" t="n"/>
      <c r="W1509" s="33" t="n"/>
      <c r="X1509" s="33" t="n"/>
      <c r="Y1509" s="33" t="n"/>
      <c r="Z1509" s="33" t="n"/>
      <c r="AA1509" s="4">
        <f>R1509-G1509</f>
        <v/>
      </c>
      <c r="AB1509" s="4">
        <f>G1509-R1509</f>
        <v/>
      </c>
      <c r="AC1509" s="33" t="n"/>
    </row>
    <row r="1510" ht="18.75" customHeight="1">
      <c r="A1510" s="35">
        <f>SUBTOTAL(103,$B$24:B1510)</f>
        <v/>
      </c>
      <c r="B1510" s="36" t="inlineStr">
        <is>
          <t>Шафа- розстійна на 16 рівні</t>
        </is>
      </c>
      <c r="C1510" s="37" t="inlineStr">
        <is>
          <t>к-т</t>
        </is>
      </c>
      <c r="D1510" s="33" t="n"/>
      <c r="E1510" s="33" t="n"/>
      <c r="F1510" s="33">
        <f>E1510*0.05</f>
        <v/>
      </c>
      <c r="G1510" s="33">
        <f>E1510+F1510</f>
        <v/>
      </c>
      <c r="H1510" s="33" t="n"/>
      <c r="I1510" s="33" t="n"/>
      <c r="J1510" s="33" t="n"/>
      <c r="K1510" s="33">
        <f>L1510+M1510+N1510</f>
        <v/>
      </c>
      <c r="L1510" s="33" t="n"/>
      <c r="M1510" s="33" t="n"/>
      <c r="N1510" s="33" t="n"/>
      <c r="O1510" s="33">
        <f>P1510+Q1510</f>
        <v/>
      </c>
      <c r="P1510" s="33" t="n"/>
      <c r="Q1510" s="33" t="n"/>
      <c r="R1510" s="33">
        <f>H1510+K1510-O1510</f>
        <v/>
      </c>
      <c r="S1510" s="33" t="n"/>
      <c r="T1510" s="33" t="n"/>
      <c r="U1510" s="33" t="n"/>
      <c r="V1510" s="33" t="n"/>
      <c r="W1510" s="33" t="n"/>
      <c r="X1510" s="33" t="n"/>
      <c r="Y1510" s="33" t="n"/>
      <c r="Z1510" s="33" t="n"/>
      <c r="AA1510" s="4">
        <f>R1510-G1510</f>
        <v/>
      </c>
      <c r="AB1510" s="4">
        <f>G1510-R1510</f>
        <v/>
      </c>
      <c r="AC1510" s="33" t="n"/>
    </row>
    <row r="1511" ht="18.75" customHeight="1">
      <c r="A1511" s="35">
        <f>SUBTOTAL(103,$B$24:B1511)</f>
        <v/>
      </c>
      <c r="B1511" s="36" t="inlineStr">
        <is>
          <t>Шафа- розстійна на 24 рівні</t>
        </is>
      </c>
      <c r="C1511" s="37" t="inlineStr">
        <is>
          <t>к-т</t>
        </is>
      </c>
      <c r="D1511" s="33" t="n"/>
      <c r="E1511" s="33" t="n"/>
      <c r="F1511" s="33">
        <f>E1511*0.05</f>
        <v/>
      </c>
      <c r="G1511" s="33">
        <f>E1511+F1511</f>
        <v/>
      </c>
      <c r="H1511" s="33" t="n"/>
      <c r="I1511" s="33" t="n"/>
      <c r="J1511" s="33" t="n"/>
      <c r="K1511" s="33">
        <f>L1511+M1511+N1511</f>
        <v/>
      </c>
      <c r="L1511" s="33" t="n"/>
      <c r="M1511" s="33" t="n"/>
      <c r="N1511" s="33" t="n"/>
      <c r="O1511" s="33">
        <f>P1511+Q1511</f>
        <v/>
      </c>
      <c r="P1511" s="33" t="n"/>
      <c r="Q1511" s="33" t="n"/>
      <c r="R1511" s="33">
        <f>H1511+K1511-O1511</f>
        <v/>
      </c>
      <c r="S1511" s="33" t="n"/>
      <c r="T1511" s="33" t="n"/>
      <c r="U1511" s="33" t="n"/>
      <c r="V1511" s="33" t="n"/>
      <c r="W1511" s="33" t="n"/>
      <c r="X1511" s="33" t="n"/>
      <c r="Y1511" s="33" t="n"/>
      <c r="Z1511" s="33" t="n"/>
      <c r="AA1511" s="4">
        <f>R1511-G1511</f>
        <v/>
      </c>
      <c r="AB1511" s="4">
        <f>G1511-R1511</f>
        <v/>
      </c>
      <c r="AC1511" s="33" t="n"/>
    </row>
    <row r="1512" ht="18.75" customHeight="1">
      <c r="A1512" s="35">
        <f>SUBTOTAL(103,$B$24:B1512)</f>
        <v/>
      </c>
      <c r="B1512" s="36" t="inlineStr">
        <is>
          <t>Шафа- розстійна інша</t>
        </is>
      </c>
      <c r="C1512" s="37" t="inlineStr">
        <is>
          <t>к-т</t>
        </is>
      </c>
      <c r="D1512" s="33" t="n"/>
      <c r="E1512" s="33" t="n"/>
      <c r="F1512" s="33">
        <f>E1512*0.05</f>
        <v/>
      </c>
      <c r="G1512" s="33">
        <f>E1512+F1512</f>
        <v/>
      </c>
      <c r="H1512" s="33" t="n"/>
      <c r="I1512" s="33" t="n"/>
      <c r="J1512" s="33" t="n"/>
      <c r="K1512" s="33">
        <f>L1512+M1512+N1512</f>
        <v/>
      </c>
      <c r="L1512" s="33" t="n"/>
      <c r="M1512" s="33" t="n"/>
      <c r="N1512" s="33" t="n"/>
      <c r="O1512" s="33">
        <f>P1512+Q1512</f>
        <v/>
      </c>
      <c r="P1512" s="33" t="n"/>
      <c r="Q1512" s="33" t="n"/>
      <c r="R1512" s="33">
        <f>H1512+K1512-O1512</f>
        <v/>
      </c>
      <c r="S1512" s="33" t="n"/>
      <c r="T1512" s="33" t="n"/>
      <c r="U1512" s="33" t="n"/>
      <c r="V1512" s="33" t="n"/>
      <c r="W1512" s="33" t="n"/>
      <c r="X1512" s="33" t="n"/>
      <c r="Y1512" s="33" t="n"/>
      <c r="Z1512" s="33" t="n"/>
      <c r="AA1512" s="4">
        <f>R1512-G1512</f>
        <v/>
      </c>
      <c r="AB1512" s="4">
        <f>G1512-R1512</f>
        <v/>
      </c>
      <c r="AC1512" s="33" t="n"/>
    </row>
    <row r="1513" ht="18.75" customHeight="1">
      <c r="A1513" s="35">
        <f>SUBTOTAL(103,$B$24:B1513)</f>
        <v/>
      </c>
      <c r="B1513" s="39" t="inlineStr">
        <is>
          <t>МАШИНИ ПОСУДОМИЙНІ</t>
        </is>
      </c>
      <c r="C1513" s="37" t="n"/>
      <c r="D1513" s="33" t="n"/>
      <c r="E1513" s="33" t="n"/>
      <c r="F1513" s="33">
        <f>E1513*0.05</f>
        <v/>
      </c>
      <c r="G1513" s="33">
        <f>E1513+F1513</f>
        <v/>
      </c>
      <c r="H1513" s="33" t="n"/>
      <c r="I1513" s="33" t="n"/>
      <c r="J1513" s="33" t="n"/>
      <c r="K1513" s="33">
        <f>L1513+M1513+N1513</f>
        <v/>
      </c>
      <c r="L1513" s="33" t="n"/>
      <c r="M1513" s="33" t="n"/>
      <c r="N1513" s="33" t="n"/>
      <c r="O1513" s="33">
        <f>P1513+Q1513</f>
        <v/>
      </c>
      <c r="P1513" s="33" t="n"/>
      <c r="Q1513" s="33" t="n"/>
      <c r="R1513" s="33">
        <f>H1513+K1513-O1513</f>
        <v/>
      </c>
      <c r="S1513" s="33" t="n"/>
      <c r="T1513" s="33" t="n"/>
      <c r="U1513" s="33" t="n"/>
      <c r="V1513" s="33" t="n"/>
      <c r="W1513" s="33" t="n"/>
      <c r="X1513" s="33" t="n"/>
      <c r="Y1513" s="33" t="n"/>
      <c r="Z1513" s="33" t="n"/>
      <c r="AA1513" s="4">
        <f>R1513-G1513</f>
        <v/>
      </c>
      <c r="AB1513" s="4">
        <f>G1513-R1513</f>
        <v/>
      </c>
      <c r="AC1513" s="33" t="n"/>
    </row>
    <row r="1514" ht="18.75" customHeight="1">
      <c r="A1514" s="35">
        <f>SUBTOTAL(103,$B$24:B1514)</f>
        <v/>
      </c>
      <c r="B1514" s="36" t="inlineStr">
        <is>
          <t>Машина посудомийна 500-700т/год</t>
        </is>
      </c>
      <c r="C1514" s="37" t="inlineStr">
        <is>
          <t>к-т</t>
        </is>
      </c>
      <c r="D1514" s="33" t="n"/>
      <c r="E1514" s="33" t="n"/>
      <c r="F1514" s="33">
        <f>E1514*0.05</f>
        <v/>
      </c>
      <c r="G1514" s="33">
        <f>E1514+F1514</f>
        <v/>
      </c>
      <c r="H1514" s="33" t="n"/>
      <c r="I1514" s="33" t="n"/>
      <c r="J1514" s="33" t="n"/>
      <c r="K1514" s="33">
        <f>L1514+M1514+N1514</f>
        <v/>
      </c>
      <c r="L1514" s="33" t="n"/>
      <c r="M1514" s="33" t="n"/>
      <c r="N1514" s="33" t="n"/>
      <c r="O1514" s="33">
        <f>P1514+Q1514</f>
        <v/>
      </c>
      <c r="P1514" s="33" t="n"/>
      <c r="Q1514" s="33" t="n"/>
      <c r="R1514" s="33">
        <f>H1514+K1514-O1514</f>
        <v/>
      </c>
      <c r="S1514" s="33" t="n"/>
      <c r="T1514" s="33" t="n"/>
      <c r="U1514" s="33" t="n"/>
      <c r="V1514" s="33" t="n"/>
      <c r="W1514" s="33" t="n"/>
      <c r="X1514" s="33" t="n"/>
      <c r="Y1514" s="33" t="n"/>
      <c r="Z1514" s="33" t="n"/>
      <c r="AA1514" s="4">
        <f>R1514-G1514</f>
        <v/>
      </c>
      <c r="AB1514" s="4">
        <f>G1514-R1514</f>
        <v/>
      </c>
      <c r="AC1514" s="33" t="n"/>
    </row>
    <row r="1515" ht="18.75" customHeight="1">
      <c r="A1515" s="35">
        <f>SUBTOTAL(103,$B$24:B1515)</f>
        <v/>
      </c>
      <c r="B1515" s="36" t="inlineStr">
        <is>
          <t>Машина посудомийна 1000т/год</t>
        </is>
      </c>
      <c r="C1515" s="37" t="inlineStr">
        <is>
          <t>к-т</t>
        </is>
      </c>
      <c r="D1515" s="33" t="n"/>
      <c r="E1515" s="33" t="n"/>
      <c r="F1515" s="33">
        <f>E1515*0.05</f>
        <v/>
      </c>
      <c r="G1515" s="33">
        <f>E1515+F1515</f>
        <v/>
      </c>
      <c r="H1515" s="33" t="n"/>
      <c r="I1515" s="33" t="n"/>
      <c r="J1515" s="33" t="n"/>
      <c r="K1515" s="33">
        <f>L1515+M1515+N1515</f>
        <v/>
      </c>
      <c r="L1515" s="33" t="n"/>
      <c r="M1515" s="33" t="n"/>
      <c r="N1515" s="33" t="n"/>
      <c r="O1515" s="33">
        <f>P1515+Q1515</f>
        <v/>
      </c>
      <c r="P1515" s="33" t="n"/>
      <c r="Q1515" s="33" t="n"/>
      <c r="R1515" s="33">
        <f>H1515+K1515-O1515</f>
        <v/>
      </c>
      <c r="S1515" s="33" t="n"/>
      <c r="T1515" s="33" t="n"/>
      <c r="U1515" s="33" t="n"/>
      <c r="V1515" s="33" t="n"/>
      <c r="W1515" s="33" t="n"/>
      <c r="X1515" s="33" t="n"/>
      <c r="Y1515" s="33" t="n"/>
      <c r="Z1515" s="33" t="n"/>
      <c r="AA1515" s="4">
        <f>R1515-G1515</f>
        <v/>
      </c>
      <c r="AB1515" s="4">
        <f>G1515-R1515</f>
        <v/>
      </c>
      <c r="AC1515" s="33" t="n"/>
    </row>
    <row r="1516" ht="18.75" customHeight="1">
      <c r="A1516" s="35">
        <f>SUBTOTAL(103,$B$24:B1516)</f>
        <v/>
      </c>
      <c r="B1516" s="36" t="inlineStr">
        <is>
          <t>Машина посудомийна МПСК-1700</t>
        </is>
      </c>
      <c r="C1516" s="37" t="inlineStr">
        <is>
          <t>к-т</t>
        </is>
      </c>
      <c r="D1516" s="33" t="n"/>
      <c r="E1516" s="33" t="n"/>
      <c r="F1516" s="33">
        <f>E1516*0.05</f>
        <v/>
      </c>
      <c r="G1516" s="33">
        <f>E1516+F1516</f>
        <v/>
      </c>
      <c r="H1516" s="33" t="n"/>
      <c r="I1516" s="33" t="n"/>
      <c r="J1516" s="33" t="n"/>
      <c r="K1516" s="33">
        <f>L1516+M1516+N1516</f>
        <v/>
      </c>
      <c r="L1516" s="33" t="n"/>
      <c r="M1516" s="33" t="n"/>
      <c r="N1516" s="33" t="n"/>
      <c r="O1516" s="33">
        <f>P1516+Q1516</f>
        <v/>
      </c>
      <c r="P1516" s="33" t="n"/>
      <c r="Q1516" s="33" t="n"/>
      <c r="R1516" s="33">
        <f>H1516+K1516-O1516</f>
        <v/>
      </c>
      <c r="S1516" s="33" t="n"/>
      <c r="T1516" s="33" t="n"/>
      <c r="U1516" s="33" t="n"/>
      <c r="V1516" s="33" t="n"/>
      <c r="W1516" s="33" t="n"/>
      <c r="X1516" s="33" t="n"/>
      <c r="Y1516" s="33" t="n"/>
      <c r="Z1516" s="33" t="n"/>
      <c r="AA1516" s="4">
        <f>R1516-G1516</f>
        <v/>
      </c>
      <c r="AB1516" s="4">
        <f>G1516-R1516</f>
        <v/>
      </c>
      <c r="AC1516" s="33" t="n"/>
    </row>
    <row r="1517" ht="18.75" customHeight="1">
      <c r="A1517" s="35">
        <f>SUBTOTAL(103,$B$24:B1517)</f>
        <v/>
      </c>
      <c r="B1517" s="36" t="inlineStr">
        <is>
          <t>Машина посудомийна МПУ-700 т/год</t>
        </is>
      </c>
      <c r="C1517" s="37" t="inlineStr">
        <is>
          <t>к-т</t>
        </is>
      </c>
      <c r="D1517" s="33" t="n"/>
      <c r="E1517" s="33" t="n"/>
      <c r="F1517" s="33">
        <f>E1517*0.05</f>
        <v/>
      </c>
      <c r="G1517" s="33">
        <f>E1517+F1517</f>
        <v/>
      </c>
      <c r="H1517" s="33" t="n"/>
      <c r="I1517" s="33" t="n"/>
      <c r="J1517" s="33" t="n"/>
      <c r="K1517" s="33">
        <f>L1517+M1517+N1517</f>
        <v/>
      </c>
      <c r="L1517" s="33" t="n"/>
      <c r="M1517" s="33" t="n"/>
      <c r="N1517" s="33" t="n"/>
      <c r="O1517" s="33">
        <f>P1517+Q1517</f>
        <v/>
      </c>
      <c r="P1517" s="33" t="n"/>
      <c r="Q1517" s="33" t="n"/>
      <c r="R1517" s="33">
        <f>H1517+K1517-O1517</f>
        <v/>
      </c>
      <c r="S1517" s="33" t="n"/>
      <c r="T1517" s="33" t="n"/>
      <c r="U1517" s="33" t="n"/>
      <c r="V1517" s="33" t="n"/>
      <c r="W1517" s="33" t="n"/>
      <c r="X1517" s="33" t="n"/>
      <c r="Y1517" s="33" t="n"/>
      <c r="Z1517" s="33" t="n"/>
      <c r="AA1517" s="4">
        <f>R1517-G1517</f>
        <v/>
      </c>
      <c r="AB1517" s="4">
        <f>G1517-R1517</f>
        <v/>
      </c>
      <c r="AC1517" s="33" t="n"/>
    </row>
    <row r="1518" ht="18.75" customHeight="1">
      <c r="A1518" s="35">
        <f>SUBTOTAL(103,$B$24:B1518)</f>
        <v/>
      </c>
      <c r="B1518" s="36" t="inlineStr">
        <is>
          <t>Машина посудомийна МПУ-1000 т/год</t>
        </is>
      </c>
      <c r="C1518" s="37" t="inlineStr">
        <is>
          <t>к-т</t>
        </is>
      </c>
      <c r="D1518" s="33" t="n"/>
      <c r="E1518" s="33" t="n"/>
      <c r="F1518" s="33">
        <f>E1518*0.05</f>
        <v/>
      </c>
      <c r="G1518" s="33">
        <f>E1518+F1518</f>
        <v/>
      </c>
      <c r="H1518" s="33" t="n"/>
      <c r="I1518" s="33" t="n"/>
      <c r="J1518" s="33" t="n"/>
      <c r="K1518" s="33">
        <f>L1518+M1518+N1518</f>
        <v/>
      </c>
      <c r="L1518" s="33" t="n"/>
      <c r="M1518" s="33" t="n"/>
      <c r="N1518" s="33" t="n"/>
      <c r="O1518" s="33">
        <f>P1518+Q1518</f>
        <v/>
      </c>
      <c r="P1518" s="33" t="n"/>
      <c r="Q1518" s="33" t="n"/>
      <c r="R1518" s="33">
        <f>H1518+K1518-O1518</f>
        <v/>
      </c>
      <c r="S1518" s="33" t="n"/>
      <c r="T1518" s="33" t="n"/>
      <c r="U1518" s="33" t="n"/>
      <c r="V1518" s="33" t="n"/>
      <c r="W1518" s="33" t="n"/>
      <c r="X1518" s="33" t="n"/>
      <c r="Y1518" s="33" t="n"/>
      <c r="Z1518" s="33" t="n"/>
      <c r="AA1518" s="4">
        <f>R1518-G1518</f>
        <v/>
      </c>
      <c r="AB1518" s="4">
        <f>G1518-R1518</f>
        <v/>
      </c>
      <c r="AC1518" s="33" t="n"/>
    </row>
    <row r="1519" ht="18.75" customHeight="1">
      <c r="A1519" s="35">
        <f>SUBTOTAL(103,$B$24:B1519)</f>
        <v/>
      </c>
      <c r="B1519" s="36" t="inlineStr">
        <is>
          <t xml:space="preserve">Машина посудомийна МПУ-1400 т/год </t>
        </is>
      </c>
      <c r="C1519" s="37" t="inlineStr">
        <is>
          <t>к-т</t>
        </is>
      </c>
      <c r="D1519" s="33" t="n"/>
      <c r="E1519" s="33" t="n"/>
      <c r="F1519" s="33">
        <f>E1519*0.05</f>
        <v/>
      </c>
      <c r="G1519" s="33">
        <f>E1519+F1519</f>
        <v/>
      </c>
      <c r="H1519" s="33" t="n"/>
      <c r="I1519" s="33" t="n"/>
      <c r="J1519" s="33" t="n"/>
      <c r="K1519" s="33">
        <f>L1519+M1519+N1519</f>
        <v/>
      </c>
      <c r="L1519" s="33" t="n"/>
      <c r="M1519" s="33" t="n"/>
      <c r="N1519" s="33" t="n"/>
      <c r="O1519" s="33">
        <f>P1519+Q1519</f>
        <v/>
      </c>
      <c r="P1519" s="33" t="n"/>
      <c r="Q1519" s="33" t="n"/>
      <c r="R1519" s="33">
        <f>H1519+K1519-O1519</f>
        <v/>
      </c>
      <c r="S1519" s="33" t="n"/>
      <c r="T1519" s="33" t="n"/>
      <c r="U1519" s="33" t="n"/>
      <c r="V1519" s="33" t="n"/>
      <c r="W1519" s="33" t="n"/>
      <c r="X1519" s="33" t="n"/>
      <c r="Y1519" s="33" t="n"/>
      <c r="Z1519" s="33" t="n"/>
      <c r="AA1519" s="4">
        <f>R1519-G1519</f>
        <v/>
      </c>
      <c r="AB1519" s="4">
        <f>G1519-R1519</f>
        <v/>
      </c>
      <c r="AC1519" s="33" t="n"/>
    </row>
    <row r="1520" ht="18.75" customHeight="1">
      <c r="A1520" s="35">
        <f>SUBTOTAL(103,$B$24:B1520)</f>
        <v/>
      </c>
      <c r="B1520" s="36" t="inlineStr">
        <is>
          <t xml:space="preserve">Машина посудомийна 1400 т/год </t>
        </is>
      </c>
      <c r="C1520" s="37" t="inlineStr">
        <is>
          <t>к-т</t>
        </is>
      </c>
      <c r="D1520" s="33" t="n"/>
      <c r="E1520" s="33" t="n"/>
      <c r="F1520" s="33">
        <f>E1520*0.05</f>
        <v/>
      </c>
      <c r="G1520" s="33">
        <f>E1520+F1520</f>
        <v/>
      </c>
      <c r="H1520" s="33" t="n"/>
      <c r="I1520" s="33" t="n"/>
      <c r="J1520" s="33" t="n"/>
      <c r="K1520" s="33">
        <f>L1520+M1520+N1520</f>
        <v/>
      </c>
      <c r="L1520" s="33" t="n"/>
      <c r="M1520" s="33" t="n"/>
      <c r="N1520" s="33" t="n"/>
      <c r="O1520" s="33">
        <f>P1520+Q1520</f>
        <v/>
      </c>
      <c r="P1520" s="33" t="n"/>
      <c r="Q1520" s="33" t="n"/>
      <c r="R1520" s="33">
        <f>H1520+K1520-O1520</f>
        <v/>
      </c>
      <c r="S1520" s="33" t="n"/>
      <c r="T1520" s="33" t="n"/>
      <c r="U1520" s="33" t="n"/>
      <c r="V1520" s="33" t="n"/>
      <c r="W1520" s="33" t="n"/>
      <c r="X1520" s="33" t="n"/>
      <c r="Y1520" s="33" t="n"/>
      <c r="Z1520" s="33" t="n"/>
      <c r="AA1520" s="4">
        <f>R1520-G1520</f>
        <v/>
      </c>
      <c r="AB1520" s="4">
        <f>G1520-R1520</f>
        <v/>
      </c>
      <c r="AC1520" s="33" t="n"/>
    </row>
    <row r="1521" ht="18.75" customHeight="1">
      <c r="A1521" s="35">
        <f>SUBTOTAL(103,$B$24:B1521)</f>
        <v/>
      </c>
      <c r="B1521" s="36" t="inlineStr">
        <is>
          <t xml:space="preserve">Машина посудомийна 2000 т/год </t>
        </is>
      </c>
      <c r="C1521" s="37" t="inlineStr">
        <is>
          <t>к-т</t>
        </is>
      </c>
      <c r="D1521" s="33" t="n"/>
      <c r="E1521" s="33" t="n"/>
      <c r="F1521" s="33">
        <f>E1521*0.05</f>
        <v/>
      </c>
      <c r="G1521" s="33">
        <f>E1521+F1521</f>
        <v/>
      </c>
      <c r="H1521" s="33" t="n"/>
      <c r="I1521" s="33" t="n"/>
      <c r="J1521" s="33" t="n"/>
      <c r="K1521" s="33">
        <f>L1521+M1521+N1521</f>
        <v/>
      </c>
      <c r="L1521" s="33" t="n"/>
      <c r="M1521" s="33" t="n"/>
      <c r="N1521" s="33" t="n"/>
      <c r="O1521" s="33">
        <f>P1521+Q1521</f>
        <v/>
      </c>
      <c r="P1521" s="33" t="n"/>
      <c r="Q1521" s="33" t="n"/>
      <c r="R1521" s="33">
        <f>H1521+K1521-O1521</f>
        <v/>
      </c>
      <c r="S1521" s="33" t="n"/>
      <c r="T1521" s="33" t="n"/>
      <c r="U1521" s="33" t="n"/>
      <c r="V1521" s="33" t="n"/>
      <c r="W1521" s="33" t="n"/>
      <c r="X1521" s="33" t="n"/>
      <c r="Y1521" s="33" t="n"/>
      <c r="Z1521" s="33" t="n"/>
      <c r="AA1521" s="4">
        <f>R1521-G1521</f>
        <v/>
      </c>
      <c r="AB1521" s="4">
        <f>G1521-R1521</f>
        <v/>
      </c>
      <c r="AC1521" s="33" t="n"/>
    </row>
    <row r="1522" ht="18.75" customHeight="1">
      <c r="A1522" s="35">
        <f>SUBTOTAL(103,$B$24:B1522)</f>
        <v/>
      </c>
      <c r="B1522" s="36" t="inlineStr">
        <is>
          <t>Машина посудомийна МНТ-2А</t>
        </is>
      </c>
      <c r="C1522" s="37" t="inlineStr">
        <is>
          <t>к-т</t>
        </is>
      </c>
      <c r="D1522" s="33" t="n"/>
      <c r="E1522" s="33" t="n"/>
      <c r="F1522" s="33">
        <f>E1522*0.05</f>
        <v/>
      </c>
      <c r="G1522" s="33">
        <f>E1522+F1522</f>
        <v/>
      </c>
      <c r="H1522" s="33" t="n"/>
      <c r="I1522" s="33" t="n"/>
      <c r="J1522" s="33" t="n"/>
      <c r="K1522" s="33">
        <f>L1522+M1522+N1522</f>
        <v/>
      </c>
      <c r="L1522" s="33" t="n"/>
      <c r="M1522" s="33" t="n"/>
      <c r="N1522" s="33" t="n"/>
      <c r="O1522" s="33">
        <f>P1522+Q1522</f>
        <v/>
      </c>
      <c r="P1522" s="33" t="n"/>
      <c r="Q1522" s="33" t="n"/>
      <c r="R1522" s="33">
        <f>H1522+K1522-O1522</f>
        <v/>
      </c>
      <c r="S1522" s="33" t="n"/>
      <c r="T1522" s="33" t="n"/>
      <c r="U1522" s="33" t="n"/>
      <c r="V1522" s="33" t="n"/>
      <c r="W1522" s="33" t="n"/>
      <c r="X1522" s="33" t="n"/>
      <c r="Y1522" s="33" t="n"/>
      <c r="Z1522" s="33" t="n"/>
      <c r="AA1522" s="4">
        <f>R1522-G1522</f>
        <v/>
      </c>
      <c r="AB1522" s="4">
        <f>G1522-R1522</f>
        <v/>
      </c>
      <c r="AC1522" s="33" t="n"/>
    </row>
    <row r="1523" ht="18.75" customHeight="1">
      <c r="A1523" s="35">
        <f>SUBTOTAL(103,$B$24:B1523)</f>
        <v/>
      </c>
      <c r="B1523" s="36" t="inlineStr">
        <is>
          <t>Машина посудомийна МНД-010,9</t>
        </is>
      </c>
      <c r="C1523" s="37" t="inlineStr">
        <is>
          <t>к-т</t>
        </is>
      </c>
      <c r="D1523" s="33" t="n"/>
      <c r="E1523" s="33" t="n"/>
      <c r="F1523" s="33">
        <f>E1523*0.05</f>
        <v/>
      </c>
      <c r="G1523" s="33">
        <f>E1523+F1523</f>
        <v/>
      </c>
      <c r="H1523" s="33" t="n"/>
      <c r="I1523" s="33" t="n"/>
      <c r="J1523" s="33" t="n"/>
      <c r="K1523" s="33">
        <f>L1523+M1523+N1523</f>
        <v/>
      </c>
      <c r="L1523" s="33" t="n"/>
      <c r="M1523" s="33" t="n"/>
      <c r="N1523" s="33" t="n"/>
      <c r="O1523" s="33">
        <f>P1523+Q1523</f>
        <v/>
      </c>
      <c r="P1523" s="33" t="n"/>
      <c r="Q1523" s="33" t="n"/>
      <c r="R1523" s="33">
        <f>H1523+K1523-O1523</f>
        <v/>
      </c>
      <c r="S1523" s="33" t="n"/>
      <c r="T1523" s="33" t="n"/>
      <c r="U1523" s="33" t="n"/>
      <c r="V1523" s="33" t="n"/>
      <c r="W1523" s="33" t="n"/>
      <c r="X1523" s="33" t="n"/>
      <c r="Y1523" s="33" t="n"/>
      <c r="Z1523" s="33" t="n"/>
      <c r="AA1523" s="4">
        <f>R1523-G1523</f>
        <v/>
      </c>
      <c r="AB1523" s="4">
        <f>G1523-R1523</f>
        <v/>
      </c>
      <c r="AC1523" s="33" t="n"/>
    </row>
    <row r="1524" ht="56.25" customHeight="1">
      <c r="A1524" s="35">
        <f>SUBTOTAL(103,$B$24:B1524)</f>
        <v/>
      </c>
      <c r="B1524" s="36" t="inlineStr">
        <is>
          <t>Посудомийна машина тунельного типу 1400-2000 тар/год (Oztiryakiler OBK 1500 Е)</t>
        </is>
      </c>
      <c r="C1524" s="37" t="inlineStr">
        <is>
          <t>к-т</t>
        </is>
      </c>
      <c r="D1524" s="33" t="n"/>
      <c r="E1524" s="33" t="n"/>
      <c r="F1524" s="33">
        <f>E1524*0.05</f>
        <v/>
      </c>
      <c r="G1524" s="33">
        <f>E1524+F1524</f>
        <v/>
      </c>
      <c r="H1524" s="33" t="n"/>
      <c r="I1524" s="33" t="n"/>
      <c r="J1524" s="33" t="n"/>
      <c r="K1524" s="33">
        <f>L1524+M1524+N1524</f>
        <v/>
      </c>
      <c r="L1524" s="33" t="n"/>
      <c r="M1524" s="33" t="n"/>
      <c r="N1524" s="33" t="n"/>
      <c r="O1524" s="33">
        <f>P1524+Q1524</f>
        <v/>
      </c>
      <c r="P1524" s="33" t="n"/>
      <c r="Q1524" s="33" t="n"/>
      <c r="R1524" s="33">
        <f>H1524+K1524-O1524</f>
        <v/>
      </c>
      <c r="S1524" s="33" t="n"/>
      <c r="T1524" s="33" t="n"/>
      <c r="U1524" s="33" t="n"/>
      <c r="V1524" s="33" t="n"/>
      <c r="W1524" s="33" t="n"/>
      <c r="X1524" s="33" t="n"/>
      <c r="Y1524" s="33" t="n"/>
      <c r="Z1524" s="33" t="n"/>
      <c r="AA1524" s="4">
        <f>R1524-G1524</f>
        <v/>
      </c>
      <c r="AB1524" s="4">
        <f>G1524-R1524</f>
        <v/>
      </c>
      <c r="AC1524" s="33" t="n"/>
    </row>
    <row r="1525" ht="37.5" customHeight="1">
      <c r="A1525" s="35">
        <f>SUBTOTAL(103,$B$24:B1525)</f>
        <v/>
      </c>
      <c r="B1525" s="36" t="inlineStr">
        <is>
          <t>Машина посудомийна фронтана Digital Stalgast 801565</t>
        </is>
      </c>
      <c r="C1525" s="37" t="inlineStr">
        <is>
          <t>к-т</t>
        </is>
      </c>
      <c r="D1525" s="33" t="n"/>
      <c r="E1525" s="33" t="n"/>
      <c r="F1525" s="33">
        <f>E1525*0.05</f>
        <v/>
      </c>
      <c r="G1525" s="33">
        <f>E1525+F1525</f>
        <v/>
      </c>
      <c r="H1525" s="33" t="n"/>
      <c r="I1525" s="33" t="n"/>
      <c r="J1525" s="33" t="n"/>
      <c r="K1525" s="33">
        <f>L1525+M1525+N1525</f>
        <v/>
      </c>
      <c r="L1525" s="33" t="n"/>
      <c r="M1525" s="33" t="n"/>
      <c r="N1525" s="33" t="n"/>
      <c r="O1525" s="33">
        <f>P1525+Q1525</f>
        <v/>
      </c>
      <c r="P1525" s="33" t="n"/>
      <c r="Q1525" s="33" t="n"/>
      <c r="R1525" s="33">
        <f>H1525+K1525-O1525</f>
        <v/>
      </c>
      <c r="S1525" s="33" t="n"/>
      <c r="T1525" s="33" t="n"/>
      <c r="U1525" s="33" t="n"/>
      <c r="V1525" s="33" t="n"/>
      <c r="W1525" s="33" t="n"/>
      <c r="X1525" s="33" t="n"/>
      <c r="Y1525" s="33" t="n"/>
      <c r="Z1525" s="33" t="n"/>
      <c r="AA1525" s="4">
        <f>R1525-G1525</f>
        <v/>
      </c>
      <c r="AB1525" s="4">
        <f>G1525-R1525</f>
        <v/>
      </c>
      <c r="AC1525" s="33" t="n"/>
    </row>
    <row r="1526" ht="18.75" customHeight="1">
      <c r="A1526" s="35">
        <f>SUBTOTAL(103,$B$24:B1526)</f>
        <v/>
      </c>
      <c r="B1526" s="36" t="inlineStr">
        <is>
          <t>Посудомийка фронтальна  FIR-30-DD</t>
        </is>
      </c>
      <c r="C1526" s="37" t="inlineStr">
        <is>
          <t>к-т</t>
        </is>
      </c>
      <c r="D1526" s="33" t="n"/>
      <c r="E1526" s="33" t="n"/>
      <c r="F1526" s="33">
        <f>E1526*0.05</f>
        <v/>
      </c>
      <c r="G1526" s="33">
        <f>E1526+F1526</f>
        <v/>
      </c>
      <c r="H1526" s="33" t="n"/>
      <c r="I1526" s="33" t="n"/>
      <c r="J1526" s="33" t="n"/>
      <c r="K1526" s="33">
        <f>L1526+M1526+N1526</f>
        <v/>
      </c>
      <c r="L1526" s="33" t="n"/>
      <c r="M1526" s="33" t="n"/>
      <c r="N1526" s="33" t="n"/>
      <c r="O1526" s="33">
        <f>P1526+Q1526</f>
        <v/>
      </c>
      <c r="P1526" s="33" t="n"/>
      <c r="Q1526" s="33" t="n"/>
      <c r="R1526" s="33">
        <f>H1526+K1526-O1526</f>
        <v/>
      </c>
      <c r="S1526" s="33" t="n"/>
      <c r="T1526" s="33" t="n"/>
      <c r="U1526" s="33" t="n"/>
      <c r="V1526" s="33" t="n"/>
      <c r="W1526" s="33" t="n"/>
      <c r="X1526" s="33" t="n"/>
      <c r="Y1526" s="33" t="n"/>
      <c r="Z1526" s="33" t="n"/>
      <c r="AA1526" s="4">
        <f>R1526-G1526</f>
        <v/>
      </c>
      <c r="AB1526" s="4">
        <f>G1526-R1526</f>
        <v/>
      </c>
      <c r="AC1526" s="33" t="n"/>
    </row>
    <row r="1527" ht="37.5" customHeight="1">
      <c r="A1527" s="35">
        <f>SUBTOTAL(103,$B$24:B1527)</f>
        <v/>
      </c>
      <c r="B1527" s="36" t="inlineStr">
        <is>
          <t>Посудомийна машина тунельного типу 1400-2000 тар/год (МПСК-1700ПР)</t>
        </is>
      </c>
      <c r="C1527" s="37" t="inlineStr">
        <is>
          <t>к-т</t>
        </is>
      </c>
      <c r="D1527" s="33" t="n"/>
      <c r="E1527" s="33" t="n"/>
      <c r="F1527" s="33">
        <f>E1527*0.05</f>
        <v/>
      </c>
      <c r="G1527" s="33">
        <f>E1527+F1527</f>
        <v/>
      </c>
      <c r="H1527" s="33" t="n"/>
      <c r="I1527" s="33" t="n"/>
      <c r="J1527" s="33" t="n"/>
      <c r="K1527" s="33">
        <f>L1527+M1527+N1527</f>
        <v/>
      </c>
      <c r="L1527" s="33" t="n"/>
      <c r="M1527" s="33" t="n"/>
      <c r="N1527" s="33" t="n"/>
      <c r="O1527" s="33">
        <f>P1527+Q1527</f>
        <v/>
      </c>
      <c r="P1527" s="33" t="n"/>
      <c r="Q1527" s="33" t="n"/>
      <c r="R1527" s="33">
        <f>H1527+K1527-O1527</f>
        <v/>
      </c>
      <c r="S1527" s="33" t="n"/>
      <c r="T1527" s="33" t="n"/>
      <c r="U1527" s="33" t="n"/>
      <c r="V1527" s="33" t="n"/>
      <c r="W1527" s="33" t="n"/>
      <c r="X1527" s="33" t="n"/>
      <c r="Y1527" s="33" t="n"/>
      <c r="Z1527" s="33" t="n"/>
      <c r="AA1527" s="4">
        <f>R1527-G1527</f>
        <v/>
      </c>
      <c r="AB1527" s="4">
        <f>G1527-R1527</f>
        <v/>
      </c>
      <c r="AC1527" s="33" t="n"/>
    </row>
    <row r="1528" ht="56.25" customHeight="1">
      <c r="A1528" s="35">
        <f>SUBTOTAL(103,$B$24:B1528)</f>
        <v/>
      </c>
      <c r="B1528" s="36" t="inlineStr">
        <is>
          <t>Посудомийна машина тунельного типу 800-1200 тар/год (Oztiryakiler OBK 1200 Е)</t>
        </is>
      </c>
      <c r="C1528" s="37" t="inlineStr">
        <is>
          <t>к-т</t>
        </is>
      </c>
      <c r="D1528" s="33" t="n"/>
      <c r="E1528" s="33" t="n"/>
      <c r="F1528" s="33">
        <f>E1528*0.05</f>
        <v/>
      </c>
      <c r="G1528" s="33">
        <f>E1528+F1528</f>
        <v/>
      </c>
      <c r="H1528" s="33" t="n"/>
      <c r="I1528" s="33" t="n"/>
      <c r="J1528" s="33" t="n"/>
      <c r="K1528" s="33">
        <f>L1528+M1528+N1528</f>
        <v/>
      </c>
      <c r="L1528" s="33" t="n"/>
      <c r="M1528" s="33" t="n"/>
      <c r="N1528" s="33" t="n"/>
      <c r="O1528" s="33">
        <f>P1528+Q1528</f>
        <v/>
      </c>
      <c r="P1528" s="33" t="n"/>
      <c r="Q1528" s="33" t="n"/>
      <c r="R1528" s="33">
        <f>H1528+K1528-O1528</f>
        <v/>
      </c>
      <c r="S1528" s="33" t="n"/>
      <c r="T1528" s="33" t="n"/>
      <c r="U1528" s="33" t="n"/>
      <c r="V1528" s="33" t="n"/>
      <c r="W1528" s="33" t="n"/>
      <c r="X1528" s="33" t="n"/>
      <c r="Y1528" s="33" t="n"/>
      <c r="Z1528" s="33" t="n"/>
      <c r="AA1528" s="4">
        <f>R1528-G1528</f>
        <v/>
      </c>
      <c r="AB1528" s="4">
        <f>G1528-R1528</f>
        <v/>
      </c>
      <c r="AC1528" s="33" t="n"/>
    </row>
    <row r="1529" ht="37.5" customHeight="1">
      <c r="A1529" s="35">
        <f>SUBTOTAL(103,$B$24:B1529)</f>
        <v/>
      </c>
      <c r="B1529" s="36" t="inlineStr">
        <is>
          <t>Посудомийна машина купольного типу OZTI OBM 1080S</t>
        </is>
      </c>
      <c r="C1529" s="37" t="inlineStr">
        <is>
          <t>к-т</t>
        </is>
      </c>
      <c r="D1529" s="33" t="n"/>
      <c r="E1529" s="33" t="n"/>
      <c r="F1529" s="33">
        <f>E1529*0.05</f>
        <v/>
      </c>
      <c r="G1529" s="33">
        <f>E1529+F1529</f>
        <v/>
      </c>
      <c r="H1529" s="33" t="n"/>
      <c r="I1529" s="33" t="n"/>
      <c r="J1529" s="33" t="n"/>
      <c r="K1529" s="33">
        <f>L1529+M1529+N1529</f>
        <v/>
      </c>
      <c r="L1529" s="33" t="n"/>
      <c r="M1529" s="33" t="n"/>
      <c r="N1529" s="33" t="n"/>
      <c r="O1529" s="33">
        <f>P1529+Q1529</f>
        <v/>
      </c>
      <c r="P1529" s="33" t="n"/>
      <c r="Q1529" s="33" t="n"/>
      <c r="R1529" s="33">
        <f>H1529+K1529-O1529</f>
        <v/>
      </c>
      <c r="S1529" s="33" t="n"/>
      <c r="T1529" s="33" t="n"/>
      <c r="U1529" s="33" t="n"/>
      <c r="V1529" s="33" t="n"/>
      <c r="W1529" s="33" t="n"/>
      <c r="X1529" s="33" t="n"/>
      <c r="Y1529" s="33" t="n"/>
      <c r="Z1529" s="33" t="n"/>
      <c r="AA1529" s="4">
        <f>R1529-G1529</f>
        <v/>
      </c>
      <c r="AB1529" s="4">
        <f>G1529-R1529</f>
        <v/>
      </c>
      <c r="AC1529" s="33" t="n"/>
    </row>
    <row r="1530" ht="37.5" customHeight="1">
      <c r="A1530" s="35">
        <f>SUBTOTAL(103,$B$24:B1530)</f>
        <v/>
      </c>
      <c r="B1530" s="36" t="inlineStr">
        <is>
          <t xml:space="preserve">Машина посудомийна купольного 700 тар/ год типу </t>
        </is>
      </c>
      <c r="C1530" s="37" t="inlineStr">
        <is>
          <t>к-т</t>
        </is>
      </c>
      <c r="D1530" s="33" t="n"/>
      <c r="E1530" s="33" t="n"/>
      <c r="F1530" s="33">
        <f>E1530*0.05</f>
        <v/>
      </c>
      <c r="G1530" s="33">
        <f>E1530+F1530</f>
        <v/>
      </c>
      <c r="H1530" s="33" t="n"/>
      <c r="I1530" s="33" t="n"/>
      <c r="J1530" s="33" t="n"/>
      <c r="K1530" s="33">
        <f>L1530+M1530+N1530</f>
        <v/>
      </c>
      <c r="L1530" s="33" t="n"/>
      <c r="M1530" s="33" t="n"/>
      <c r="N1530" s="33" t="n"/>
      <c r="O1530" s="33">
        <f>P1530+Q1530</f>
        <v/>
      </c>
      <c r="P1530" s="33" t="n"/>
      <c r="Q1530" s="33" t="n"/>
      <c r="R1530" s="33">
        <f>H1530+K1530-O1530</f>
        <v/>
      </c>
      <c r="S1530" s="33" t="n"/>
      <c r="T1530" s="33" t="n"/>
      <c r="U1530" s="33" t="n"/>
      <c r="V1530" s="33" t="n"/>
      <c r="W1530" s="33" t="n"/>
      <c r="X1530" s="33" t="n"/>
      <c r="Y1530" s="33" t="n"/>
      <c r="Z1530" s="33" t="n"/>
      <c r="AA1530" s="4">
        <f>R1530-G1530</f>
        <v/>
      </c>
      <c r="AB1530" s="4">
        <f>G1530-R1530</f>
        <v/>
      </c>
      <c r="AC1530" s="33" t="n"/>
    </row>
    <row r="1531" ht="37.5" customHeight="1">
      <c r="A1531" s="35">
        <f>SUBTOTAL(103,$B$24:B1531)</f>
        <v/>
      </c>
      <c r="B1531" s="36" t="inlineStr">
        <is>
          <t>Посудомийна машина купольного типу на 500-700 тар/год (МПУ-700-01)</t>
        </is>
      </c>
      <c r="C1531" s="37" t="inlineStr">
        <is>
          <t>к-т</t>
        </is>
      </c>
      <c r="D1531" s="33" t="n"/>
      <c r="E1531" s="33" t="n"/>
      <c r="F1531" s="33">
        <f>E1531*0.05</f>
        <v/>
      </c>
      <c r="G1531" s="33">
        <f>E1531+F1531</f>
        <v/>
      </c>
      <c r="H1531" s="33" t="n"/>
      <c r="I1531" s="33" t="n"/>
      <c r="J1531" s="33" t="n"/>
      <c r="K1531" s="33">
        <f>L1531+M1531+N1531</f>
        <v/>
      </c>
      <c r="L1531" s="33" t="n"/>
      <c r="M1531" s="33" t="n"/>
      <c r="N1531" s="33" t="n"/>
      <c r="O1531" s="33">
        <f>P1531+Q1531</f>
        <v/>
      </c>
      <c r="P1531" s="33" t="n"/>
      <c r="Q1531" s="33" t="n"/>
      <c r="R1531" s="33">
        <f>H1531+K1531-O1531</f>
        <v/>
      </c>
      <c r="S1531" s="33" t="n"/>
      <c r="T1531" s="33" t="n"/>
      <c r="U1531" s="33" t="n"/>
      <c r="V1531" s="33" t="n"/>
      <c r="W1531" s="33" t="n"/>
      <c r="X1531" s="33" t="n"/>
      <c r="Y1531" s="33" t="n"/>
      <c r="Z1531" s="33" t="n"/>
      <c r="AA1531" s="4">
        <f>R1531-G1531</f>
        <v/>
      </c>
      <c r="AB1531" s="4">
        <f>G1531-R1531</f>
        <v/>
      </c>
      <c r="AC1531" s="33" t="n"/>
    </row>
    <row r="1532" ht="37.5" customHeight="1">
      <c r="A1532" s="35">
        <f>SUBTOTAL(103,$B$24:B1532)</f>
        <v/>
      </c>
      <c r="B1532" s="36" t="inlineStr">
        <is>
          <t>Посудомийна машина купольного типу на 1000 тар (DW-1000)</t>
        </is>
      </c>
      <c r="C1532" s="37" t="inlineStr">
        <is>
          <t>к-т</t>
        </is>
      </c>
      <c r="D1532" s="33" t="n"/>
      <c r="E1532" s="33" t="n"/>
      <c r="F1532" s="33">
        <f>E1532*0.05</f>
        <v/>
      </c>
      <c r="G1532" s="33">
        <f>E1532+F1532</f>
        <v/>
      </c>
      <c r="H1532" s="33" t="n"/>
      <c r="I1532" s="33" t="n"/>
      <c r="J1532" s="33" t="n"/>
      <c r="K1532" s="33">
        <f>L1532+M1532+N1532</f>
        <v/>
      </c>
      <c r="L1532" s="33" t="n"/>
      <c r="M1532" s="33" t="n"/>
      <c r="N1532" s="33" t="n"/>
      <c r="O1532" s="33">
        <f>P1532+Q1532</f>
        <v/>
      </c>
      <c r="P1532" s="33" t="n"/>
      <c r="Q1532" s="33" t="n"/>
      <c r="R1532" s="33">
        <f>H1532+K1532-O1532</f>
        <v/>
      </c>
      <c r="S1532" s="33" t="n"/>
      <c r="T1532" s="33" t="n"/>
      <c r="U1532" s="33" t="n"/>
      <c r="V1532" s="33" t="n"/>
      <c r="W1532" s="33" t="n"/>
      <c r="X1532" s="33" t="n"/>
      <c r="Y1532" s="33" t="n"/>
      <c r="Z1532" s="33" t="n"/>
      <c r="AA1532" s="4">
        <f>R1532-G1532</f>
        <v/>
      </c>
      <c r="AB1532" s="4">
        <f>G1532-R1532</f>
        <v/>
      </c>
      <c r="AC1532" s="33" t="n"/>
    </row>
    <row r="1533" ht="37.5" customHeight="1">
      <c r="A1533" s="35">
        <f>SUBTOTAL(103,$B$24:B1533)</f>
        <v/>
      </c>
      <c r="B1533" s="36" t="inlineStr">
        <is>
          <t>Посудомийна машина тунельного типу 800-1200 тар/год (МПСК-1700-ПР)</t>
        </is>
      </c>
      <c r="C1533" s="37" t="inlineStr">
        <is>
          <t>к-т</t>
        </is>
      </c>
      <c r="D1533" s="33" t="n"/>
      <c r="E1533" s="33" t="n"/>
      <c r="F1533" s="33">
        <f>E1533*0.05</f>
        <v/>
      </c>
      <c r="G1533" s="33">
        <f>E1533+F1533</f>
        <v/>
      </c>
      <c r="H1533" s="33" t="n"/>
      <c r="I1533" s="33" t="n"/>
      <c r="J1533" s="33" t="n"/>
      <c r="K1533" s="33">
        <f>L1533+M1533+N1533</f>
        <v/>
      </c>
      <c r="L1533" s="33" t="n"/>
      <c r="M1533" s="33" t="n"/>
      <c r="N1533" s="33" t="n"/>
      <c r="O1533" s="33">
        <f>P1533+Q1533</f>
        <v/>
      </c>
      <c r="P1533" s="33" t="n"/>
      <c r="Q1533" s="33" t="n"/>
      <c r="R1533" s="33">
        <f>H1533+K1533-O1533</f>
        <v/>
      </c>
      <c r="S1533" s="33" t="n"/>
      <c r="T1533" s="33" t="n"/>
      <c r="U1533" s="33" t="n"/>
      <c r="V1533" s="33" t="n"/>
      <c r="W1533" s="33" t="n"/>
      <c r="X1533" s="33" t="n"/>
      <c r="Y1533" s="33" t="n"/>
      <c r="Z1533" s="33" t="n"/>
      <c r="AA1533" s="4">
        <f>R1533-G1533</f>
        <v/>
      </c>
      <c r="AB1533" s="4">
        <f>G1533-R1533</f>
        <v/>
      </c>
      <c r="AC1533" s="33" t="n"/>
    </row>
    <row r="1534" ht="18.75" customHeight="1">
      <c r="A1534" s="35">
        <f>SUBTOTAL(103,$B$24:B1534)</f>
        <v/>
      </c>
      <c r="B1534" s="36" t="inlineStr">
        <is>
          <t>Посудомийна машина "Siemens"</t>
        </is>
      </c>
      <c r="C1534" s="37" t="inlineStr">
        <is>
          <t>к-т</t>
        </is>
      </c>
      <c r="D1534" s="33" t="n"/>
      <c r="E1534" s="33" t="n"/>
      <c r="F1534" s="33">
        <f>E1534*0.05</f>
        <v/>
      </c>
      <c r="G1534" s="33">
        <f>E1534+F1534</f>
        <v/>
      </c>
      <c r="H1534" s="33" t="n"/>
      <c r="I1534" s="33" t="n"/>
      <c r="J1534" s="33" t="n"/>
      <c r="K1534" s="33">
        <f>L1534+M1534+N1534</f>
        <v/>
      </c>
      <c r="L1534" s="33" t="n"/>
      <c r="M1534" s="33" t="n"/>
      <c r="N1534" s="33" t="n"/>
      <c r="O1534" s="33">
        <f>P1534+Q1534</f>
        <v/>
      </c>
      <c r="P1534" s="33" t="n"/>
      <c r="Q1534" s="33" t="n"/>
      <c r="R1534" s="33">
        <f>H1534+K1534-O1534</f>
        <v/>
      </c>
      <c r="S1534" s="33" t="n"/>
      <c r="T1534" s="33" t="n"/>
      <c r="U1534" s="33" t="n"/>
      <c r="V1534" s="33" t="n"/>
      <c r="W1534" s="33" t="n"/>
      <c r="X1534" s="33" t="n"/>
      <c r="Y1534" s="33" t="n"/>
      <c r="Z1534" s="33" t="n"/>
      <c r="AA1534" s="4">
        <f>R1534-G1534</f>
        <v/>
      </c>
      <c r="AB1534" s="4">
        <f>G1534-R1534</f>
        <v/>
      </c>
      <c r="AC1534" s="33" t="n"/>
    </row>
    <row r="1535" ht="18.75" customHeight="1">
      <c r="A1535" s="35">
        <f>SUBTOTAL(103,$B$24:B1535)</f>
        <v/>
      </c>
      <c r="B1535" s="36" t="inlineStr">
        <is>
          <t>Посудомийка Samsung</t>
        </is>
      </c>
      <c r="C1535" s="37" t="inlineStr">
        <is>
          <t>к-т</t>
        </is>
      </c>
      <c r="D1535" s="33" t="n"/>
      <c r="E1535" s="33" t="n"/>
      <c r="F1535" s="33">
        <f>E1535*0.05</f>
        <v/>
      </c>
      <c r="G1535" s="33">
        <f>E1535+F1535</f>
        <v/>
      </c>
      <c r="H1535" s="33" t="n"/>
      <c r="I1535" s="33" t="n"/>
      <c r="J1535" s="33" t="n"/>
      <c r="K1535" s="33">
        <f>L1535+M1535+N1535</f>
        <v/>
      </c>
      <c r="L1535" s="33" t="n"/>
      <c r="M1535" s="33" t="n"/>
      <c r="N1535" s="33" t="n"/>
      <c r="O1535" s="33">
        <f>P1535+Q1535</f>
        <v/>
      </c>
      <c r="P1535" s="33" t="n"/>
      <c r="Q1535" s="33" t="n"/>
      <c r="R1535" s="33">
        <f>H1535+K1535-O1535</f>
        <v/>
      </c>
      <c r="S1535" s="33" t="n"/>
      <c r="T1535" s="33" t="n"/>
      <c r="U1535" s="33" t="n"/>
      <c r="V1535" s="33" t="n"/>
      <c r="W1535" s="33" t="n"/>
      <c r="X1535" s="33" t="n"/>
      <c r="Y1535" s="33" t="n"/>
      <c r="Z1535" s="33" t="n"/>
      <c r="AA1535" s="4">
        <f>R1535-G1535</f>
        <v/>
      </c>
      <c r="AB1535" s="4">
        <f>G1535-R1535</f>
        <v/>
      </c>
      <c r="AC1535" s="33" t="n"/>
    </row>
    <row r="1536" ht="18.75" customHeight="1">
      <c r="A1536" s="35">
        <f>SUBTOTAL(103,$B$24:B1536)</f>
        <v/>
      </c>
      <c r="B1536" s="36" t="inlineStr">
        <is>
          <t>Посудомийна машина "Bosch"</t>
        </is>
      </c>
      <c r="C1536" s="37" t="inlineStr">
        <is>
          <t>к-т</t>
        </is>
      </c>
      <c r="D1536" s="33" t="n"/>
      <c r="E1536" s="33" t="n"/>
      <c r="F1536" s="33">
        <f>E1536*0.05</f>
        <v/>
      </c>
      <c r="G1536" s="33">
        <f>E1536+F1536</f>
        <v/>
      </c>
      <c r="H1536" s="33" t="n"/>
      <c r="I1536" s="33" t="n"/>
      <c r="J1536" s="33" t="n"/>
      <c r="K1536" s="33">
        <f>L1536+M1536+N1536</f>
        <v/>
      </c>
      <c r="L1536" s="33" t="n"/>
      <c r="M1536" s="33" t="n"/>
      <c r="N1536" s="33" t="n"/>
      <c r="O1536" s="33">
        <f>P1536+Q1536</f>
        <v/>
      </c>
      <c r="P1536" s="33" t="n"/>
      <c r="Q1536" s="33" t="n"/>
      <c r="R1536" s="33">
        <f>H1536+K1536-O1536</f>
        <v/>
      </c>
      <c r="S1536" s="33" t="n"/>
      <c r="T1536" s="33" t="n"/>
      <c r="U1536" s="33" t="n"/>
      <c r="V1536" s="33" t="n"/>
      <c r="W1536" s="33" t="n"/>
      <c r="X1536" s="33" t="n"/>
      <c r="Y1536" s="33" t="n"/>
      <c r="Z1536" s="33" t="n"/>
      <c r="AA1536" s="4">
        <f>R1536-G1536</f>
        <v/>
      </c>
      <c r="AB1536" s="4">
        <f>G1536-R1536</f>
        <v/>
      </c>
      <c r="AC1536" s="33" t="n"/>
    </row>
    <row r="1537" ht="18.75" customHeight="1">
      <c r="A1537" s="35">
        <f>SUBTOTAL(103,$B$24:B1537)</f>
        <v/>
      </c>
      <c r="B1537" s="36" t="inlineStr">
        <is>
          <t>Посудомийна машина BEKO</t>
        </is>
      </c>
      <c r="C1537" s="37" t="inlineStr">
        <is>
          <t>к-т</t>
        </is>
      </c>
      <c r="D1537" s="33" t="n"/>
      <c r="E1537" s="33" t="n"/>
      <c r="F1537" s="33">
        <f>E1537*0.05</f>
        <v/>
      </c>
      <c r="G1537" s="33">
        <f>E1537+F1537</f>
        <v/>
      </c>
      <c r="H1537" s="33" t="n"/>
      <c r="I1537" s="33" t="n"/>
      <c r="J1537" s="33" t="n"/>
      <c r="K1537" s="33">
        <f>L1537+M1537+N1537</f>
        <v/>
      </c>
      <c r="L1537" s="33" t="n"/>
      <c r="M1537" s="33" t="n"/>
      <c r="N1537" s="33" t="n"/>
      <c r="O1537" s="33">
        <f>P1537+Q1537</f>
        <v/>
      </c>
      <c r="P1537" s="33" t="n"/>
      <c r="Q1537" s="33" t="n"/>
      <c r="R1537" s="33">
        <f>H1537+K1537-O1537</f>
        <v/>
      </c>
      <c r="S1537" s="33" t="n"/>
      <c r="T1537" s="33" t="n"/>
      <c r="U1537" s="33" t="n"/>
      <c r="V1537" s="33" t="n"/>
      <c r="W1537" s="33" t="n"/>
      <c r="X1537" s="33" t="n"/>
      <c r="Y1537" s="33" t="n"/>
      <c r="Z1537" s="33" t="n"/>
      <c r="AA1537" s="4">
        <f>R1537-G1537</f>
        <v/>
      </c>
      <c r="AB1537" s="4">
        <f>G1537-R1537</f>
        <v/>
      </c>
      <c r="AC1537" s="33" t="n"/>
    </row>
    <row r="1538" ht="18.75" customHeight="1">
      <c r="A1538" s="35">
        <f>SUBTOTAL(103,$B$24:B1538)</f>
        <v/>
      </c>
      <c r="B1538" s="36" t="inlineStr">
        <is>
          <t>Посудомийна машина APACH</t>
        </is>
      </c>
      <c r="C1538" s="37" t="inlineStr">
        <is>
          <t>к-т</t>
        </is>
      </c>
      <c r="D1538" s="33" t="n"/>
      <c r="E1538" s="33" t="n"/>
      <c r="F1538" s="33">
        <f>E1538*0.05</f>
        <v/>
      </c>
      <c r="G1538" s="33">
        <f>E1538+F1538</f>
        <v/>
      </c>
      <c r="H1538" s="33" t="n"/>
      <c r="I1538" s="33" t="n"/>
      <c r="J1538" s="33" t="n"/>
      <c r="K1538" s="33">
        <f>L1538+M1538+N1538</f>
        <v/>
      </c>
      <c r="L1538" s="33" t="n"/>
      <c r="M1538" s="33" t="n"/>
      <c r="N1538" s="33" t="n"/>
      <c r="O1538" s="33">
        <f>P1538+Q1538</f>
        <v/>
      </c>
      <c r="P1538" s="33" t="n"/>
      <c r="Q1538" s="33" t="n"/>
      <c r="R1538" s="33">
        <f>H1538+K1538-O1538</f>
        <v/>
      </c>
      <c r="S1538" s="33" t="n"/>
      <c r="T1538" s="33" t="n"/>
      <c r="U1538" s="33" t="n"/>
      <c r="V1538" s="33" t="n"/>
      <c r="W1538" s="33" t="n"/>
      <c r="X1538" s="33" t="n"/>
      <c r="Y1538" s="33" t="n"/>
      <c r="Z1538" s="33" t="n"/>
      <c r="AA1538" s="4">
        <f>R1538-G1538</f>
        <v/>
      </c>
      <c r="AB1538" s="4">
        <f>G1538-R1538</f>
        <v/>
      </c>
      <c r="AC1538" s="33" t="n"/>
    </row>
    <row r="1539" ht="18.75" customHeight="1">
      <c r="A1539" s="35">
        <f>SUBTOTAL(103,$B$24:B1539)</f>
        <v/>
      </c>
      <c r="B1539" s="36" t="inlineStr">
        <is>
          <t>Посудомийна машина АФ-500 ДД</t>
        </is>
      </c>
      <c r="C1539" s="37" t="inlineStr">
        <is>
          <t>к-т</t>
        </is>
      </c>
      <c r="D1539" s="33" t="n"/>
      <c r="E1539" s="33" t="n"/>
      <c r="F1539" s="33">
        <f>E1539*0.05</f>
        <v/>
      </c>
      <c r="G1539" s="33">
        <f>E1539+F1539</f>
        <v/>
      </c>
      <c r="H1539" s="33" t="n"/>
      <c r="I1539" s="33" t="n"/>
      <c r="J1539" s="33" t="n"/>
      <c r="K1539" s="33">
        <f>L1539+M1539+N1539</f>
        <v/>
      </c>
      <c r="L1539" s="33" t="n"/>
      <c r="M1539" s="33" t="n"/>
      <c r="N1539" s="33" t="n"/>
      <c r="O1539" s="33">
        <f>P1539+Q1539</f>
        <v/>
      </c>
      <c r="P1539" s="33" t="n"/>
      <c r="Q1539" s="33" t="n"/>
      <c r="R1539" s="33">
        <f>H1539+K1539-O1539</f>
        <v/>
      </c>
      <c r="S1539" s="33" t="n"/>
      <c r="T1539" s="33" t="n"/>
      <c r="U1539" s="33" t="n"/>
      <c r="V1539" s="33" t="n"/>
      <c r="W1539" s="33" t="n"/>
      <c r="X1539" s="33" t="n"/>
      <c r="Y1539" s="33" t="n"/>
      <c r="Z1539" s="33" t="n"/>
      <c r="AA1539" s="4">
        <f>R1539-G1539</f>
        <v/>
      </c>
      <c r="AB1539" s="4">
        <f>G1539-R1539</f>
        <v/>
      </c>
      <c r="AC1539" s="33" t="n"/>
    </row>
    <row r="1540" ht="18.75" customHeight="1">
      <c r="A1540" s="35">
        <f>SUBTOTAL(103,$B$24:B1540)</f>
        <v/>
      </c>
      <c r="B1540" s="36" t="inlineStr">
        <is>
          <t>Посудомийна машина AF-50 DD</t>
        </is>
      </c>
      <c r="C1540" s="37" t="inlineStr">
        <is>
          <t>к-т</t>
        </is>
      </c>
      <c r="D1540" s="33" t="n"/>
      <c r="E1540" s="33" t="n"/>
      <c r="F1540" s="33">
        <f>E1540*0.05</f>
        <v/>
      </c>
      <c r="G1540" s="33">
        <f>E1540+F1540</f>
        <v/>
      </c>
      <c r="H1540" s="33" t="n"/>
      <c r="I1540" s="33" t="n"/>
      <c r="J1540" s="33" t="n"/>
      <c r="K1540" s="33">
        <f>L1540+M1540+N1540</f>
        <v/>
      </c>
      <c r="L1540" s="33" t="n"/>
      <c r="M1540" s="33" t="n"/>
      <c r="N1540" s="33" t="n"/>
      <c r="O1540" s="33">
        <f>P1540+Q1540</f>
        <v/>
      </c>
      <c r="P1540" s="33" t="n"/>
      <c r="Q1540" s="33" t="n"/>
      <c r="R1540" s="33">
        <f>H1540+K1540-O1540</f>
        <v/>
      </c>
      <c r="S1540" s="33" t="n"/>
      <c r="T1540" s="33" t="n"/>
      <c r="U1540" s="33" t="n"/>
      <c r="V1540" s="33" t="n"/>
      <c r="W1540" s="33" t="n"/>
      <c r="X1540" s="33" t="n"/>
      <c r="Y1540" s="33" t="n"/>
      <c r="Z1540" s="33" t="n"/>
      <c r="AA1540" s="4">
        <f>R1540-G1540</f>
        <v/>
      </c>
      <c r="AB1540" s="4">
        <f>G1540-R1540</f>
        <v/>
      </c>
      <c r="AC1540" s="33" t="n"/>
    </row>
    <row r="1541" ht="18.75" customHeight="1">
      <c r="A1541" s="35">
        <f>SUBTOTAL(103,$B$24:B1541)</f>
        <v/>
      </c>
      <c r="B1541" s="36" t="inlineStr">
        <is>
          <t>Посудомийна машина Фагор</t>
        </is>
      </c>
      <c r="C1541" s="37" t="inlineStr">
        <is>
          <t>к-т</t>
        </is>
      </c>
      <c r="D1541" s="33" t="n"/>
      <c r="E1541" s="33" t="n"/>
      <c r="F1541" s="33">
        <f>E1541*0.05</f>
        <v/>
      </c>
      <c r="G1541" s="33">
        <f>E1541+F1541</f>
        <v/>
      </c>
      <c r="H1541" s="33" t="n"/>
      <c r="I1541" s="33" t="n"/>
      <c r="J1541" s="33" t="n"/>
      <c r="K1541" s="33">
        <f>L1541+M1541+N1541</f>
        <v/>
      </c>
      <c r="L1541" s="33" t="n"/>
      <c r="M1541" s="33" t="n"/>
      <c r="N1541" s="33" t="n"/>
      <c r="O1541" s="33">
        <f>P1541+Q1541</f>
        <v/>
      </c>
      <c r="P1541" s="33" t="n"/>
      <c r="Q1541" s="33" t="n"/>
      <c r="R1541" s="33">
        <f>H1541+K1541-O1541</f>
        <v/>
      </c>
      <c r="S1541" s="33" t="n"/>
      <c r="T1541" s="33" t="n"/>
      <c r="U1541" s="33" t="n"/>
      <c r="V1541" s="33" t="n"/>
      <c r="W1541" s="33" t="n"/>
      <c r="X1541" s="33" t="n"/>
      <c r="Y1541" s="33" t="n"/>
      <c r="Z1541" s="33" t="n"/>
      <c r="AA1541" s="4">
        <f>R1541-G1541</f>
        <v/>
      </c>
      <c r="AB1541" s="4">
        <f>G1541-R1541</f>
        <v/>
      </c>
      <c r="AC1541" s="33" t="n"/>
    </row>
    <row r="1542" ht="18.75" customHeight="1">
      <c r="A1542" s="35">
        <f>SUBTOTAL(103,$B$24:B1542)</f>
        <v/>
      </c>
      <c r="B1542" s="36" t="inlineStr">
        <is>
          <t xml:space="preserve">Машина посудомийна інші </t>
        </is>
      </c>
      <c r="C1542" s="37" t="inlineStr">
        <is>
          <t>к-т</t>
        </is>
      </c>
      <c r="D1542" s="33" t="n"/>
      <c r="E1542" s="33" t="n"/>
      <c r="F1542" s="33">
        <f>E1542*0.05</f>
        <v/>
      </c>
      <c r="G1542" s="33">
        <f>E1542+F1542</f>
        <v/>
      </c>
      <c r="H1542" s="33" t="n"/>
      <c r="I1542" s="33" t="n"/>
      <c r="J1542" s="33" t="n"/>
      <c r="K1542" s="33">
        <f>L1542+M1542+N1542</f>
        <v/>
      </c>
      <c r="L1542" s="33" t="n"/>
      <c r="M1542" s="33" t="n"/>
      <c r="N1542" s="33" t="n"/>
      <c r="O1542" s="33">
        <f>P1542+Q1542</f>
        <v/>
      </c>
      <c r="P1542" s="33" t="n"/>
      <c r="Q1542" s="33" t="n"/>
      <c r="R1542" s="33">
        <f>H1542+K1542-O1542</f>
        <v/>
      </c>
      <c r="S1542" s="33" t="n"/>
      <c r="T1542" s="33" t="n"/>
      <c r="U1542" s="33" t="n"/>
      <c r="V1542" s="33" t="n"/>
      <c r="W1542" s="33" t="n"/>
      <c r="X1542" s="33" t="n"/>
      <c r="Y1542" s="33" t="n"/>
      <c r="Z1542" s="33" t="n"/>
      <c r="AA1542" s="4">
        <f>R1542-G1542</f>
        <v/>
      </c>
      <c r="AB1542" s="4">
        <f>G1542-R1542</f>
        <v/>
      </c>
      <c r="AC1542" s="33" t="n"/>
    </row>
    <row r="1543" ht="18.75" customHeight="1">
      <c r="A1543" s="35">
        <f>SUBTOTAL(103,$B$24:B1543)</f>
        <v/>
      </c>
      <c r="B1543" s="39" t="inlineStr">
        <is>
          <t>ДИСПЕНСЕРИ</t>
        </is>
      </c>
      <c r="C1543" s="37" t="n"/>
      <c r="D1543" s="33" t="n"/>
      <c r="E1543" s="33" t="n"/>
      <c r="F1543" s="33">
        <f>E1543*0.05</f>
        <v/>
      </c>
      <c r="G1543" s="33">
        <f>E1543+F1543</f>
        <v/>
      </c>
      <c r="H1543" s="33" t="n"/>
      <c r="I1543" s="33" t="n"/>
      <c r="J1543" s="33" t="n"/>
      <c r="K1543" s="33">
        <f>L1543+M1543+N1543</f>
        <v/>
      </c>
      <c r="L1543" s="33" t="n"/>
      <c r="M1543" s="33" t="n"/>
      <c r="N1543" s="33" t="n"/>
      <c r="O1543" s="33">
        <f>P1543+Q1543</f>
        <v/>
      </c>
      <c r="P1543" s="33" t="n"/>
      <c r="Q1543" s="33" t="n"/>
      <c r="R1543" s="33">
        <f>H1543+K1543-O1543</f>
        <v/>
      </c>
      <c r="S1543" s="33" t="n"/>
      <c r="T1543" s="33" t="n"/>
      <c r="U1543" s="33" t="n"/>
      <c r="V1543" s="33" t="n"/>
      <c r="W1543" s="33" t="n"/>
      <c r="X1543" s="33" t="n"/>
      <c r="Y1543" s="33" t="n"/>
      <c r="Z1543" s="33" t="n"/>
      <c r="AA1543" s="4">
        <f>R1543-G1543</f>
        <v/>
      </c>
      <c r="AB1543" s="4">
        <f>G1543-R1543</f>
        <v/>
      </c>
      <c r="AC1543" s="33" t="n"/>
    </row>
    <row r="1544" ht="18.75" customHeight="1">
      <c r="A1544" s="35">
        <f>SUBTOTAL(103,$B$24:B1544)</f>
        <v/>
      </c>
      <c r="B1544" s="36" t="inlineStr">
        <is>
          <t>Диспенсер для соку</t>
        </is>
      </c>
      <c r="C1544" s="37" t="inlineStr">
        <is>
          <t>к-т</t>
        </is>
      </c>
      <c r="D1544" s="33" t="n"/>
      <c r="E1544" s="33" t="n"/>
      <c r="F1544" s="33">
        <f>E1544*0.05</f>
        <v/>
      </c>
      <c r="G1544" s="33">
        <f>E1544+F1544</f>
        <v/>
      </c>
      <c r="H1544" s="33" t="n"/>
      <c r="I1544" s="33" t="n"/>
      <c r="J1544" s="33" t="n"/>
      <c r="K1544" s="33">
        <f>L1544+M1544+N1544</f>
        <v/>
      </c>
      <c r="L1544" s="33" t="n"/>
      <c r="M1544" s="33" t="n"/>
      <c r="N1544" s="33" t="n"/>
      <c r="O1544" s="33">
        <f>P1544+Q1544</f>
        <v/>
      </c>
      <c r="P1544" s="33" t="n"/>
      <c r="Q1544" s="33" t="n"/>
      <c r="R1544" s="33">
        <f>H1544+K1544-O1544</f>
        <v/>
      </c>
      <c r="S1544" s="33" t="n"/>
      <c r="T1544" s="33" t="n"/>
      <c r="U1544" s="33" t="n"/>
      <c r="V1544" s="33" t="n"/>
      <c r="W1544" s="33" t="n"/>
      <c r="X1544" s="33" t="n"/>
      <c r="Y1544" s="33" t="n"/>
      <c r="Z1544" s="33" t="n"/>
      <c r="AA1544" s="4">
        <f>R1544-G1544</f>
        <v/>
      </c>
      <c r="AB1544" s="4">
        <f>G1544-R1544</f>
        <v/>
      </c>
      <c r="AC1544" s="33" t="n"/>
    </row>
    <row r="1545" ht="18.75" customHeight="1">
      <c r="A1545" s="35">
        <f>SUBTOTAL(103,$B$24:B1545)</f>
        <v/>
      </c>
      <c r="B1545" s="36" t="inlineStr">
        <is>
          <t>Диспенсер для соку GGM SSNC54L</t>
        </is>
      </c>
      <c r="C1545" s="37" t="inlineStr">
        <is>
          <t>к-т</t>
        </is>
      </c>
      <c r="D1545" s="33" t="n"/>
      <c r="E1545" s="33" t="n"/>
      <c r="F1545" s="33">
        <f>E1545*0.05</f>
        <v/>
      </c>
      <c r="G1545" s="33">
        <f>E1545+F1545</f>
        <v/>
      </c>
      <c r="H1545" s="33" t="n"/>
      <c r="I1545" s="33" t="n"/>
      <c r="J1545" s="33" t="n"/>
      <c r="K1545" s="33">
        <f>L1545+M1545+N1545</f>
        <v/>
      </c>
      <c r="L1545" s="33" t="n"/>
      <c r="M1545" s="33" t="n"/>
      <c r="N1545" s="33" t="n"/>
      <c r="O1545" s="33">
        <f>P1545+Q1545</f>
        <v/>
      </c>
      <c r="P1545" s="33" t="n"/>
      <c r="Q1545" s="33" t="n"/>
      <c r="R1545" s="33">
        <f>H1545+K1545-O1545</f>
        <v/>
      </c>
      <c r="S1545" s="33" t="n"/>
      <c r="T1545" s="33" t="n"/>
      <c r="U1545" s="33" t="n"/>
      <c r="V1545" s="33" t="n"/>
      <c r="W1545" s="33" t="n"/>
      <c r="X1545" s="33" t="n"/>
      <c r="Y1545" s="33" t="n"/>
      <c r="Z1545" s="33" t="n"/>
      <c r="AA1545" s="4">
        <f>R1545-G1545</f>
        <v/>
      </c>
      <c r="AB1545" s="4">
        <f>G1545-R1545</f>
        <v/>
      </c>
      <c r="AC1545" s="33" t="n"/>
    </row>
    <row r="1546" ht="18.75" customHeight="1">
      <c r="A1546" s="35">
        <f>SUBTOTAL(103,$B$24:B1546)</f>
        <v/>
      </c>
      <c r="B1546" s="36" t="inlineStr">
        <is>
          <t>Диспенсер для соку JD-163A</t>
        </is>
      </c>
      <c r="C1546" s="37" t="inlineStr">
        <is>
          <t>к-т</t>
        </is>
      </c>
      <c r="D1546" s="33" t="n"/>
      <c r="E1546" s="33" t="n"/>
      <c r="F1546" s="33">
        <f>E1546*0.05</f>
        <v/>
      </c>
      <c r="G1546" s="33">
        <f>E1546+F1546</f>
        <v/>
      </c>
      <c r="H1546" s="33" t="n"/>
      <c r="I1546" s="33" t="n"/>
      <c r="J1546" s="33" t="n"/>
      <c r="K1546" s="33">
        <f>L1546+M1546+N1546</f>
        <v/>
      </c>
      <c r="L1546" s="33" t="n"/>
      <c r="M1546" s="33" t="n"/>
      <c r="N1546" s="33" t="n"/>
      <c r="O1546" s="33">
        <f>P1546+Q1546</f>
        <v/>
      </c>
      <c r="P1546" s="33" t="n"/>
      <c r="Q1546" s="33" t="n"/>
      <c r="R1546" s="33">
        <f>H1546+K1546-O1546</f>
        <v/>
      </c>
      <c r="S1546" s="33" t="n"/>
      <c r="T1546" s="33" t="n"/>
      <c r="U1546" s="33" t="n"/>
      <c r="V1546" s="33" t="n"/>
      <c r="W1546" s="33" t="n"/>
      <c r="X1546" s="33" t="n"/>
      <c r="Y1546" s="33" t="n"/>
      <c r="Z1546" s="33" t="n"/>
      <c r="AA1546" s="4">
        <f>R1546-G1546</f>
        <v/>
      </c>
      <c r="AB1546" s="4">
        <f>G1546-R1546</f>
        <v/>
      </c>
      <c r="AC1546" s="33" t="n"/>
    </row>
    <row r="1547" ht="18.75" customHeight="1">
      <c r="A1547" s="35">
        <f>SUBTOTAL(103,$B$24:B1547)</f>
        <v/>
      </c>
      <c r="B1547" s="36" t="inlineStr">
        <is>
          <t>Диспенсер для води</t>
        </is>
      </c>
      <c r="C1547" s="37" t="inlineStr">
        <is>
          <t>к-т</t>
        </is>
      </c>
      <c r="D1547" s="33" t="n"/>
      <c r="E1547" s="33" t="n"/>
      <c r="F1547" s="33">
        <f>E1547*0.05</f>
        <v/>
      </c>
      <c r="G1547" s="33">
        <f>E1547+F1547</f>
        <v/>
      </c>
      <c r="H1547" s="33" t="n"/>
      <c r="I1547" s="33" t="n"/>
      <c r="J1547" s="33" t="n"/>
      <c r="K1547" s="33">
        <f>L1547+M1547+N1547</f>
        <v/>
      </c>
      <c r="L1547" s="33" t="n"/>
      <c r="M1547" s="33" t="n"/>
      <c r="N1547" s="33" t="n"/>
      <c r="O1547" s="33">
        <f>P1547+Q1547</f>
        <v/>
      </c>
      <c r="P1547" s="33" t="n"/>
      <c r="Q1547" s="33" t="n"/>
      <c r="R1547" s="33">
        <f>H1547+K1547-O1547</f>
        <v/>
      </c>
      <c r="S1547" s="33" t="n"/>
      <c r="T1547" s="33" t="n"/>
      <c r="U1547" s="33" t="n"/>
      <c r="V1547" s="33" t="n"/>
      <c r="W1547" s="33" t="n"/>
      <c r="X1547" s="33" t="n"/>
      <c r="Y1547" s="33" t="n"/>
      <c r="Z1547" s="33" t="n"/>
      <c r="AA1547" s="4">
        <f>R1547-G1547</f>
        <v/>
      </c>
      <c r="AB1547" s="4">
        <f>G1547-R1547</f>
        <v/>
      </c>
      <c r="AC1547" s="33" t="n"/>
    </row>
    <row r="1548" ht="18.75" customHeight="1">
      <c r="A1548" s="35">
        <f>SUBTOTAL(103,$B$24:B1548)</f>
        <v/>
      </c>
      <c r="B1548" s="36" t="inlineStr">
        <is>
          <t>Диспенсер для кави</t>
        </is>
      </c>
      <c r="C1548" s="37" t="inlineStr">
        <is>
          <t>к-т</t>
        </is>
      </c>
      <c r="D1548" s="33" t="n"/>
      <c r="E1548" s="33" t="n"/>
      <c r="F1548" s="33">
        <f>E1548*0.05</f>
        <v/>
      </c>
      <c r="G1548" s="33">
        <f>E1548+F1548</f>
        <v/>
      </c>
      <c r="H1548" s="33" t="n"/>
      <c r="I1548" s="33" t="n"/>
      <c r="J1548" s="33" t="n"/>
      <c r="K1548" s="33">
        <f>L1548+M1548+N1548</f>
        <v/>
      </c>
      <c r="L1548" s="33" t="n"/>
      <c r="M1548" s="33" t="n"/>
      <c r="N1548" s="33" t="n"/>
      <c r="O1548" s="33">
        <f>P1548+Q1548</f>
        <v/>
      </c>
      <c r="P1548" s="33" t="n"/>
      <c r="Q1548" s="33" t="n"/>
      <c r="R1548" s="33">
        <f>H1548+K1548-O1548</f>
        <v/>
      </c>
      <c r="S1548" s="33" t="n"/>
      <c r="T1548" s="33" t="n"/>
      <c r="U1548" s="33" t="n"/>
      <c r="V1548" s="33" t="n"/>
      <c r="W1548" s="33" t="n"/>
      <c r="X1548" s="33" t="n"/>
      <c r="Y1548" s="33" t="n"/>
      <c r="Z1548" s="33" t="n"/>
      <c r="AA1548" s="4">
        <f>R1548-G1548</f>
        <v/>
      </c>
      <c r="AB1548" s="4">
        <f>G1548-R1548</f>
        <v/>
      </c>
      <c r="AC1548" s="33" t="n"/>
    </row>
    <row r="1549" ht="18.75" customHeight="1">
      <c r="A1549" s="35">
        <f>SUBTOTAL(103,$B$24:B1549)</f>
        <v/>
      </c>
      <c r="B1549" s="39" t="inlineStr">
        <is>
          <t>ЧАЙНИКИ ЕЛЕКТРИЧНІ</t>
        </is>
      </c>
      <c r="C1549" s="37" t="inlineStr">
        <is>
          <t>к-т</t>
        </is>
      </c>
      <c r="D1549" s="33" t="n"/>
      <c r="E1549" s="33" t="n"/>
      <c r="F1549" s="33">
        <f>E1549*0.05</f>
        <v/>
      </c>
      <c r="G1549" s="33">
        <f>E1549+F1549</f>
        <v/>
      </c>
      <c r="H1549" s="33" t="n"/>
      <c r="I1549" s="33" t="n"/>
      <c r="J1549" s="33" t="n"/>
      <c r="K1549" s="33">
        <f>L1549+M1549+N1549</f>
        <v/>
      </c>
      <c r="L1549" s="33" t="n"/>
      <c r="M1549" s="33" t="n"/>
      <c r="N1549" s="33" t="n"/>
      <c r="O1549" s="33">
        <f>P1549+Q1549</f>
        <v/>
      </c>
      <c r="P1549" s="33" t="n"/>
      <c r="Q1549" s="33" t="n"/>
      <c r="R1549" s="33">
        <f>H1549+K1549-O1549</f>
        <v/>
      </c>
      <c r="S1549" s="33" t="n"/>
      <c r="T1549" s="33" t="n"/>
      <c r="U1549" s="33" t="n"/>
      <c r="V1549" s="33" t="n"/>
      <c r="W1549" s="33" t="n"/>
      <c r="X1549" s="33" t="n"/>
      <c r="Y1549" s="33" t="n"/>
      <c r="Z1549" s="33" t="n"/>
      <c r="AA1549" s="4">
        <f>R1549-G1549</f>
        <v/>
      </c>
      <c r="AB1549" s="4">
        <f>G1549-R1549</f>
        <v/>
      </c>
      <c r="AC1549" s="33" t="n"/>
    </row>
    <row r="1550" ht="18.75" customHeight="1">
      <c r="A1550" s="35">
        <f>SUBTOTAL(103,$B$24:B1550)</f>
        <v/>
      </c>
      <c r="B1550" s="36" t="inlineStr">
        <is>
          <t xml:space="preserve">Самовар електричний </t>
        </is>
      </c>
      <c r="C1550" s="37" t="inlineStr">
        <is>
          <t>к-т</t>
        </is>
      </c>
      <c r="D1550" s="33" t="n"/>
      <c r="E1550" s="33" t="n"/>
      <c r="F1550" s="33">
        <f>E1550*0.05</f>
        <v/>
      </c>
      <c r="G1550" s="33">
        <f>E1550+F1550</f>
        <v/>
      </c>
      <c r="H1550" s="33" t="n"/>
      <c r="I1550" s="33" t="n"/>
      <c r="J1550" s="33" t="n"/>
      <c r="K1550" s="33">
        <f>L1550+M1550+N1550</f>
        <v/>
      </c>
      <c r="L1550" s="33" t="n"/>
      <c r="M1550" s="33" t="n"/>
      <c r="N1550" s="33" t="n"/>
      <c r="O1550" s="33">
        <f>P1550+Q1550</f>
        <v/>
      </c>
      <c r="P1550" s="33" t="n"/>
      <c r="Q1550" s="33" t="n"/>
      <c r="R1550" s="33">
        <f>H1550+K1550-O1550</f>
        <v/>
      </c>
      <c r="S1550" s="33" t="n"/>
      <c r="T1550" s="33" t="n"/>
      <c r="U1550" s="33" t="n"/>
      <c r="V1550" s="33" t="n"/>
      <c r="W1550" s="33" t="n"/>
      <c r="X1550" s="33" t="n"/>
      <c r="Y1550" s="33" t="n"/>
      <c r="Z1550" s="33" t="n"/>
      <c r="AA1550" s="4">
        <f>R1550-G1550</f>
        <v/>
      </c>
      <c r="AB1550" s="4">
        <f>G1550-R1550</f>
        <v/>
      </c>
      <c r="AC1550" s="33" t="n"/>
    </row>
    <row r="1551" ht="18.75" customHeight="1">
      <c r="A1551" s="35">
        <f>SUBTOTAL(103,$B$24:B1551)</f>
        <v/>
      </c>
      <c r="B1551" s="36" t="inlineStr">
        <is>
          <t>Електрочайник First FA5427</t>
        </is>
      </c>
      <c r="C1551" s="37" t="inlineStr">
        <is>
          <t>к-т</t>
        </is>
      </c>
      <c r="D1551" s="33" t="n"/>
      <c r="E1551" s="33" t="n"/>
      <c r="F1551" s="33">
        <f>E1551*0.05</f>
        <v/>
      </c>
      <c r="G1551" s="33">
        <f>E1551+F1551</f>
        <v/>
      </c>
      <c r="H1551" s="33" t="n"/>
      <c r="I1551" s="33" t="n"/>
      <c r="J1551" s="33" t="n"/>
      <c r="K1551" s="33">
        <f>L1551+M1551+N1551</f>
        <v/>
      </c>
      <c r="L1551" s="33" t="n"/>
      <c r="M1551" s="33" t="n"/>
      <c r="N1551" s="33" t="n"/>
      <c r="O1551" s="33">
        <f>P1551+Q1551</f>
        <v/>
      </c>
      <c r="P1551" s="33" t="n"/>
      <c r="Q1551" s="33" t="n"/>
      <c r="R1551" s="33">
        <f>H1551+K1551-O1551</f>
        <v/>
      </c>
      <c r="S1551" s="33" t="n"/>
      <c r="T1551" s="33" t="n"/>
      <c r="U1551" s="33" t="n"/>
      <c r="V1551" s="33" t="n"/>
      <c r="W1551" s="33" t="n"/>
      <c r="X1551" s="33" t="n"/>
      <c r="Y1551" s="33" t="n"/>
      <c r="Z1551" s="33" t="n"/>
      <c r="AA1551" s="4">
        <f>R1551-G1551</f>
        <v/>
      </c>
      <c r="AB1551" s="4">
        <f>G1551-R1551</f>
        <v/>
      </c>
      <c r="AC1551" s="33" t="n"/>
    </row>
    <row r="1552" ht="18.75" customHeight="1">
      <c r="A1552" s="35">
        <f>SUBTOTAL(103,$B$24:B1552)</f>
        <v/>
      </c>
      <c r="B1552" s="36" t="inlineStr">
        <is>
          <t>Чайник електричний Braun</t>
        </is>
      </c>
      <c r="C1552" s="37" t="inlineStr">
        <is>
          <t>к-т</t>
        </is>
      </c>
      <c r="D1552" s="33" t="n"/>
      <c r="E1552" s="33" t="n"/>
      <c r="F1552" s="33">
        <f>E1552*0.05</f>
        <v/>
      </c>
      <c r="G1552" s="33">
        <f>E1552+F1552</f>
        <v/>
      </c>
      <c r="H1552" s="33" t="n"/>
      <c r="I1552" s="33" t="n"/>
      <c r="J1552" s="33" t="n"/>
      <c r="K1552" s="33">
        <f>L1552+M1552+N1552</f>
        <v/>
      </c>
      <c r="L1552" s="33" t="n"/>
      <c r="M1552" s="33" t="n"/>
      <c r="N1552" s="33" t="n"/>
      <c r="O1552" s="33">
        <f>P1552+Q1552</f>
        <v/>
      </c>
      <c r="P1552" s="33" t="n"/>
      <c r="Q1552" s="33" t="n"/>
      <c r="R1552" s="33">
        <f>H1552+K1552-O1552</f>
        <v/>
      </c>
      <c r="S1552" s="33" t="n"/>
      <c r="T1552" s="33" t="n"/>
      <c r="U1552" s="33" t="n"/>
      <c r="V1552" s="33" t="n"/>
      <c r="W1552" s="33" t="n"/>
      <c r="X1552" s="33" t="n"/>
      <c r="Y1552" s="33" t="n"/>
      <c r="Z1552" s="33" t="n"/>
      <c r="AA1552" s="4">
        <f>R1552-G1552</f>
        <v/>
      </c>
      <c r="AB1552" s="4">
        <f>G1552-R1552</f>
        <v/>
      </c>
      <c r="AC1552" s="33" t="n"/>
    </row>
    <row r="1553" ht="18.75" customHeight="1">
      <c r="A1553" s="35">
        <f>SUBTOTAL(103,$B$24:B1553)</f>
        <v/>
      </c>
      <c r="B1553" s="36" t="inlineStr">
        <is>
          <t>Чайник електричний Saturn</t>
        </is>
      </c>
      <c r="C1553" s="37" t="inlineStr">
        <is>
          <t>к-т</t>
        </is>
      </c>
      <c r="D1553" s="33" t="n"/>
      <c r="E1553" s="33" t="n"/>
      <c r="F1553" s="33">
        <f>E1553*0.05</f>
        <v/>
      </c>
      <c r="G1553" s="33">
        <f>E1553+F1553</f>
        <v/>
      </c>
      <c r="H1553" s="33" t="n"/>
      <c r="I1553" s="33" t="n"/>
      <c r="J1553" s="33" t="n"/>
      <c r="K1553" s="33">
        <f>L1553+M1553+N1553</f>
        <v/>
      </c>
      <c r="L1553" s="33" t="n"/>
      <c r="M1553" s="33" t="n"/>
      <c r="N1553" s="33" t="n"/>
      <c r="O1553" s="33">
        <f>P1553+Q1553</f>
        <v/>
      </c>
      <c r="P1553" s="33" t="n"/>
      <c r="Q1553" s="33" t="n"/>
      <c r="R1553" s="33">
        <f>H1553+K1553-O1553</f>
        <v/>
      </c>
      <c r="S1553" s="33" t="n"/>
      <c r="T1553" s="33" t="n"/>
      <c r="U1553" s="33" t="n"/>
      <c r="V1553" s="33" t="n"/>
      <c r="W1553" s="33" t="n"/>
      <c r="X1553" s="33" t="n"/>
      <c r="Y1553" s="33" t="n"/>
      <c r="Z1553" s="33" t="n"/>
      <c r="AA1553" s="4">
        <f>R1553-G1553</f>
        <v/>
      </c>
      <c r="AB1553" s="4">
        <f>G1553-R1553</f>
        <v/>
      </c>
      <c r="AC1553" s="33" t="n"/>
    </row>
    <row r="1554" ht="18.75" customHeight="1">
      <c r="A1554" s="35">
        <f>SUBTOTAL(103,$B$24:B1554)</f>
        <v/>
      </c>
      <c r="B1554" s="36" t="inlineStr">
        <is>
          <t>Чайник електричний Polaris</t>
        </is>
      </c>
      <c r="C1554" s="37" t="inlineStr">
        <is>
          <t>к-т</t>
        </is>
      </c>
      <c r="D1554" s="33" t="n"/>
      <c r="E1554" s="33" t="n"/>
      <c r="F1554" s="33">
        <f>E1554*0.05</f>
        <v/>
      </c>
      <c r="G1554" s="33">
        <f>E1554+F1554</f>
        <v/>
      </c>
      <c r="H1554" s="33" t="n"/>
      <c r="I1554" s="33" t="n"/>
      <c r="J1554" s="33" t="n"/>
      <c r="K1554" s="33">
        <f>L1554+M1554+N1554</f>
        <v/>
      </c>
      <c r="L1554" s="33" t="n"/>
      <c r="M1554" s="33" t="n"/>
      <c r="N1554" s="33" t="n"/>
      <c r="O1554" s="33">
        <f>P1554+Q1554</f>
        <v/>
      </c>
      <c r="P1554" s="33" t="n"/>
      <c r="Q1554" s="33" t="n"/>
      <c r="R1554" s="33">
        <f>H1554+K1554-O1554</f>
        <v/>
      </c>
      <c r="S1554" s="33" t="n"/>
      <c r="T1554" s="33" t="n"/>
      <c r="U1554" s="33" t="n"/>
      <c r="V1554" s="33" t="n"/>
      <c r="W1554" s="33" t="n"/>
      <c r="X1554" s="33" t="n"/>
      <c r="Y1554" s="33" t="n"/>
      <c r="Z1554" s="33" t="n"/>
      <c r="AA1554" s="4">
        <f>R1554-G1554</f>
        <v/>
      </c>
      <c r="AB1554" s="4">
        <f>G1554-R1554</f>
        <v/>
      </c>
      <c r="AC1554" s="33" t="n"/>
    </row>
    <row r="1555" ht="18.75" customHeight="1">
      <c r="A1555" s="35">
        <f>SUBTOTAL(103,$B$24:B1555)</f>
        <v/>
      </c>
      <c r="B1555" s="36" t="inlineStr">
        <is>
          <t>Чайник Saturn ST-EK8425</t>
        </is>
      </c>
      <c r="C1555" s="37" t="inlineStr">
        <is>
          <t>к-т</t>
        </is>
      </c>
      <c r="D1555" s="33" t="n"/>
      <c r="E1555" s="33" t="n"/>
      <c r="F1555" s="33">
        <f>E1555*0.05</f>
        <v/>
      </c>
      <c r="G1555" s="33">
        <f>E1555+F1555</f>
        <v/>
      </c>
      <c r="H1555" s="33" t="n"/>
      <c r="I1555" s="33" t="n"/>
      <c r="J1555" s="33" t="n"/>
      <c r="K1555" s="33">
        <f>L1555+M1555+N1555</f>
        <v/>
      </c>
      <c r="L1555" s="33" t="n"/>
      <c r="M1555" s="33" t="n"/>
      <c r="N1555" s="33" t="n"/>
      <c r="O1555" s="33">
        <f>P1555+Q1555</f>
        <v/>
      </c>
      <c r="P1555" s="33" t="n"/>
      <c r="Q1555" s="33" t="n"/>
      <c r="R1555" s="33">
        <f>H1555+K1555-O1555</f>
        <v/>
      </c>
      <c r="S1555" s="33" t="n"/>
      <c r="T1555" s="33" t="n"/>
      <c r="U1555" s="33" t="n"/>
      <c r="V1555" s="33" t="n"/>
      <c r="W1555" s="33" t="n"/>
      <c r="X1555" s="33" t="n"/>
      <c r="Y1555" s="33" t="n"/>
      <c r="Z1555" s="33" t="n"/>
      <c r="AA1555" s="4">
        <f>R1555-G1555</f>
        <v/>
      </c>
      <c r="AB1555" s="4">
        <f>G1555-R1555</f>
        <v/>
      </c>
      <c r="AC1555" s="33" t="n"/>
    </row>
    <row r="1556" ht="37.5" customHeight="1">
      <c r="A1556" s="35">
        <f>SUBTOTAL(103,$B$24:B1556)</f>
        <v/>
      </c>
      <c r="B1556" s="36" t="inlineStr">
        <is>
          <t>Чайник електричний GRUNHELM EKS-1855 SC</t>
        </is>
      </c>
      <c r="C1556" s="37" t="inlineStr">
        <is>
          <t>к-т</t>
        </is>
      </c>
      <c r="D1556" s="33" t="n"/>
      <c r="E1556" s="33" t="n"/>
      <c r="F1556" s="33">
        <f>E1556*0.05</f>
        <v/>
      </c>
      <c r="G1556" s="33">
        <f>E1556+F1556</f>
        <v/>
      </c>
      <c r="H1556" s="33" t="n"/>
      <c r="I1556" s="33" t="n"/>
      <c r="J1556" s="33" t="n"/>
      <c r="K1556" s="33">
        <f>L1556+M1556+N1556</f>
        <v/>
      </c>
      <c r="L1556" s="33" t="n"/>
      <c r="M1556" s="33" t="n"/>
      <c r="N1556" s="33" t="n"/>
      <c r="O1556" s="33">
        <f>P1556+Q1556</f>
        <v/>
      </c>
      <c r="P1556" s="33" t="n"/>
      <c r="Q1556" s="33" t="n"/>
      <c r="R1556" s="33">
        <f>H1556+K1556-O1556</f>
        <v/>
      </c>
      <c r="S1556" s="33" t="n"/>
      <c r="T1556" s="33" t="n"/>
      <c r="U1556" s="33" t="n"/>
      <c r="V1556" s="33" t="n"/>
      <c r="W1556" s="33" t="n"/>
      <c r="X1556" s="33" t="n"/>
      <c r="Y1556" s="33" t="n"/>
      <c r="Z1556" s="33" t="n"/>
      <c r="AA1556" s="4">
        <f>R1556-G1556</f>
        <v/>
      </c>
      <c r="AB1556" s="4">
        <f>G1556-R1556</f>
        <v/>
      </c>
      <c r="AC1556" s="33" t="n"/>
    </row>
    <row r="1557" ht="37.5" customHeight="1">
      <c r="A1557" s="35">
        <f>SUBTOTAL(103,$B$24:B1557)</f>
        <v/>
      </c>
      <c r="B1557" s="36" t="inlineStr">
        <is>
          <t>Чайник електричний GRUNHELM EKS-1863 SW</t>
        </is>
      </c>
      <c r="C1557" s="37" t="inlineStr">
        <is>
          <t>к-т</t>
        </is>
      </c>
      <c r="D1557" s="33" t="n"/>
      <c r="E1557" s="33" t="n"/>
      <c r="F1557" s="33">
        <f>E1557*0.05</f>
        <v/>
      </c>
      <c r="G1557" s="33">
        <f>E1557+F1557</f>
        <v/>
      </c>
      <c r="H1557" s="33" t="n"/>
      <c r="I1557" s="33" t="n"/>
      <c r="J1557" s="33" t="n"/>
      <c r="K1557" s="33">
        <f>L1557+M1557+N1557</f>
        <v/>
      </c>
      <c r="L1557" s="33" t="n"/>
      <c r="M1557" s="33" t="n"/>
      <c r="N1557" s="33" t="n"/>
      <c r="O1557" s="33">
        <f>P1557+Q1557</f>
        <v/>
      </c>
      <c r="P1557" s="33" t="n"/>
      <c r="Q1557" s="33" t="n"/>
      <c r="R1557" s="33">
        <f>H1557+K1557-O1557</f>
        <v/>
      </c>
      <c r="S1557" s="33" t="n"/>
      <c r="T1557" s="33" t="n"/>
      <c r="U1557" s="33" t="n"/>
      <c r="V1557" s="33" t="n"/>
      <c r="W1557" s="33" t="n"/>
      <c r="X1557" s="33" t="n"/>
      <c r="Y1557" s="33" t="n"/>
      <c r="Z1557" s="33" t="n"/>
      <c r="AA1557" s="4">
        <f>R1557-G1557</f>
        <v/>
      </c>
      <c r="AB1557" s="4">
        <f>G1557-R1557</f>
        <v/>
      </c>
      <c r="AC1557" s="33" t="n"/>
    </row>
    <row r="1558" ht="18.75" customHeight="1">
      <c r="A1558" s="35">
        <f>SUBTOTAL(103,$B$24:B1558)</f>
        <v/>
      </c>
      <c r="B1558" s="36" t="inlineStr">
        <is>
          <t>Чайник Grunhelm EKS - 2018 (80)</t>
        </is>
      </c>
      <c r="C1558" s="37" t="inlineStr">
        <is>
          <t>шт.</t>
        </is>
      </c>
      <c r="D1558" s="33" t="n"/>
      <c r="E1558" s="33" t="n"/>
      <c r="F1558" s="33">
        <f>E1558*0.05</f>
        <v/>
      </c>
      <c r="G1558" s="33">
        <f>E1558+F1558</f>
        <v/>
      </c>
      <c r="H1558" s="33" t="n"/>
      <c r="I1558" s="33" t="n"/>
      <c r="J1558" s="33" t="n"/>
      <c r="K1558" s="33">
        <f>L1558+M1558+N1558</f>
        <v/>
      </c>
      <c r="L1558" s="33" t="n"/>
      <c r="M1558" s="33" t="n"/>
      <c r="N1558" s="33" t="n"/>
      <c r="O1558" s="33">
        <f>P1558+Q1558</f>
        <v/>
      </c>
      <c r="P1558" s="33" t="n"/>
      <c r="Q1558" s="33" t="n"/>
      <c r="R1558" s="33">
        <f>H1558+K1558-O1558</f>
        <v/>
      </c>
      <c r="S1558" s="33" t="n"/>
      <c r="T1558" s="33" t="n"/>
      <c r="U1558" s="33" t="n"/>
      <c r="V1558" s="33" t="n"/>
      <c r="W1558" s="33" t="n"/>
      <c r="X1558" s="33" t="n"/>
      <c r="Y1558" s="33" t="n"/>
      <c r="Z1558" s="33" t="n"/>
      <c r="AA1558" s="4">
        <f>R1558-G1558</f>
        <v/>
      </c>
      <c r="AB1558" s="4">
        <f>G1558-R1558</f>
        <v/>
      </c>
      <c r="AC1558" s="33" t="n"/>
    </row>
    <row r="1559" ht="18.75" customHeight="1">
      <c r="A1559" s="35">
        <f>SUBTOTAL(103,$B$24:B1559)</f>
        <v/>
      </c>
      <c r="B1559" s="36" t="inlineStr">
        <is>
          <t>Чайник електричний Tefal</t>
        </is>
      </c>
      <c r="C1559" s="37" t="inlineStr">
        <is>
          <t>шт.</t>
        </is>
      </c>
      <c r="D1559" s="33" t="n"/>
      <c r="E1559" s="33" t="n"/>
      <c r="F1559" s="33">
        <f>E1559*0.05</f>
        <v/>
      </c>
      <c r="G1559" s="33">
        <f>E1559+F1559</f>
        <v/>
      </c>
      <c r="H1559" s="33" t="n"/>
      <c r="I1559" s="33" t="n"/>
      <c r="J1559" s="33" t="n"/>
      <c r="K1559" s="33">
        <f>L1559+M1559+N1559</f>
        <v/>
      </c>
      <c r="L1559" s="33" t="n"/>
      <c r="M1559" s="33" t="n"/>
      <c r="N1559" s="33" t="n"/>
      <c r="O1559" s="33">
        <f>P1559+Q1559</f>
        <v/>
      </c>
      <c r="P1559" s="33" t="n"/>
      <c r="Q1559" s="33" t="n"/>
      <c r="R1559" s="33">
        <f>H1559+K1559-O1559</f>
        <v/>
      </c>
      <c r="S1559" s="33" t="n"/>
      <c r="T1559" s="33" t="n"/>
      <c r="U1559" s="33" t="n"/>
      <c r="V1559" s="33" t="n"/>
      <c r="W1559" s="33" t="n"/>
      <c r="X1559" s="33" t="n"/>
      <c r="Y1559" s="33" t="n"/>
      <c r="Z1559" s="33" t="n"/>
      <c r="AA1559" s="4">
        <f>R1559-G1559</f>
        <v/>
      </c>
      <c r="AB1559" s="4">
        <f>G1559-R1559</f>
        <v/>
      </c>
      <c r="AC1559" s="33" t="n"/>
    </row>
    <row r="1560" ht="18.75" customHeight="1">
      <c r="A1560" s="35">
        <f>SUBTOTAL(103,$B$24:B1560)</f>
        <v/>
      </c>
      <c r="B1560" s="36" t="inlineStr">
        <is>
          <t>Чайник електричний Tefal KO150</t>
        </is>
      </c>
      <c r="C1560" s="37" t="inlineStr">
        <is>
          <t>шт.</t>
        </is>
      </c>
      <c r="D1560" s="33" t="n"/>
      <c r="E1560" s="33" t="n"/>
      <c r="F1560" s="33">
        <f>E1560*0.05</f>
        <v/>
      </c>
      <c r="G1560" s="33">
        <f>E1560+F1560</f>
        <v/>
      </c>
      <c r="H1560" s="33" t="n"/>
      <c r="I1560" s="33" t="n"/>
      <c r="J1560" s="33" t="n"/>
      <c r="K1560" s="33">
        <f>L1560+M1560+N1560</f>
        <v/>
      </c>
      <c r="L1560" s="33" t="n"/>
      <c r="M1560" s="33" t="n"/>
      <c r="N1560" s="33" t="n"/>
      <c r="O1560" s="33">
        <f>P1560+Q1560</f>
        <v/>
      </c>
      <c r="P1560" s="33" t="n"/>
      <c r="Q1560" s="33" t="n"/>
      <c r="R1560" s="33">
        <f>H1560+K1560-O1560</f>
        <v/>
      </c>
      <c r="S1560" s="33" t="n"/>
      <c r="T1560" s="33" t="n"/>
      <c r="U1560" s="33" t="n"/>
      <c r="V1560" s="33" t="n"/>
      <c r="W1560" s="33" t="n"/>
      <c r="X1560" s="33" t="n"/>
      <c r="Y1560" s="33" t="n"/>
      <c r="Z1560" s="33" t="n"/>
      <c r="AA1560" s="4">
        <f>R1560-G1560</f>
        <v/>
      </c>
      <c r="AB1560" s="4">
        <f>G1560-R1560</f>
        <v/>
      </c>
      <c r="AC1560" s="33" t="n"/>
    </row>
    <row r="1561" ht="18.75" customHeight="1">
      <c r="A1561" s="35">
        <f>SUBTOTAL(103,$B$24:B1561)</f>
        <v/>
      </c>
      <c r="B1561" s="36" t="inlineStr">
        <is>
          <t>Чайник електричний Gorenje</t>
        </is>
      </c>
      <c r="C1561" s="37" t="inlineStr">
        <is>
          <t>к-т</t>
        </is>
      </c>
      <c r="D1561" s="33" t="n"/>
      <c r="E1561" s="33" t="n"/>
      <c r="F1561" s="33">
        <f>E1561*0.05</f>
        <v/>
      </c>
      <c r="G1561" s="33">
        <f>E1561+F1561</f>
        <v/>
      </c>
      <c r="H1561" s="33" t="n"/>
      <c r="I1561" s="33" t="n"/>
      <c r="J1561" s="33" t="n"/>
      <c r="K1561" s="33">
        <f>L1561+M1561+N1561</f>
        <v/>
      </c>
      <c r="L1561" s="33" t="n"/>
      <c r="M1561" s="33" t="n"/>
      <c r="N1561" s="33" t="n"/>
      <c r="O1561" s="33">
        <f>P1561+Q1561</f>
        <v/>
      </c>
      <c r="P1561" s="33" t="n"/>
      <c r="Q1561" s="33" t="n"/>
      <c r="R1561" s="33">
        <f>H1561+K1561-O1561</f>
        <v/>
      </c>
      <c r="S1561" s="33" t="n"/>
      <c r="T1561" s="33" t="n"/>
      <c r="U1561" s="33" t="n"/>
      <c r="V1561" s="33" t="n"/>
      <c r="W1561" s="33" t="n"/>
      <c r="X1561" s="33" t="n"/>
      <c r="Y1561" s="33" t="n"/>
      <c r="Z1561" s="33" t="n"/>
      <c r="AA1561" s="4">
        <f>R1561-G1561</f>
        <v/>
      </c>
      <c r="AB1561" s="4">
        <f>G1561-R1561</f>
        <v/>
      </c>
      <c r="AC1561" s="33" t="n"/>
    </row>
    <row r="1562" ht="18.75" customHeight="1">
      <c r="A1562" s="35">
        <f>SUBTOTAL(103,$B$24:B1562)</f>
        <v/>
      </c>
      <c r="B1562" s="36" t="inlineStr">
        <is>
          <t>Чайник електричний Gorenje K150RAB</t>
        </is>
      </c>
      <c r="C1562" s="37" t="inlineStr">
        <is>
          <t>шт.</t>
        </is>
      </c>
      <c r="D1562" s="33" t="n"/>
      <c r="E1562" s="33" t="n"/>
      <c r="F1562" s="33">
        <f>E1562*0.05</f>
        <v/>
      </c>
      <c r="G1562" s="33">
        <f>E1562+F1562</f>
        <v/>
      </c>
      <c r="H1562" s="33" t="n"/>
      <c r="I1562" s="33" t="n"/>
      <c r="J1562" s="33" t="n"/>
      <c r="K1562" s="33">
        <f>L1562+M1562+N1562</f>
        <v/>
      </c>
      <c r="L1562" s="33" t="n"/>
      <c r="M1562" s="33" t="n"/>
      <c r="N1562" s="33" t="n"/>
      <c r="O1562" s="33">
        <f>P1562+Q1562</f>
        <v/>
      </c>
      <c r="P1562" s="33" t="n"/>
      <c r="Q1562" s="33" t="n"/>
      <c r="R1562" s="33">
        <f>H1562+K1562-O1562</f>
        <v/>
      </c>
      <c r="S1562" s="33" t="n"/>
      <c r="T1562" s="33" t="n"/>
      <c r="U1562" s="33" t="n"/>
      <c r="V1562" s="33" t="n"/>
      <c r="W1562" s="33" t="n"/>
      <c r="X1562" s="33" t="n"/>
      <c r="Y1562" s="33" t="n"/>
      <c r="Z1562" s="33" t="n"/>
      <c r="AA1562" s="4">
        <f>R1562-G1562</f>
        <v/>
      </c>
      <c r="AB1562" s="4">
        <f>G1562-R1562</f>
        <v/>
      </c>
      <c r="AC1562" s="33" t="n"/>
    </row>
    <row r="1563" ht="37.5" customHeight="1">
      <c r="A1563" s="35">
        <f>SUBTOTAL(103,$B$24:B1563)</f>
        <v/>
      </c>
      <c r="B1563" s="36" t="inlineStr">
        <is>
          <t>Чайник електричний PHILIPS HD4646/70</t>
        </is>
      </c>
      <c r="C1563" s="37" t="inlineStr">
        <is>
          <t>шт.</t>
        </is>
      </c>
      <c r="D1563" s="33" t="n"/>
      <c r="E1563" s="33" t="n"/>
      <c r="F1563" s="33">
        <f>E1563*0.05</f>
        <v/>
      </c>
      <c r="G1563" s="33">
        <f>E1563+F1563</f>
        <v/>
      </c>
      <c r="H1563" s="33" t="n"/>
      <c r="I1563" s="33" t="n"/>
      <c r="J1563" s="33" t="n"/>
      <c r="K1563" s="33">
        <f>L1563+M1563+N1563</f>
        <v/>
      </c>
      <c r="L1563" s="33" t="n"/>
      <c r="M1563" s="33" t="n"/>
      <c r="N1563" s="33" t="n"/>
      <c r="O1563" s="33">
        <f>P1563+Q1563</f>
        <v/>
      </c>
      <c r="P1563" s="33" t="n"/>
      <c r="Q1563" s="33" t="n"/>
      <c r="R1563" s="33">
        <f>H1563+K1563-O1563</f>
        <v/>
      </c>
      <c r="S1563" s="33" t="n"/>
      <c r="T1563" s="33" t="n"/>
      <c r="U1563" s="33" t="n"/>
      <c r="V1563" s="33" t="n"/>
      <c r="W1563" s="33" t="n"/>
      <c r="X1563" s="33" t="n"/>
      <c r="Y1563" s="33" t="n"/>
      <c r="Z1563" s="33" t="n"/>
      <c r="AA1563" s="4">
        <f>R1563-G1563</f>
        <v/>
      </c>
      <c r="AB1563" s="4">
        <f>G1563-R1563</f>
        <v/>
      </c>
      <c r="AC1563" s="33" t="n"/>
    </row>
    <row r="1564" ht="37.5" customHeight="1">
      <c r="A1564" s="35">
        <f>SUBTOTAL(103,$B$24:B1564)</f>
        <v/>
      </c>
      <c r="B1564" s="36" t="inlineStr">
        <is>
          <t>Чайник пластиковий  PHILIPS HD9318/00</t>
        </is>
      </c>
      <c r="C1564" s="37" t="inlineStr">
        <is>
          <t>шт.</t>
        </is>
      </c>
      <c r="D1564" s="33" t="n"/>
      <c r="E1564" s="33" t="n"/>
      <c r="F1564" s="33">
        <f>E1564*0.05</f>
        <v/>
      </c>
      <c r="G1564" s="33">
        <f>E1564+F1564</f>
        <v/>
      </c>
      <c r="H1564" s="33" t="n"/>
      <c r="I1564" s="33" t="n"/>
      <c r="J1564" s="33" t="n"/>
      <c r="K1564" s="33">
        <f>L1564+M1564+N1564</f>
        <v/>
      </c>
      <c r="L1564" s="33" t="n"/>
      <c r="M1564" s="33" t="n"/>
      <c r="N1564" s="33" t="n"/>
      <c r="O1564" s="33">
        <f>P1564+Q1564</f>
        <v/>
      </c>
      <c r="P1564" s="33" t="n"/>
      <c r="Q1564" s="33" t="n"/>
      <c r="R1564" s="33">
        <f>H1564+K1564-O1564</f>
        <v/>
      </c>
      <c r="S1564" s="33" t="n"/>
      <c r="T1564" s="33" t="n"/>
      <c r="U1564" s="33" t="n"/>
      <c r="V1564" s="33" t="n"/>
      <c r="W1564" s="33" t="n"/>
      <c r="X1564" s="33" t="n"/>
      <c r="Y1564" s="33" t="n"/>
      <c r="Z1564" s="33" t="n"/>
      <c r="AA1564" s="4">
        <f>R1564-G1564</f>
        <v/>
      </c>
      <c r="AB1564" s="4">
        <f>G1564-R1564</f>
        <v/>
      </c>
      <c r="AC1564" s="33" t="n"/>
    </row>
    <row r="1565" ht="18.75" customHeight="1">
      <c r="A1565" s="35">
        <f>SUBTOTAL(103,$B$24:B1565)</f>
        <v/>
      </c>
      <c r="B1565" s="36" t="inlineStr">
        <is>
          <t>Чайник металевий PHILIPS HD9350/91</t>
        </is>
      </c>
      <c r="C1565" s="37" t="inlineStr">
        <is>
          <t>шт.</t>
        </is>
      </c>
      <c r="D1565" s="33" t="n"/>
      <c r="E1565" s="33" t="n"/>
      <c r="F1565" s="33">
        <f>E1565*0.05</f>
        <v/>
      </c>
      <c r="G1565" s="33">
        <f>E1565+F1565</f>
        <v/>
      </c>
      <c r="H1565" s="33" t="n"/>
      <c r="I1565" s="33" t="n"/>
      <c r="J1565" s="33" t="n"/>
      <c r="K1565" s="33">
        <f>L1565+M1565+N1565</f>
        <v/>
      </c>
      <c r="L1565" s="33" t="n"/>
      <c r="M1565" s="33" t="n"/>
      <c r="N1565" s="33" t="n"/>
      <c r="O1565" s="33">
        <f>P1565+Q1565</f>
        <v/>
      </c>
      <c r="P1565" s="33" t="n"/>
      <c r="Q1565" s="33" t="n"/>
      <c r="R1565" s="33">
        <f>H1565+K1565-O1565</f>
        <v/>
      </c>
      <c r="S1565" s="33" t="n"/>
      <c r="T1565" s="33" t="n"/>
      <c r="U1565" s="33" t="n"/>
      <c r="V1565" s="33" t="n"/>
      <c r="W1565" s="33" t="n"/>
      <c r="X1565" s="33" t="n"/>
      <c r="Y1565" s="33" t="n"/>
      <c r="Z1565" s="33" t="n"/>
      <c r="AA1565" s="4">
        <f>R1565-G1565</f>
        <v/>
      </c>
      <c r="AB1565" s="4">
        <f>G1565-R1565</f>
        <v/>
      </c>
      <c r="AC1565" s="33" t="n"/>
    </row>
    <row r="1566" ht="37.5" customHeight="1">
      <c r="A1566" s="35">
        <f>SUBTOTAL(103,$B$24:B1566)</f>
        <v/>
      </c>
      <c r="B1566" s="36" t="inlineStr">
        <is>
          <t>Чайник металевий WATER HOUSE EK1792</t>
        </is>
      </c>
      <c r="C1566" s="37" t="inlineStr">
        <is>
          <t>шт.</t>
        </is>
      </c>
      <c r="D1566" s="33" t="n"/>
      <c r="E1566" s="33" t="n"/>
      <c r="F1566" s="33">
        <f>E1566*0.05</f>
        <v/>
      </c>
      <c r="G1566" s="33">
        <f>E1566+F1566</f>
        <v/>
      </c>
      <c r="H1566" s="33" t="n"/>
      <c r="I1566" s="33" t="n"/>
      <c r="J1566" s="33" t="n"/>
      <c r="K1566" s="33">
        <f>L1566+M1566+N1566</f>
        <v/>
      </c>
      <c r="L1566" s="33" t="n"/>
      <c r="M1566" s="33" t="n"/>
      <c r="N1566" s="33" t="n"/>
      <c r="O1566" s="33">
        <f>P1566+Q1566</f>
        <v/>
      </c>
      <c r="P1566" s="33" t="n"/>
      <c r="Q1566" s="33" t="n"/>
      <c r="R1566" s="33">
        <f>H1566+K1566-O1566</f>
        <v/>
      </c>
      <c r="S1566" s="33" t="n"/>
      <c r="T1566" s="33" t="n"/>
      <c r="U1566" s="33" t="n"/>
      <c r="V1566" s="33" t="n"/>
      <c r="W1566" s="33" t="n"/>
      <c r="X1566" s="33" t="n"/>
      <c r="Y1566" s="33" t="n"/>
      <c r="Z1566" s="33" t="n"/>
      <c r="AA1566" s="4">
        <f>R1566-G1566</f>
        <v/>
      </c>
      <c r="AB1566" s="4">
        <f>G1566-R1566</f>
        <v/>
      </c>
      <c r="AC1566" s="33" t="n"/>
    </row>
    <row r="1567" ht="18.75" customHeight="1">
      <c r="A1567" s="35">
        <f>SUBTOTAL(103,$B$24:B1567)</f>
        <v/>
      </c>
      <c r="B1567" s="36" t="inlineStr">
        <is>
          <t>Чайник металевий ASTOR</t>
        </is>
      </c>
      <c r="C1567" s="37" t="inlineStr">
        <is>
          <t>шт.</t>
        </is>
      </c>
      <c r="D1567" s="33" t="n"/>
      <c r="E1567" s="33" t="n"/>
      <c r="F1567" s="33">
        <f>E1567*0.05</f>
        <v/>
      </c>
      <c r="G1567" s="33">
        <f>E1567+F1567</f>
        <v/>
      </c>
      <c r="H1567" s="33" t="n"/>
      <c r="I1567" s="33" t="n"/>
      <c r="J1567" s="33" t="n"/>
      <c r="K1567" s="33">
        <f>L1567+M1567+N1567</f>
        <v/>
      </c>
      <c r="L1567" s="33" t="n"/>
      <c r="M1567" s="33" t="n"/>
      <c r="N1567" s="33" t="n"/>
      <c r="O1567" s="33">
        <f>P1567+Q1567</f>
        <v/>
      </c>
      <c r="P1567" s="33" t="n"/>
      <c r="Q1567" s="33" t="n"/>
      <c r="R1567" s="33">
        <f>H1567+K1567-O1567</f>
        <v/>
      </c>
      <c r="S1567" s="33" t="n"/>
      <c r="T1567" s="33" t="n"/>
      <c r="U1567" s="33" t="n"/>
      <c r="V1567" s="33" t="n"/>
      <c r="W1567" s="33" t="n"/>
      <c r="X1567" s="33" t="n"/>
      <c r="Y1567" s="33" t="n"/>
      <c r="Z1567" s="33" t="n"/>
      <c r="AA1567" s="4">
        <f>R1567-G1567</f>
        <v/>
      </c>
      <c r="AB1567" s="4">
        <f>G1567-R1567</f>
        <v/>
      </c>
      <c r="AC1567" s="33" t="n"/>
    </row>
    <row r="1568" ht="18.75" customHeight="1">
      <c r="A1568" s="35">
        <f>SUBTOTAL(103,$B$24:B1568)</f>
        <v/>
      </c>
      <c r="B1568" s="36" t="inlineStr">
        <is>
          <t>Чайник електричний Zelmer ZCK 0274S</t>
        </is>
      </c>
      <c r="C1568" s="37" t="inlineStr">
        <is>
          <t>шт.</t>
        </is>
      </c>
      <c r="D1568" s="33" t="n"/>
      <c r="E1568" s="33" t="n"/>
      <c r="F1568" s="33">
        <f>E1568*0.05</f>
        <v/>
      </c>
      <c r="G1568" s="33">
        <f>E1568+F1568</f>
        <v/>
      </c>
      <c r="H1568" s="33" t="n"/>
      <c r="I1568" s="33" t="n"/>
      <c r="J1568" s="33" t="n"/>
      <c r="K1568" s="33">
        <f>L1568+M1568+N1568</f>
        <v/>
      </c>
      <c r="L1568" s="33" t="n"/>
      <c r="M1568" s="33" t="n"/>
      <c r="N1568" s="33" t="n"/>
      <c r="O1568" s="33">
        <f>P1568+Q1568</f>
        <v/>
      </c>
      <c r="P1568" s="33" t="n"/>
      <c r="Q1568" s="33" t="n"/>
      <c r="R1568" s="33">
        <f>H1568+K1568-O1568</f>
        <v/>
      </c>
      <c r="S1568" s="33" t="n"/>
      <c r="T1568" s="33" t="n"/>
      <c r="U1568" s="33" t="n"/>
      <c r="V1568" s="33" t="n"/>
      <c r="W1568" s="33" t="n"/>
      <c r="X1568" s="33" t="n"/>
      <c r="Y1568" s="33" t="n"/>
      <c r="Z1568" s="33" t="n"/>
      <c r="AA1568" s="4">
        <f>R1568-G1568</f>
        <v/>
      </c>
      <c r="AB1568" s="4">
        <f>G1568-R1568</f>
        <v/>
      </c>
      <c r="AC1568" s="33" t="n"/>
    </row>
    <row r="1569" ht="18.75" customHeight="1">
      <c r="A1569" s="35">
        <f>SUBTOTAL(103,$B$24:B1569)</f>
        <v/>
      </c>
      <c r="B1569" s="36" t="inlineStr">
        <is>
          <t>Електричний чайник Zelmer zck7614</t>
        </is>
      </c>
      <c r="C1569" s="37" t="inlineStr">
        <is>
          <t>шт.</t>
        </is>
      </c>
      <c r="D1569" s="33" t="n"/>
      <c r="E1569" s="33" t="n"/>
      <c r="F1569" s="33">
        <f>E1569*0.05</f>
        <v/>
      </c>
      <c r="G1569" s="33">
        <f>E1569+F1569</f>
        <v/>
      </c>
      <c r="H1569" s="33" t="n"/>
      <c r="I1569" s="33" t="n"/>
      <c r="J1569" s="33" t="n"/>
      <c r="K1569" s="33">
        <f>L1569+M1569+N1569</f>
        <v/>
      </c>
      <c r="L1569" s="33" t="n"/>
      <c r="M1569" s="33" t="n"/>
      <c r="N1569" s="33" t="n"/>
      <c r="O1569" s="33">
        <f>P1569+Q1569</f>
        <v/>
      </c>
      <c r="P1569" s="33" t="n"/>
      <c r="Q1569" s="33" t="n"/>
      <c r="R1569" s="33">
        <f>H1569+K1569-O1569</f>
        <v/>
      </c>
      <c r="S1569" s="33" t="n"/>
      <c r="T1569" s="33" t="n"/>
      <c r="U1569" s="33" t="n"/>
      <c r="V1569" s="33" t="n"/>
      <c r="W1569" s="33" t="n"/>
      <c r="X1569" s="33" t="n"/>
      <c r="Y1569" s="33" t="n"/>
      <c r="Z1569" s="33" t="n"/>
      <c r="AA1569" s="4">
        <f>R1569-G1569</f>
        <v/>
      </c>
      <c r="AB1569" s="4">
        <f>G1569-R1569</f>
        <v/>
      </c>
      <c r="AC1569" s="33" t="n"/>
    </row>
    <row r="1570" ht="18.75" customHeight="1">
      <c r="A1570" s="35">
        <f>SUBTOTAL(103,$B$24:B1570)</f>
        <v/>
      </c>
      <c r="B1570" s="36" t="inlineStr">
        <is>
          <t>Чайник електричний AURORA</t>
        </is>
      </c>
      <c r="C1570" s="37" t="inlineStr">
        <is>
          <t>шт.</t>
        </is>
      </c>
      <c r="D1570" s="33" t="n"/>
      <c r="E1570" s="33" t="n"/>
      <c r="F1570" s="33">
        <f>E1570*0.05</f>
        <v/>
      </c>
      <c r="G1570" s="33">
        <f>E1570+F1570</f>
        <v/>
      </c>
      <c r="H1570" s="33" t="n"/>
      <c r="I1570" s="33" t="n"/>
      <c r="J1570" s="33" t="n"/>
      <c r="K1570" s="33">
        <f>L1570+M1570+N1570</f>
        <v/>
      </c>
      <c r="L1570" s="33" t="n"/>
      <c r="M1570" s="33" t="n"/>
      <c r="N1570" s="33" t="n"/>
      <c r="O1570" s="33">
        <f>P1570+Q1570</f>
        <v/>
      </c>
      <c r="P1570" s="33" t="n"/>
      <c r="Q1570" s="33" t="n"/>
      <c r="R1570" s="33">
        <f>H1570+K1570-O1570</f>
        <v/>
      </c>
      <c r="S1570" s="33" t="n"/>
      <c r="T1570" s="33" t="n"/>
      <c r="U1570" s="33" t="n"/>
      <c r="V1570" s="33" t="n"/>
      <c r="W1570" s="33" t="n"/>
      <c r="X1570" s="33" t="n"/>
      <c r="Y1570" s="33" t="n"/>
      <c r="Z1570" s="33" t="n"/>
      <c r="AA1570" s="4">
        <f>R1570-G1570</f>
        <v/>
      </c>
      <c r="AB1570" s="4">
        <f>G1570-R1570</f>
        <v/>
      </c>
      <c r="AC1570" s="33" t="n"/>
    </row>
    <row r="1571" ht="18.75" customHeight="1">
      <c r="A1571" s="35">
        <f>SUBTOTAL(103,$B$24:B1571)</f>
        <v/>
      </c>
      <c r="B1571" s="36" t="inlineStr">
        <is>
          <t>Чайник металевий AURORA AU-3019</t>
        </is>
      </c>
      <c r="C1571" s="37" t="inlineStr">
        <is>
          <t>шт.</t>
        </is>
      </c>
      <c r="D1571" s="33" t="n"/>
      <c r="E1571" s="33" t="n"/>
      <c r="F1571" s="33">
        <f>E1571*0.05</f>
        <v/>
      </c>
      <c r="G1571" s="33">
        <f>E1571+F1571</f>
        <v/>
      </c>
      <c r="H1571" s="33" t="n"/>
      <c r="I1571" s="33" t="n"/>
      <c r="J1571" s="33" t="n"/>
      <c r="K1571" s="33">
        <f>L1571+M1571+N1571</f>
        <v/>
      </c>
      <c r="L1571" s="33" t="n"/>
      <c r="M1571" s="33" t="n"/>
      <c r="N1571" s="33" t="n"/>
      <c r="O1571" s="33">
        <f>P1571+Q1571</f>
        <v/>
      </c>
      <c r="P1571" s="33" t="n"/>
      <c r="Q1571" s="33" t="n"/>
      <c r="R1571" s="33">
        <f>H1571+K1571-O1571</f>
        <v/>
      </c>
      <c r="S1571" s="33" t="n"/>
      <c r="T1571" s="33" t="n"/>
      <c r="U1571" s="33" t="n"/>
      <c r="V1571" s="33" t="n"/>
      <c r="W1571" s="33" t="n"/>
      <c r="X1571" s="33" t="n"/>
      <c r="Y1571" s="33" t="n"/>
      <c r="Z1571" s="33" t="n"/>
      <c r="AA1571" s="4">
        <f>R1571-G1571</f>
        <v/>
      </c>
      <c r="AB1571" s="4">
        <f>G1571-R1571</f>
        <v/>
      </c>
      <c r="AC1571" s="33" t="n"/>
    </row>
    <row r="1572" ht="18.75" customHeight="1">
      <c r="A1572" s="35">
        <f>SUBTOTAL(103,$B$24:B1572)</f>
        <v/>
      </c>
      <c r="B1572" s="36" t="inlineStr">
        <is>
          <t>Чайник електричний Delfa</t>
        </is>
      </c>
      <c r="C1572" s="37" t="inlineStr">
        <is>
          <t>шт.</t>
        </is>
      </c>
      <c r="D1572" s="33" t="n"/>
      <c r="E1572" s="33" t="n"/>
      <c r="F1572" s="33">
        <f>E1572*0.05</f>
        <v/>
      </c>
      <c r="G1572" s="33">
        <f>E1572+F1572</f>
        <v/>
      </c>
      <c r="H1572" s="33" t="n"/>
      <c r="I1572" s="33" t="n"/>
      <c r="J1572" s="33" t="n"/>
      <c r="K1572" s="33">
        <f>L1572+M1572+N1572</f>
        <v/>
      </c>
      <c r="L1572" s="33" t="n"/>
      <c r="M1572" s="33" t="n"/>
      <c r="N1572" s="33" t="n"/>
      <c r="O1572" s="33">
        <f>P1572+Q1572</f>
        <v/>
      </c>
      <c r="P1572" s="33" t="n"/>
      <c r="Q1572" s="33" t="n"/>
      <c r="R1572" s="33">
        <f>H1572+K1572-O1572</f>
        <v/>
      </c>
      <c r="S1572" s="33" t="n"/>
      <c r="T1572" s="33" t="n"/>
      <c r="U1572" s="33" t="n"/>
      <c r="V1572" s="33" t="n"/>
      <c r="W1572" s="33" t="n"/>
      <c r="X1572" s="33" t="n"/>
      <c r="Y1572" s="33" t="n"/>
      <c r="Z1572" s="33" t="n"/>
      <c r="AA1572" s="4">
        <f>R1572-G1572</f>
        <v/>
      </c>
      <c r="AB1572" s="4">
        <f>G1572-R1572</f>
        <v/>
      </c>
      <c r="AC1572" s="33" t="n"/>
    </row>
    <row r="1573" ht="18.75" customHeight="1">
      <c r="A1573" s="35">
        <f>SUBTOTAL(103,$B$24:B1573)</f>
        <v/>
      </c>
      <c r="B1573" s="36" t="inlineStr">
        <is>
          <t>Чайник електричний Esperanza ekk0041</t>
        </is>
      </c>
      <c r="C1573" s="37" t="inlineStr">
        <is>
          <t>шт.</t>
        </is>
      </c>
      <c r="D1573" s="33" t="n"/>
      <c r="E1573" s="33" t="n"/>
      <c r="F1573" s="33">
        <f>E1573*0.05</f>
        <v/>
      </c>
      <c r="G1573" s="33">
        <f>E1573+F1573</f>
        <v/>
      </c>
      <c r="H1573" s="33" t="n"/>
      <c r="I1573" s="33" t="n"/>
      <c r="J1573" s="33" t="n"/>
      <c r="K1573" s="33">
        <f>L1573+M1573+N1573</f>
        <v/>
      </c>
      <c r="L1573" s="33" t="n"/>
      <c r="M1573" s="33" t="n"/>
      <c r="N1573" s="33" t="n"/>
      <c r="O1573" s="33">
        <f>P1573+Q1573</f>
        <v/>
      </c>
      <c r="P1573" s="33" t="n"/>
      <c r="Q1573" s="33" t="n"/>
      <c r="R1573" s="33">
        <f>H1573+K1573-O1573</f>
        <v/>
      </c>
      <c r="S1573" s="33" t="n"/>
      <c r="T1573" s="33" t="n"/>
      <c r="U1573" s="33" t="n"/>
      <c r="V1573" s="33" t="n"/>
      <c r="W1573" s="33" t="n"/>
      <c r="X1573" s="33" t="n"/>
      <c r="Y1573" s="33" t="n"/>
      <c r="Z1573" s="33" t="n"/>
      <c r="AA1573" s="4">
        <f>R1573-G1573</f>
        <v/>
      </c>
      <c r="AB1573" s="4">
        <f>G1573-R1573</f>
        <v/>
      </c>
      <c r="AC1573" s="33" t="n"/>
    </row>
    <row r="1574" ht="18.75" customHeight="1">
      <c r="A1574" s="35">
        <f>SUBTOTAL(103,$B$24:B1574)</f>
        <v/>
      </c>
      <c r="B1574" s="36" t="inlineStr">
        <is>
          <t>Чайник електричний ST 1,8 л.</t>
        </is>
      </c>
      <c r="C1574" s="37" t="inlineStr">
        <is>
          <t>шт.</t>
        </is>
      </c>
      <c r="D1574" s="33" t="n"/>
      <c r="E1574" s="33" t="n"/>
      <c r="F1574" s="33">
        <f>E1574*0.05</f>
        <v/>
      </c>
      <c r="G1574" s="33">
        <f>E1574+F1574</f>
        <v/>
      </c>
      <c r="H1574" s="33" t="n"/>
      <c r="I1574" s="33" t="n"/>
      <c r="J1574" s="33" t="n"/>
      <c r="K1574" s="33">
        <f>L1574+M1574+N1574</f>
        <v/>
      </c>
      <c r="L1574" s="33" t="n"/>
      <c r="M1574" s="33" t="n"/>
      <c r="N1574" s="33" t="n"/>
      <c r="O1574" s="33">
        <f>P1574+Q1574</f>
        <v/>
      </c>
      <c r="P1574" s="33" t="n"/>
      <c r="Q1574" s="33" t="n"/>
      <c r="R1574" s="33">
        <f>H1574+K1574-O1574</f>
        <v/>
      </c>
      <c r="S1574" s="33" t="n"/>
      <c r="T1574" s="33" t="n"/>
      <c r="U1574" s="33" t="n"/>
      <c r="V1574" s="33" t="n"/>
      <c r="W1574" s="33" t="n"/>
      <c r="X1574" s="33" t="n"/>
      <c r="Y1574" s="33" t="n"/>
      <c r="Z1574" s="33" t="n"/>
      <c r="AA1574" s="4">
        <f>R1574-G1574</f>
        <v/>
      </c>
      <c r="AB1574" s="4">
        <f>G1574-R1574</f>
        <v/>
      </c>
      <c r="AC1574" s="33" t="n"/>
    </row>
    <row r="1575" ht="18.75" customHeight="1">
      <c r="A1575" s="35">
        <f>SUBTOTAL(103,$B$24:B1575)</f>
        <v/>
      </c>
      <c r="B1575" s="36" t="inlineStr">
        <is>
          <t>Чайник електричний EK8442 1,7 л.</t>
        </is>
      </c>
      <c r="C1575" s="37" t="inlineStr">
        <is>
          <t>шт.</t>
        </is>
      </c>
      <c r="D1575" s="33" t="n"/>
      <c r="E1575" s="33" t="n"/>
      <c r="F1575" s="33">
        <f>E1575*0.05</f>
        <v/>
      </c>
      <c r="G1575" s="33">
        <f>E1575+F1575</f>
        <v/>
      </c>
      <c r="H1575" s="33" t="n"/>
      <c r="I1575" s="33" t="n"/>
      <c r="J1575" s="33" t="n"/>
      <c r="K1575" s="33">
        <f>L1575+M1575+N1575</f>
        <v/>
      </c>
      <c r="L1575" s="33" t="n"/>
      <c r="M1575" s="33" t="n"/>
      <c r="N1575" s="33" t="n"/>
      <c r="O1575" s="33">
        <f>P1575+Q1575</f>
        <v/>
      </c>
      <c r="P1575" s="33" t="n"/>
      <c r="Q1575" s="33" t="n"/>
      <c r="R1575" s="33">
        <f>H1575+K1575-O1575</f>
        <v/>
      </c>
      <c r="S1575" s="33" t="n"/>
      <c r="T1575" s="33" t="n"/>
      <c r="U1575" s="33" t="n"/>
      <c r="V1575" s="33" t="n"/>
      <c r="W1575" s="33" t="n"/>
      <c r="X1575" s="33" t="n"/>
      <c r="Y1575" s="33" t="n"/>
      <c r="Z1575" s="33" t="n"/>
      <c r="AA1575" s="4">
        <f>R1575-G1575</f>
        <v/>
      </c>
      <c r="AB1575" s="4">
        <f>G1575-R1575</f>
        <v/>
      </c>
      <c r="AC1575" s="33" t="n"/>
    </row>
    <row r="1576" ht="18.75" customHeight="1">
      <c r="A1576" s="35">
        <f>SUBTOTAL(103,$B$24:B1576)</f>
        <v/>
      </c>
      <c r="B1576" s="36" t="inlineStr">
        <is>
          <t>Чайник-термос MIDEA MK-HJ1511a</t>
        </is>
      </c>
      <c r="C1576" s="37" t="inlineStr">
        <is>
          <t>шт.</t>
        </is>
      </c>
      <c r="D1576" s="33" t="n"/>
      <c r="E1576" s="33" t="n"/>
      <c r="F1576" s="33">
        <f>E1576*0.05</f>
        <v/>
      </c>
      <c r="G1576" s="33">
        <f>E1576+F1576</f>
        <v/>
      </c>
      <c r="H1576" s="33" t="n"/>
      <c r="I1576" s="33" t="n"/>
      <c r="J1576" s="33" t="n"/>
      <c r="K1576" s="33">
        <f>L1576+M1576+N1576</f>
        <v/>
      </c>
      <c r="L1576" s="33" t="n"/>
      <c r="M1576" s="33" t="n"/>
      <c r="N1576" s="33" t="n"/>
      <c r="O1576" s="33">
        <f>P1576+Q1576</f>
        <v/>
      </c>
      <c r="P1576" s="33" t="n"/>
      <c r="Q1576" s="33" t="n"/>
      <c r="R1576" s="33">
        <f>H1576+K1576-O1576</f>
        <v/>
      </c>
      <c r="S1576" s="33" t="n"/>
      <c r="T1576" s="33" t="n"/>
      <c r="U1576" s="33" t="n"/>
      <c r="V1576" s="33" t="n"/>
      <c r="W1576" s="33" t="n"/>
      <c r="X1576" s="33" t="n"/>
      <c r="Y1576" s="33" t="n"/>
      <c r="Z1576" s="33" t="n"/>
      <c r="AA1576" s="4">
        <f>R1576-G1576</f>
        <v/>
      </c>
      <c r="AB1576" s="4">
        <f>G1576-R1576</f>
        <v/>
      </c>
      <c r="AC1576" s="33" t="n"/>
    </row>
    <row r="1577" ht="18.75" customHeight="1">
      <c r="A1577" s="35">
        <f>SUBTOTAL(103,$B$24:B1577)</f>
        <v/>
      </c>
      <c r="B1577" s="36" t="inlineStr">
        <is>
          <t>Термочайник MIDEA ML-HJ1517</t>
        </is>
      </c>
      <c r="C1577" s="37" t="inlineStr">
        <is>
          <t>шт.</t>
        </is>
      </c>
      <c r="D1577" s="33" t="n"/>
      <c r="E1577" s="33" t="n"/>
      <c r="F1577" s="33">
        <f>E1577*0.05</f>
        <v/>
      </c>
      <c r="G1577" s="33">
        <f>E1577+F1577</f>
        <v/>
      </c>
      <c r="H1577" s="33" t="n"/>
      <c r="I1577" s="33" t="n"/>
      <c r="J1577" s="33" t="n"/>
      <c r="K1577" s="33">
        <f>L1577+M1577+N1577</f>
        <v/>
      </c>
      <c r="L1577" s="33" t="n"/>
      <c r="M1577" s="33" t="n"/>
      <c r="N1577" s="33" t="n"/>
      <c r="O1577" s="33">
        <f>P1577+Q1577</f>
        <v/>
      </c>
      <c r="P1577" s="33" t="n"/>
      <c r="Q1577" s="33" t="n"/>
      <c r="R1577" s="33">
        <f>H1577+K1577-O1577</f>
        <v/>
      </c>
      <c r="S1577" s="33" t="n"/>
      <c r="T1577" s="33" t="n"/>
      <c r="U1577" s="33" t="n"/>
      <c r="V1577" s="33" t="n"/>
      <c r="W1577" s="33" t="n"/>
      <c r="X1577" s="33" t="n"/>
      <c r="Y1577" s="33" t="n"/>
      <c r="Z1577" s="33" t="n"/>
      <c r="AA1577" s="4">
        <f>R1577-G1577</f>
        <v/>
      </c>
      <c r="AB1577" s="4">
        <f>G1577-R1577</f>
        <v/>
      </c>
      <c r="AC1577" s="33" t="n"/>
    </row>
    <row r="1578" ht="18.75" customHeight="1">
      <c r="A1578" s="35">
        <f>SUBTOTAL(103,$B$24:B1578)</f>
        <v/>
      </c>
      <c r="B1578" s="36" t="inlineStr">
        <is>
          <t>Термопод Rotex 4,5л</t>
        </is>
      </c>
      <c r="C1578" s="37" t="inlineStr">
        <is>
          <t>шт.</t>
        </is>
      </c>
      <c r="D1578" s="33" t="n"/>
      <c r="E1578" s="33" t="n"/>
      <c r="F1578" s="33">
        <f>E1578*0.05</f>
        <v/>
      </c>
      <c r="G1578" s="33">
        <f>E1578+F1578</f>
        <v/>
      </c>
      <c r="H1578" s="33" t="n"/>
      <c r="I1578" s="33" t="n"/>
      <c r="J1578" s="33" t="n"/>
      <c r="K1578" s="33">
        <f>L1578+M1578+N1578</f>
        <v/>
      </c>
      <c r="L1578" s="33" t="n"/>
      <c r="M1578" s="33" t="n"/>
      <c r="N1578" s="33" t="n"/>
      <c r="O1578" s="33">
        <f>P1578+Q1578</f>
        <v/>
      </c>
      <c r="P1578" s="33" t="n"/>
      <c r="Q1578" s="33" t="n"/>
      <c r="R1578" s="33">
        <f>H1578+K1578-O1578</f>
        <v/>
      </c>
      <c r="S1578" s="33" t="n"/>
      <c r="T1578" s="33" t="n"/>
      <c r="U1578" s="33" t="n"/>
      <c r="V1578" s="33" t="n"/>
      <c r="W1578" s="33" t="n"/>
      <c r="X1578" s="33" t="n"/>
      <c r="Y1578" s="33" t="n"/>
      <c r="Z1578" s="33" t="n"/>
      <c r="AA1578" s="4">
        <f>R1578-G1578</f>
        <v/>
      </c>
      <c r="AB1578" s="4">
        <f>G1578-R1578</f>
        <v/>
      </c>
      <c r="AC1578" s="33" t="n"/>
    </row>
    <row r="1579" ht="18.75" customHeight="1">
      <c r="A1579" s="35">
        <f>SUBTOTAL(103,$B$24:B1579)</f>
        <v/>
      </c>
      <c r="B1579" s="36" t="inlineStr">
        <is>
          <t>Термопот 4,5 л.</t>
        </is>
      </c>
      <c r="C1579" s="37" t="inlineStr">
        <is>
          <t>к-т</t>
        </is>
      </c>
      <c r="D1579" s="33" t="n"/>
      <c r="E1579" s="33" t="n"/>
      <c r="F1579" s="33">
        <f>E1579*0.05</f>
        <v/>
      </c>
      <c r="G1579" s="33">
        <f>E1579+F1579</f>
        <v/>
      </c>
      <c r="H1579" s="33" t="n"/>
      <c r="I1579" s="33" t="n"/>
      <c r="J1579" s="33" t="n"/>
      <c r="K1579" s="33">
        <f>L1579+M1579+N1579</f>
        <v/>
      </c>
      <c r="L1579" s="33" t="n"/>
      <c r="M1579" s="33" t="n"/>
      <c r="N1579" s="33" t="n"/>
      <c r="O1579" s="33">
        <f>P1579+Q1579</f>
        <v/>
      </c>
      <c r="P1579" s="33" t="n"/>
      <c r="Q1579" s="33" t="n"/>
      <c r="R1579" s="33">
        <f>H1579+K1579-O1579</f>
        <v/>
      </c>
      <c r="S1579" s="33" t="n"/>
      <c r="T1579" s="33" t="n"/>
      <c r="U1579" s="33" t="n"/>
      <c r="V1579" s="33" t="n"/>
      <c r="W1579" s="33" t="n"/>
      <c r="X1579" s="33" t="n"/>
      <c r="Y1579" s="33" t="n"/>
      <c r="Z1579" s="33" t="n"/>
      <c r="AA1579" s="4">
        <f>R1579-G1579</f>
        <v/>
      </c>
      <c r="AB1579" s="4">
        <f>G1579-R1579</f>
        <v/>
      </c>
      <c r="AC1579" s="33" t="n"/>
    </row>
    <row r="1580" ht="18.75" customHeight="1">
      <c r="A1580" s="35">
        <f>SUBTOTAL(103,$B$24:B1580)</f>
        <v/>
      </c>
      <c r="B1580" s="36" t="inlineStr">
        <is>
          <t>Термопот SATURN ST-EK8037</t>
        </is>
      </c>
      <c r="C1580" s="37" t="inlineStr">
        <is>
          <t>к-т</t>
        </is>
      </c>
      <c r="D1580" s="33" t="n"/>
      <c r="E1580" s="33" t="n"/>
      <c r="F1580" s="33">
        <f>E1580*0.05</f>
        <v/>
      </c>
      <c r="G1580" s="33">
        <f>E1580+F1580</f>
        <v/>
      </c>
      <c r="H1580" s="33" t="n"/>
      <c r="I1580" s="33" t="n"/>
      <c r="J1580" s="33" t="n"/>
      <c r="K1580" s="33">
        <f>L1580+M1580+N1580</f>
        <v/>
      </c>
      <c r="L1580" s="33" t="n"/>
      <c r="M1580" s="33" t="n"/>
      <c r="N1580" s="33" t="n"/>
      <c r="O1580" s="33">
        <f>P1580+Q1580</f>
        <v/>
      </c>
      <c r="P1580" s="33" t="n"/>
      <c r="Q1580" s="33" t="n"/>
      <c r="R1580" s="33">
        <f>H1580+K1580-O1580</f>
        <v/>
      </c>
      <c r="S1580" s="33" t="n"/>
      <c r="T1580" s="33" t="n"/>
      <c r="U1580" s="33" t="n"/>
      <c r="V1580" s="33" t="n"/>
      <c r="W1580" s="33" t="n"/>
      <c r="X1580" s="33" t="n"/>
      <c r="Y1580" s="33" t="n"/>
      <c r="Z1580" s="33" t="n"/>
      <c r="AA1580" s="4">
        <f>R1580-G1580</f>
        <v/>
      </c>
      <c r="AB1580" s="4">
        <f>G1580-R1580</f>
        <v/>
      </c>
      <c r="AC1580" s="33" t="n"/>
    </row>
    <row r="1581" ht="18.75" customHeight="1">
      <c r="A1581" s="35">
        <f>SUBTOTAL(103,$B$24:B1581)</f>
        <v/>
      </c>
      <c r="B1581" s="39" t="inlineStr">
        <is>
          <t>КАВОВАРКИ ЕЛЕКТРИЧНІ</t>
        </is>
      </c>
      <c r="C1581" s="37" t="inlineStr">
        <is>
          <t>к-т</t>
        </is>
      </c>
      <c r="D1581" s="33" t="n"/>
      <c r="E1581" s="33" t="n"/>
      <c r="F1581" s="33">
        <f>E1581*0.05</f>
        <v/>
      </c>
      <c r="G1581" s="33">
        <f>E1581+F1581</f>
        <v/>
      </c>
      <c r="H1581" s="33" t="n"/>
      <c r="I1581" s="33" t="n"/>
      <c r="J1581" s="33" t="n"/>
      <c r="K1581" s="33">
        <f>L1581+M1581+N1581</f>
        <v/>
      </c>
      <c r="L1581" s="33" t="n"/>
      <c r="M1581" s="33" t="n"/>
      <c r="N1581" s="33" t="n"/>
      <c r="O1581" s="33">
        <f>P1581+Q1581</f>
        <v/>
      </c>
      <c r="P1581" s="33" t="n"/>
      <c r="Q1581" s="33" t="n"/>
      <c r="R1581" s="33">
        <f>H1581+K1581-O1581</f>
        <v/>
      </c>
      <c r="S1581" s="33" t="n"/>
      <c r="T1581" s="33" t="n"/>
      <c r="U1581" s="33" t="n"/>
      <c r="V1581" s="33" t="n"/>
      <c r="W1581" s="33" t="n"/>
      <c r="X1581" s="33" t="n"/>
      <c r="Y1581" s="33" t="n"/>
      <c r="Z1581" s="33" t="n"/>
      <c r="AA1581" s="4">
        <f>R1581-G1581</f>
        <v/>
      </c>
      <c r="AB1581" s="4">
        <f>G1581-R1581</f>
        <v/>
      </c>
      <c r="AC1581" s="33" t="n"/>
    </row>
    <row r="1582" ht="18.75" customHeight="1">
      <c r="A1582" s="35">
        <f>SUBTOTAL(103,$B$24:B1582)</f>
        <v/>
      </c>
      <c r="B1582" s="36" t="inlineStr">
        <is>
          <t>Кавоварка Gaggia</t>
        </is>
      </c>
      <c r="C1582" s="37" t="inlineStr">
        <is>
          <t>к-т</t>
        </is>
      </c>
      <c r="D1582" s="33" t="n"/>
      <c r="E1582" s="33" t="n"/>
      <c r="F1582" s="33">
        <f>E1582*0.05</f>
        <v/>
      </c>
      <c r="G1582" s="33">
        <f>E1582+F1582</f>
        <v/>
      </c>
      <c r="H1582" s="33" t="n"/>
      <c r="I1582" s="33" t="n"/>
      <c r="J1582" s="33" t="n"/>
      <c r="K1582" s="33">
        <f>L1582+M1582+N1582</f>
        <v/>
      </c>
      <c r="L1582" s="33" t="n"/>
      <c r="M1582" s="33" t="n"/>
      <c r="N1582" s="33" t="n"/>
      <c r="O1582" s="33">
        <f>P1582+Q1582</f>
        <v/>
      </c>
      <c r="P1582" s="33" t="n"/>
      <c r="Q1582" s="33" t="n"/>
      <c r="R1582" s="33">
        <f>H1582+K1582-O1582</f>
        <v/>
      </c>
      <c r="S1582" s="33" t="n"/>
      <c r="T1582" s="33" t="n"/>
      <c r="U1582" s="33" t="n"/>
      <c r="V1582" s="33" t="n"/>
      <c r="W1582" s="33" t="n"/>
      <c r="X1582" s="33" t="n"/>
      <c r="Y1582" s="33" t="n"/>
      <c r="Z1582" s="33" t="n"/>
      <c r="AA1582" s="4">
        <f>R1582-G1582</f>
        <v/>
      </c>
      <c r="AB1582" s="4">
        <f>G1582-R1582</f>
        <v/>
      </c>
      <c r="AC1582" s="33" t="n"/>
    </row>
    <row r="1583" ht="18.75" customHeight="1">
      <c r="A1583" s="35">
        <f>SUBTOTAL(103,$B$24:B1583)</f>
        <v/>
      </c>
      <c r="B1583" s="36" t="inlineStr">
        <is>
          <t>Кавоварка Gaggia HD8749/01</t>
        </is>
      </c>
      <c r="C1583" s="37" t="inlineStr">
        <is>
          <t>к-т</t>
        </is>
      </c>
      <c r="D1583" s="33" t="n"/>
      <c r="E1583" s="33" t="n"/>
      <c r="F1583" s="33">
        <f>E1583*0.05</f>
        <v/>
      </c>
      <c r="G1583" s="33">
        <f>E1583+F1583</f>
        <v/>
      </c>
      <c r="H1583" s="33" t="n"/>
      <c r="I1583" s="33" t="n"/>
      <c r="J1583" s="33" t="n"/>
      <c r="K1583" s="33">
        <f>L1583+M1583+N1583</f>
        <v/>
      </c>
      <c r="L1583" s="33" t="n"/>
      <c r="M1583" s="33" t="n"/>
      <c r="N1583" s="33" t="n"/>
      <c r="O1583" s="33">
        <f>P1583+Q1583</f>
        <v/>
      </c>
      <c r="P1583" s="33" t="n"/>
      <c r="Q1583" s="33" t="n"/>
      <c r="R1583" s="33">
        <f>H1583+K1583-O1583</f>
        <v/>
      </c>
      <c r="S1583" s="33" t="n"/>
      <c r="T1583" s="33" t="n"/>
      <c r="U1583" s="33" t="n"/>
      <c r="V1583" s="33" t="n"/>
      <c r="W1583" s="33" t="n"/>
      <c r="X1583" s="33" t="n"/>
      <c r="Y1583" s="33" t="n"/>
      <c r="Z1583" s="33" t="n"/>
      <c r="AA1583" s="4">
        <f>R1583-G1583</f>
        <v/>
      </c>
      <c r="AB1583" s="4">
        <f>G1583-R1583</f>
        <v/>
      </c>
      <c r="AC1583" s="33" t="n"/>
    </row>
    <row r="1584" ht="18.75" customHeight="1">
      <c r="A1584" s="35">
        <f>SUBTOTAL(103,$B$24:B1584)</f>
        <v/>
      </c>
      <c r="B1584" s="36" t="inlineStr">
        <is>
          <t>Кавомашина Delonghi ECAM 350.50.B</t>
        </is>
      </c>
      <c r="C1584" s="37" t="inlineStr">
        <is>
          <t>к-т</t>
        </is>
      </c>
      <c r="D1584" s="33" t="n"/>
      <c r="E1584" s="33" t="n"/>
      <c r="F1584" s="33">
        <f>E1584*0.05</f>
        <v/>
      </c>
      <c r="G1584" s="33">
        <f>E1584+F1584</f>
        <v/>
      </c>
      <c r="H1584" s="33" t="n"/>
      <c r="I1584" s="33" t="n"/>
      <c r="J1584" s="33" t="n"/>
      <c r="K1584" s="33">
        <f>L1584+M1584+N1584</f>
        <v/>
      </c>
      <c r="L1584" s="33" t="n"/>
      <c r="M1584" s="33" t="n"/>
      <c r="N1584" s="33" t="n"/>
      <c r="O1584" s="33">
        <f>P1584+Q1584</f>
        <v/>
      </c>
      <c r="P1584" s="33" t="n"/>
      <c r="Q1584" s="33" t="n"/>
      <c r="R1584" s="33">
        <f>H1584+K1584-O1584</f>
        <v/>
      </c>
      <c r="S1584" s="33" t="n"/>
      <c r="T1584" s="33" t="n"/>
      <c r="U1584" s="33" t="n"/>
      <c r="V1584" s="33" t="n"/>
      <c r="W1584" s="33" t="n"/>
      <c r="X1584" s="33" t="n"/>
      <c r="Y1584" s="33" t="n"/>
      <c r="Z1584" s="33" t="n"/>
      <c r="AA1584" s="4">
        <f>R1584-G1584</f>
        <v/>
      </c>
      <c r="AB1584" s="4">
        <f>G1584-R1584</f>
        <v/>
      </c>
      <c r="AC1584" s="33" t="n"/>
    </row>
    <row r="1585" ht="18.75" customHeight="1">
      <c r="A1585" s="35">
        <f>SUBTOTAL(103,$B$24:B1585)</f>
        <v/>
      </c>
      <c r="B1585" s="36" t="inlineStr">
        <is>
          <t>Кавоварка Delonghi ETAM 350.15 В</t>
        </is>
      </c>
      <c r="C1585" s="37" t="inlineStr">
        <is>
          <t>к-т</t>
        </is>
      </c>
      <c r="D1585" s="33" t="n"/>
      <c r="E1585" s="33" t="n"/>
      <c r="F1585" s="33">
        <f>E1585*0.05</f>
        <v/>
      </c>
      <c r="G1585" s="33">
        <f>E1585+F1585</f>
        <v/>
      </c>
      <c r="H1585" s="33" t="n"/>
      <c r="I1585" s="33" t="n"/>
      <c r="J1585" s="33" t="n"/>
      <c r="K1585" s="33">
        <f>L1585+M1585+N1585</f>
        <v/>
      </c>
      <c r="L1585" s="33" t="n"/>
      <c r="M1585" s="33" t="n"/>
      <c r="N1585" s="33" t="n"/>
      <c r="O1585" s="33">
        <f>P1585+Q1585</f>
        <v/>
      </c>
      <c r="P1585" s="33" t="n"/>
      <c r="Q1585" s="33" t="n"/>
      <c r="R1585" s="33">
        <f>H1585+K1585-O1585</f>
        <v/>
      </c>
      <c r="S1585" s="33" t="n"/>
      <c r="T1585" s="33" t="n"/>
      <c r="U1585" s="33" t="n"/>
      <c r="V1585" s="33" t="n"/>
      <c r="W1585" s="33" t="n"/>
      <c r="X1585" s="33" t="n"/>
      <c r="Y1585" s="33" t="n"/>
      <c r="Z1585" s="33" t="n"/>
      <c r="AA1585" s="4">
        <f>R1585-G1585</f>
        <v/>
      </c>
      <c r="AB1585" s="4">
        <f>G1585-R1585</f>
        <v/>
      </c>
      <c r="AC1585" s="33" t="n"/>
    </row>
    <row r="1586" ht="18.75" customHeight="1">
      <c r="A1586" s="35">
        <f>SUBTOTAL(103,$B$24:B1586)</f>
        <v/>
      </c>
      <c r="B1586" s="36" t="inlineStr">
        <is>
          <t>Кавоварка Delonghi ECAM 250.33 TВ</t>
        </is>
      </c>
      <c r="C1586" s="37" t="inlineStr">
        <is>
          <t>к-т</t>
        </is>
      </c>
      <c r="D1586" s="33" t="n"/>
      <c r="E1586" s="33" t="n"/>
      <c r="F1586" s="33">
        <f>E1586*0.05</f>
        <v/>
      </c>
      <c r="G1586" s="33">
        <f>E1586+F1586</f>
        <v/>
      </c>
      <c r="H1586" s="33" t="n"/>
      <c r="I1586" s="33" t="n"/>
      <c r="J1586" s="33" t="n"/>
      <c r="K1586" s="33">
        <f>L1586+M1586+N1586</f>
        <v/>
      </c>
      <c r="L1586" s="33" t="n"/>
      <c r="M1586" s="33" t="n"/>
      <c r="N1586" s="33" t="n"/>
      <c r="O1586" s="33">
        <f>P1586+Q1586</f>
        <v/>
      </c>
      <c r="P1586" s="33" t="n"/>
      <c r="Q1586" s="33" t="n"/>
      <c r="R1586" s="33">
        <f>H1586+K1586-O1586</f>
        <v/>
      </c>
      <c r="S1586" s="33" t="n"/>
      <c r="T1586" s="33" t="n"/>
      <c r="U1586" s="33" t="n"/>
      <c r="V1586" s="33" t="n"/>
      <c r="W1586" s="33" t="n"/>
      <c r="X1586" s="33" t="n"/>
      <c r="Y1586" s="33" t="n"/>
      <c r="Z1586" s="33" t="n"/>
      <c r="AA1586" s="4">
        <f>R1586-G1586</f>
        <v/>
      </c>
      <c r="AB1586" s="4">
        <f>G1586-R1586</f>
        <v/>
      </c>
      <c r="AC1586" s="33" t="n"/>
    </row>
    <row r="1587" ht="18.75" customHeight="1">
      <c r="A1587" s="35">
        <f>SUBTOTAL(103,$B$24:B1587)</f>
        <v/>
      </c>
      <c r="B1587" s="36" t="inlineStr">
        <is>
          <t>Кавоварка Delonghi ETAM 29.660.SB</t>
        </is>
      </c>
      <c r="C1587" s="37" t="inlineStr">
        <is>
          <t>к-т</t>
        </is>
      </c>
      <c r="D1587" s="33" t="n"/>
      <c r="E1587" s="33" t="n"/>
      <c r="F1587" s="33">
        <f>E1587*0.05</f>
        <v/>
      </c>
      <c r="G1587" s="33">
        <f>E1587+F1587</f>
        <v/>
      </c>
      <c r="H1587" s="33" t="n"/>
      <c r="I1587" s="33" t="n"/>
      <c r="J1587" s="33" t="n"/>
      <c r="K1587" s="33">
        <f>L1587+M1587+N1587</f>
        <v/>
      </c>
      <c r="L1587" s="33" t="n"/>
      <c r="M1587" s="33" t="n"/>
      <c r="N1587" s="33" t="n"/>
      <c r="O1587" s="33">
        <f>P1587+Q1587</f>
        <v/>
      </c>
      <c r="P1587" s="33" t="n"/>
      <c r="Q1587" s="33" t="n"/>
      <c r="R1587" s="33">
        <f>H1587+K1587-O1587</f>
        <v/>
      </c>
      <c r="S1587" s="33" t="n"/>
      <c r="T1587" s="33" t="n"/>
      <c r="U1587" s="33" t="n"/>
      <c r="V1587" s="33" t="n"/>
      <c r="W1587" s="33" t="n"/>
      <c r="X1587" s="33" t="n"/>
      <c r="Y1587" s="33" t="n"/>
      <c r="Z1587" s="33" t="n"/>
      <c r="AA1587" s="4">
        <f>R1587-G1587</f>
        <v/>
      </c>
      <c r="AB1587" s="4">
        <f>G1587-R1587</f>
        <v/>
      </c>
      <c r="AC1587" s="33" t="n"/>
    </row>
    <row r="1588" ht="18.75" customHeight="1">
      <c r="A1588" s="35">
        <f>SUBTOTAL(103,$B$24:B1588)</f>
        <v/>
      </c>
      <c r="B1588" s="36" t="inlineStr">
        <is>
          <t>Кавоварка Delonghi ECAM 23.460.B</t>
        </is>
      </c>
      <c r="C1588" s="37" t="inlineStr">
        <is>
          <t>к-т</t>
        </is>
      </c>
      <c r="D1588" s="33" t="n"/>
      <c r="E1588" s="33" t="n"/>
      <c r="F1588" s="33">
        <f>E1588*0.05</f>
        <v/>
      </c>
      <c r="G1588" s="33">
        <f>E1588+F1588</f>
        <v/>
      </c>
      <c r="H1588" s="33" t="n"/>
      <c r="I1588" s="33" t="n"/>
      <c r="J1588" s="33" t="n"/>
      <c r="K1588" s="33">
        <f>L1588+M1588+N1588</f>
        <v/>
      </c>
      <c r="L1588" s="33" t="n"/>
      <c r="M1588" s="33" t="n"/>
      <c r="N1588" s="33" t="n"/>
      <c r="O1588" s="33">
        <f>P1588+Q1588</f>
        <v/>
      </c>
      <c r="P1588" s="33" t="n"/>
      <c r="Q1588" s="33" t="n"/>
      <c r="R1588" s="33">
        <f>H1588+K1588-O1588</f>
        <v/>
      </c>
      <c r="S1588" s="33" t="n"/>
      <c r="T1588" s="33" t="n"/>
      <c r="U1588" s="33" t="n"/>
      <c r="V1588" s="33" t="n"/>
      <c r="W1588" s="33" t="n"/>
      <c r="X1588" s="33" t="n"/>
      <c r="Y1588" s="33" t="n"/>
      <c r="Z1588" s="33" t="n"/>
      <c r="AA1588" s="4">
        <f>R1588-G1588</f>
        <v/>
      </c>
      <c r="AB1588" s="4">
        <f>G1588-R1588</f>
        <v/>
      </c>
      <c r="AC1588" s="33" t="n"/>
    </row>
    <row r="1589" ht="18.75" customHeight="1">
      <c r="A1589" s="35">
        <f>SUBTOTAL(103,$B$24:B1589)</f>
        <v/>
      </c>
      <c r="B1589" s="36" t="inlineStr">
        <is>
          <t>Кавоварка Delonghi ECAM 22.117.B</t>
        </is>
      </c>
      <c r="C1589" s="37" t="inlineStr">
        <is>
          <t>к-т</t>
        </is>
      </c>
      <c r="D1589" s="33" t="n"/>
      <c r="E1589" s="33" t="n"/>
      <c r="F1589" s="33">
        <f>E1589*0.05</f>
        <v/>
      </c>
      <c r="G1589" s="33">
        <f>E1589+F1589</f>
        <v/>
      </c>
      <c r="H1589" s="33" t="n"/>
      <c r="I1589" s="33" t="n"/>
      <c r="J1589" s="33" t="n"/>
      <c r="K1589" s="33">
        <f>L1589+M1589+N1589</f>
        <v/>
      </c>
      <c r="L1589" s="33" t="n"/>
      <c r="M1589" s="33" t="n"/>
      <c r="N1589" s="33" t="n"/>
      <c r="O1589" s="33">
        <f>P1589+Q1589</f>
        <v/>
      </c>
      <c r="P1589" s="33" t="n"/>
      <c r="Q1589" s="33" t="n"/>
      <c r="R1589" s="33">
        <f>H1589+K1589-O1589</f>
        <v/>
      </c>
      <c r="S1589" s="33" t="n"/>
      <c r="T1589" s="33" t="n"/>
      <c r="U1589" s="33" t="n"/>
      <c r="V1589" s="33" t="n"/>
      <c r="W1589" s="33" t="n"/>
      <c r="X1589" s="33" t="n"/>
      <c r="Y1589" s="33" t="n"/>
      <c r="Z1589" s="33" t="n"/>
      <c r="AA1589" s="4">
        <f>R1589-G1589</f>
        <v/>
      </c>
      <c r="AB1589" s="4">
        <f>G1589-R1589</f>
        <v/>
      </c>
      <c r="AC1589" s="33" t="n"/>
    </row>
    <row r="1590" ht="18.75" customHeight="1">
      <c r="A1590" s="35">
        <f>SUBTOTAL(103,$B$24:B1590)</f>
        <v/>
      </c>
      <c r="B1590" s="36" t="inlineStr">
        <is>
          <t>Кавомашина Delonghi ECAM 22.112 B</t>
        </is>
      </c>
      <c r="C1590" s="37" t="inlineStr">
        <is>
          <t>к-т</t>
        </is>
      </c>
      <c r="D1590" s="33" t="n"/>
      <c r="E1590" s="33" t="n"/>
      <c r="F1590" s="33">
        <f>E1590*0.05</f>
        <v/>
      </c>
      <c r="G1590" s="33">
        <f>E1590+F1590</f>
        <v/>
      </c>
      <c r="H1590" s="33" t="n"/>
      <c r="I1590" s="33" t="n"/>
      <c r="J1590" s="33" t="n"/>
      <c r="K1590" s="33">
        <f>L1590+M1590+N1590</f>
        <v/>
      </c>
      <c r="L1590" s="33" t="n"/>
      <c r="M1590" s="33" t="n"/>
      <c r="N1590" s="33" t="n"/>
      <c r="O1590" s="33">
        <f>P1590+Q1590</f>
        <v/>
      </c>
      <c r="P1590" s="33" t="n"/>
      <c r="Q1590" s="33" t="n"/>
      <c r="R1590" s="33">
        <f>H1590+K1590-O1590</f>
        <v/>
      </c>
      <c r="S1590" s="33" t="n"/>
      <c r="T1590" s="33" t="n"/>
      <c r="U1590" s="33" t="n"/>
      <c r="V1590" s="33" t="n"/>
      <c r="W1590" s="33" t="n"/>
      <c r="X1590" s="33" t="n"/>
      <c r="Y1590" s="33" t="n"/>
      <c r="Z1590" s="33" t="n"/>
      <c r="AA1590" s="4">
        <f>R1590-G1590</f>
        <v/>
      </c>
      <c r="AB1590" s="4">
        <f>G1590-R1590</f>
        <v/>
      </c>
      <c r="AC1590" s="33" t="n"/>
    </row>
    <row r="1591" ht="18.75" customHeight="1">
      <c r="A1591" s="35">
        <f>SUBTOTAL(103,$B$24:B1591)</f>
        <v/>
      </c>
      <c r="B1591" s="36" t="inlineStr">
        <is>
          <t>Кавоварка Delonghi ECAM 22.110.B</t>
        </is>
      </c>
      <c r="C1591" s="37" t="inlineStr">
        <is>
          <t>к-т</t>
        </is>
      </c>
      <c r="D1591" s="33" t="n"/>
      <c r="E1591" s="33" t="n"/>
      <c r="F1591" s="33">
        <f>E1591*0.05</f>
        <v/>
      </c>
      <c r="G1591" s="33">
        <f>E1591+F1591</f>
        <v/>
      </c>
      <c r="H1591" s="33" t="n"/>
      <c r="I1591" s="33" t="n"/>
      <c r="J1591" s="33" t="n"/>
      <c r="K1591" s="33">
        <f>L1591+M1591+N1591</f>
        <v/>
      </c>
      <c r="L1591" s="33" t="n"/>
      <c r="M1591" s="33" t="n"/>
      <c r="N1591" s="33" t="n"/>
      <c r="O1591" s="33">
        <f>P1591+Q1591</f>
        <v/>
      </c>
      <c r="P1591" s="33" t="n"/>
      <c r="Q1591" s="33" t="n"/>
      <c r="R1591" s="33">
        <f>H1591+K1591-O1591</f>
        <v/>
      </c>
      <c r="S1591" s="33" t="n"/>
      <c r="T1591" s="33" t="n"/>
      <c r="U1591" s="33" t="n"/>
      <c r="V1591" s="33" t="n"/>
      <c r="W1591" s="33" t="n"/>
      <c r="X1591" s="33" t="n"/>
      <c r="Y1591" s="33" t="n"/>
      <c r="Z1591" s="33" t="n"/>
      <c r="AA1591" s="4">
        <f>R1591-G1591</f>
        <v/>
      </c>
      <c r="AB1591" s="4">
        <f>G1591-R1591</f>
        <v/>
      </c>
      <c r="AC1591" s="33" t="n"/>
    </row>
    <row r="1592" ht="18.75" customHeight="1">
      <c r="A1592" s="35">
        <f>SUBTOTAL(103,$B$24:B1592)</f>
        <v/>
      </c>
      <c r="B1592" s="36" t="inlineStr">
        <is>
          <t>Кавоварка Delonghi ESAM 22.110.B</t>
        </is>
      </c>
      <c r="C1592" s="37" t="inlineStr">
        <is>
          <t>к-т</t>
        </is>
      </c>
      <c r="D1592" s="33" t="n"/>
      <c r="E1592" s="33" t="n"/>
      <c r="F1592" s="33">
        <f>E1592*0.05</f>
        <v/>
      </c>
      <c r="G1592" s="33">
        <f>E1592+F1592</f>
        <v/>
      </c>
      <c r="H1592" s="33" t="n"/>
      <c r="I1592" s="33" t="n"/>
      <c r="J1592" s="33" t="n"/>
      <c r="K1592" s="33">
        <f>L1592+M1592+N1592</f>
        <v/>
      </c>
      <c r="L1592" s="33" t="n"/>
      <c r="M1592" s="33" t="n"/>
      <c r="N1592" s="33" t="n"/>
      <c r="O1592" s="33">
        <f>P1592+Q1592</f>
        <v/>
      </c>
      <c r="P1592" s="33" t="n"/>
      <c r="Q1592" s="33" t="n"/>
      <c r="R1592" s="33">
        <f>H1592+K1592-O1592</f>
        <v/>
      </c>
      <c r="S1592" s="33" t="n"/>
      <c r="T1592" s="33" t="n"/>
      <c r="U1592" s="33" t="n"/>
      <c r="V1592" s="33" t="n"/>
      <c r="W1592" s="33" t="n"/>
      <c r="X1592" s="33" t="n"/>
      <c r="Y1592" s="33" t="n"/>
      <c r="Z1592" s="33" t="n"/>
      <c r="AA1592" s="4">
        <f>R1592-G1592</f>
        <v/>
      </c>
      <c r="AB1592" s="4">
        <f>G1592-R1592</f>
        <v/>
      </c>
      <c r="AC1592" s="33" t="n"/>
    </row>
    <row r="1593" ht="18.75" customHeight="1">
      <c r="A1593" s="35">
        <f>SUBTOTAL(103,$B$24:B1593)</f>
        <v/>
      </c>
      <c r="B1593" s="36" t="inlineStr">
        <is>
          <t>Кавоварка Delonghi ESAM</t>
        </is>
      </c>
      <c r="C1593" s="37" t="inlineStr">
        <is>
          <t>к-т</t>
        </is>
      </c>
      <c r="D1593" s="33" t="n"/>
      <c r="E1593" s="33" t="n"/>
      <c r="F1593" s="33">
        <f>E1593*0.05</f>
        <v/>
      </c>
      <c r="G1593" s="33">
        <f>E1593+F1593</f>
        <v/>
      </c>
      <c r="H1593" s="33" t="n"/>
      <c r="I1593" s="33" t="n"/>
      <c r="J1593" s="33" t="n"/>
      <c r="K1593" s="33">
        <f>L1593+M1593+N1593</f>
        <v/>
      </c>
      <c r="L1593" s="33" t="n"/>
      <c r="M1593" s="33" t="n"/>
      <c r="N1593" s="33" t="n"/>
      <c r="O1593" s="33">
        <f>P1593+Q1593</f>
        <v/>
      </c>
      <c r="P1593" s="33" t="n"/>
      <c r="Q1593" s="33" t="n"/>
      <c r="R1593" s="33">
        <f>H1593+K1593-O1593</f>
        <v/>
      </c>
      <c r="S1593" s="33" t="n"/>
      <c r="T1593" s="33" t="n"/>
      <c r="U1593" s="33" t="n"/>
      <c r="V1593" s="33" t="n"/>
      <c r="W1593" s="33" t="n"/>
      <c r="X1593" s="33" t="n"/>
      <c r="Y1593" s="33" t="n"/>
      <c r="Z1593" s="33" t="n"/>
      <c r="AA1593" s="4">
        <f>R1593-G1593</f>
        <v/>
      </c>
      <c r="AB1593" s="4">
        <f>G1593-R1593</f>
        <v/>
      </c>
      <c r="AC1593" s="33" t="n"/>
    </row>
    <row r="1594" ht="18.75" customHeight="1">
      <c r="A1594" s="35">
        <f>SUBTOTAL(103,$B$24:B1594)</f>
        <v/>
      </c>
      <c r="B1594" s="36" t="inlineStr">
        <is>
          <t>Кавоварка Delonghi ESAM 2200</t>
        </is>
      </c>
      <c r="C1594" s="37" t="inlineStr">
        <is>
          <t>к-т</t>
        </is>
      </c>
      <c r="D1594" s="33" t="n"/>
      <c r="E1594" s="33" t="n"/>
      <c r="F1594" s="33">
        <f>E1594*0.05</f>
        <v/>
      </c>
      <c r="G1594" s="33">
        <f>E1594+F1594</f>
        <v/>
      </c>
      <c r="H1594" s="33" t="n"/>
      <c r="I1594" s="33" t="n"/>
      <c r="J1594" s="33" t="n"/>
      <c r="K1594" s="33">
        <f>L1594+M1594+N1594</f>
        <v/>
      </c>
      <c r="L1594" s="33" t="n"/>
      <c r="M1594" s="33" t="n"/>
      <c r="N1594" s="33" t="n"/>
      <c r="O1594" s="33">
        <f>P1594+Q1594</f>
        <v/>
      </c>
      <c r="P1594" s="33" t="n"/>
      <c r="Q1594" s="33" t="n"/>
      <c r="R1594" s="33">
        <f>H1594+K1594-O1594</f>
        <v/>
      </c>
      <c r="S1594" s="33" t="n"/>
      <c r="T1594" s="33" t="n"/>
      <c r="U1594" s="33" t="n"/>
      <c r="V1594" s="33" t="n"/>
      <c r="W1594" s="33" t="n"/>
      <c r="X1594" s="33" t="n"/>
      <c r="Y1594" s="33" t="n"/>
      <c r="Z1594" s="33" t="n"/>
      <c r="AA1594" s="4">
        <f>R1594-G1594</f>
        <v/>
      </c>
      <c r="AB1594" s="4">
        <f>G1594-R1594</f>
        <v/>
      </c>
      <c r="AC1594" s="33" t="n"/>
    </row>
    <row r="1595" ht="18.75" customHeight="1">
      <c r="A1595" s="35">
        <f>SUBTOTAL(103,$B$24:B1595)</f>
        <v/>
      </c>
      <c r="B1595" s="36" t="inlineStr">
        <is>
          <t>Кавоварка Delonghi ESAM 3000В</t>
        </is>
      </c>
      <c r="C1595" s="37" t="inlineStr">
        <is>
          <t>к-т</t>
        </is>
      </c>
      <c r="D1595" s="33" t="n"/>
      <c r="E1595" s="33" t="n"/>
      <c r="F1595" s="33">
        <f>E1595*0.05</f>
        <v/>
      </c>
      <c r="G1595" s="33">
        <f>E1595+F1595</f>
        <v/>
      </c>
      <c r="H1595" s="33" t="n"/>
      <c r="I1595" s="33" t="n"/>
      <c r="J1595" s="33" t="n"/>
      <c r="K1595" s="33">
        <f>L1595+M1595+N1595</f>
        <v/>
      </c>
      <c r="L1595" s="33" t="n"/>
      <c r="M1595" s="33" t="n"/>
      <c r="N1595" s="33" t="n"/>
      <c r="O1595" s="33">
        <f>P1595+Q1595</f>
        <v/>
      </c>
      <c r="P1595" s="33" t="n"/>
      <c r="Q1595" s="33" t="n"/>
      <c r="R1595" s="33">
        <f>H1595+K1595-O1595</f>
        <v/>
      </c>
      <c r="S1595" s="33" t="n"/>
      <c r="T1595" s="33" t="n"/>
      <c r="U1595" s="33" t="n"/>
      <c r="V1595" s="33" t="n"/>
      <c r="W1595" s="33" t="n"/>
      <c r="X1595" s="33" t="n"/>
      <c r="Y1595" s="33" t="n"/>
      <c r="Z1595" s="33" t="n"/>
      <c r="AA1595" s="4">
        <f>R1595-G1595</f>
        <v/>
      </c>
      <c r="AB1595" s="4">
        <f>G1595-R1595</f>
        <v/>
      </c>
      <c r="AC1595" s="33" t="n"/>
    </row>
    <row r="1596" ht="18.75" customHeight="1">
      <c r="A1596" s="35">
        <f>SUBTOTAL(103,$B$24:B1596)</f>
        <v/>
      </c>
      <c r="B1596" s="36" t="inlineStr">
        <is>
          <t>Кавоварка ESAM 3500</t>
        </is>
      </c>
      <c r="C1596" s="37" t="inlineStr">
        <is>
          <t>к-т</t>
        </is>
      </c>
      <c r="D1596" s="33" t="n"/>
      <c r="E1596" s="33" t="n"/>
      <c r="F1596" s="33">
        <f>E1596*0.05</f>
        <v/>
      </c>
      <c r="G1596" s="33">
        <f>E1596+F1596</f>
        <v/>
      </c>
      <c r="H1596" s="33" t="n"/>
      <c r="I1596" s="33" t="n"/>
      <c r="J1596" s="33" t="n"/>
      <c r="K1596" s="33">
        <f>L1596+M1596+N1596</f>
        <v/>
      </c>
      <c r="L1596" s="33" t="n"/>
      <c r="M1596" s="33" t="n"/>
      <c r="N1596" s="33" t="n"/>
      <c r="O1596" s="33">
        <f>P1596+Q1596</f>
        <v/>
      </c>
      <c r="P1596" s="33" t="n"/>
      <c r="Q1596" s="33" t="n"/>
      <c r="R1596" s="33">
        <f>H1596+K1596-O1596</f>
        <v/>
      </c>
      <c r="S1596" s="33" t="n"/>
      <c r="T1596" s="33" t="n"/>
      <c r="U1596" s="33" t="n"/>
      <c r="V1596" s="33" t="n"/>
      <c r="W1596" s="33" t="n"/>
      <c r="X1596" s="33" t="n"/>
      <c r="Y1596" s="33" t="n"/>
      <c r="Z1596" s="33" t="n"/>
      <c r="AA1596" s="4">
        <f>R1596-G1596</f>
        <v/>
      </c>
      <c r="AB1596" s="4">
        <f>G1596-R1596</f>
        <v/>
      </c>
      <c r="AC1596" s="33" t="n"/>
    </row>
    <row r="1597" ht="18.75" customHeight="1">
      <c r="A1597" s="35">
        <f>SUBTOTAL(103,$B$24:B1597)</f>
        <v/>
      </c>
      <c r="B1597" s="36" t="inlineStr">
        <is>
          <t>Кавоварка Delonghi EAM 3500</t>
        </is>
      </c>
      <c r="C1597" s="37" t="inlineStr">
        <is>
          <t>к-т</t>
        </is>
      </c>
      <c r="D1597" s="33" t="n"/>
      <c r="E1597" s="33" t="n"/>
      <c r="F1597" s="33">
        <f>E1597*0.05</f>
        <v/>
      </c>
      <c r="G1597" s="33">
        <f>E1597+F1597</f>
        <v/>
      </c>
      <c r="H1597" s="33" t="n"/>
      <c r="I1597" s="33" t="n"/>
      <c r="J1597" s="33" t="n"/>
      <c r="K1597" s="33">
        <f>L1597+M1597+N1597</f>
        <v/>
      </c>
      <c r="L1597" s="33" t="n"/>
      <c r="M1597" s="33" t="n"/>
      <c r="N1597" s="33" t="n"/>
      <c r="O1597" s="33">
        <f>P1597+Q1597</f>
        <v/>
      </c>
      <c r="P1597" s="33" t="n"/>
      <c r="Q1597" s="33" t="n"/>
      <c r="R1597" s="33">
        <f>H1597+K1597-O1597</f>
        <v/>
      </c>
      <c r="S1597" s="33" t="n"/>
      <c r="T1597" s="33" t="n"/>
      <c r="U1597" s="33" t="n"/>
      <c r="V1597" s="33" t="n"/>
      <c r="W1597" s="33" t="n"/>
      <c r="X1597" s="33" t="n"/>
      <c r="Y1597" s="33" t="n"/>
      <c r="Z1597" s="33" t="n"/>
      <c r="AA1597" s="4">
        <f>R1597-G1597</f>
        <v/>
      </c>
      <c r="AB1597" s="4">
        <f>G1597-R1597</f>
        <v/>
      </c>
      <c r="AC1597" s="33" t="n"/>
    </row>
    <row r="1598" ht="18.75" customHeight="1">
      <c r="A1598" s="35">
        <f>SUBTOTAL(103,$B$24:B1598)</f>
        <v/>
      </c>
      <c r="B1598" s="36" t="inlineStr">
        <is>
          <t>Кавоварка Delonghi ECO310</t>
        </is>
      </c>
      <c r="C1598" s="37" t="inlineStr">
        <is>
          <t>к-т</t>
        </is>
      </c>
      <c r="D1598" s="33" t="n"/>
      <c r="E1598" s="33" t="n"/>
      <c r="F1598" s="33">
        <f>E1598*0.05</f>
        <v/>
      </c>
      <c r="G1598" s="33">
        <f>E1598+F1598</f>
        <v/>
      </c>
      <c r="H1598" s="33" t="n"/>
      <c r="I1598" s="33" t="n"/>
      <c r="J1598" s="33" t="n"/>
      <c r="K1598" s="33">
        <f>L1598+M1598+N1598</f>
        <v/>
      </c>
      <c r="L1598" s="33" t="n"/>
      <c r="M1598" s="33" t="n"/>
      <c r="N1598" s="33" t="n"/>
      <c r="O1598" s="33">
        <f>P1598+Q1598</f>
        <v/>
      </c>
      <c r="P1598" s="33" t="n"/>
      <c r="Q1598" s="33" t="n"/>
      <c r="R1598" s="33">
        <f>H1598+K1598-O1598</f>
        <v/>
      </c>
      <c r="S1598" s="33" t="n"/>
      <c r="T1598" s="33" t="n"/>
      <c r="U1598" s="33" t="n"/>
      <c r="V1598" s="33" t="n"/>
      <c r="W1598" s="33" t="n"/>
      <c r="X1598" s="33" t="n"/>
      <c r="Y1598" s="33" t="n"/>
      <c r="Z1598" s="33" t="n"/>
      <c r="AA1598" s="4">
        <f>R1598-G1598</f>
        <v/>
      </c>
      <c r="AB1598" s="4">
        <f>G1598-R1598</f>
        <v/>
      </c>
      <c r="AC1598" s="33" t="n"/>
    </row>
    <row r="1599" ht="18.75" customHeight="1">
      <c r="A1599" s="35">
        <f>SUBTOTAL(103,$B$24:B1599)</f>
        <v/>
      </c>
      <c r="B1599" s="36" t="inlineStr">
        <is>
          <t>Кавоварка Delonghi EC190CD</t>
        </is>
      </c>
      <c r="C1599" s="37" t="inlineStr">
        <is>
          <t>к-т</t>
        </is>
      </c>
      <c r="D1599" s="33" t="n"/>
      <c r="E1599" s="33" t="n"/>
      <c r="F1599" s="33">
        <f>E1599*0.05</f>
        <v/>
      </c>
      <c r="G1599" s="33">
        <f>E1599+F1599</f>
        <v/>
      </c>
      <c r="H1599" s="33" t="n"/>
      <c r="I1599" s="33" t="n"/>
      <c r="J1599" s="33" t="n"/>
      <c r="K1599" s="33">
        <f>L1599+M1599+N1599</f>
        <v/>
      </c>
      <c r="L1599" s="33" t="n"/>
      <c r="M1599" s="33" t="n"/>
      <c r="N1599" s="33" t="n"/>
      <c r="O1599" s="33">
        <f>P1599+Q1599</f>
        <v/>
      </c>
      <c r="P1599" s="33" t="n"/>
      <c r="Q1599" s="33" t="n"/>
      <c r="R1599" s="33">
        <f>H1599+K1599-O1599</f>
        <v/>
      </c>
      <c r="S1599" s="33" t="n"/>
      <c r="T1599" s="33" t="n"/>
      <c r="U1599" s="33" t="n"/>
      <c r="V1599" s="33" t="n"/>
      <c r="W1599" s="33" t="n"/>
      <c r="X1599" s="33" t="n"/>
      <c r="Y1599" s="33" t="n"/>
      <c r="Z1599" s="33" t="n"/>
      <c r="AA1599" s="4">
        <f>R1599-G1599</f>
        <v/>
      </c>
      <c r="AB1599" s="4">
        <f>G1599-R1599</f>
        <v/>
      </c>
      <c r="AC1599" s="33" t="n"/>
    </row>
    <row r="1600" ht="18.75" customHeight="1">
      <c r="A1600" s="35">
        <f>SUBTOTAL(103,$B$24:B1600)</f>
        <v/>
      </c>
      <c r="B1600" s="36" t="inlineStr">
        <is>
          <t>Кавоварка Philips</t>
        </is>
      </c>
      <c r="C1600" s="37" t="inlineStr">
        <is>
          <t>к-т</t>
        </is>
      </c>
      <c r="D1600" s="33" t="n"/>
      <c r="E1600" s="33" t="n"/>
      <c r="F1600" s="33">
        <f>E1600*0.05</f>
        <v/>
      </c>
      <c r="G1600" s="33">
        <f>E1600+F1600</f>
        <v/>
      </c>
      <c r="H1600" s="33" t="n"/>
      <c r="I1600" s="33" t="n"/>
      <c r="J1600" s="33" t="n"/>
      <c r="K1600" s="33">
        <f>L1600+M1600+N1600</f>
        <v/>
      </c>
      <c r="L1600" s="33" t="n"/>
      <c r="M1600" s="33" t="n"/>
      <c r="N1600" s="33" t="n"/>
      <c r="O1600" s="33">
        <f>P1600+Q1600</f>
        <v/>
      </c>
      <c r="P1600" s="33" t="n"/>
      <c r="Q1600" s="33" t="n"/>
      <c r="R1600" s="33">
        <f>H1600+K1600-O1600</f>
        <v/>
      </c>
      <c r="S1600" s="33" t="n"/>
      <c r="T1600" s="33" t="n"/>
      <c r="U1600" s="33" t="n"/>
      <c r="V1600" s="33" t="n"/>
      <c r="W1600" s="33" t="n"/>
      <c r="X1600" s="33" t="n"/>
      <c r="Y1600" s="33" t="n"/>
      <c r="Z1600" s="33" t="n"/>
      <c r="AA1600" s="4">
        <f>R1600-G1600</f>
        <v/>
      </c>
      <c r="AB1600" s="4">
        <f>G1600-R1600</f>
        <v/>
      </c>
      <c r="AC1600" s="33" t="n"/>
    </row>
    <row r="1601" ht="37.5" customHeight="1">
      <c r="A1601" s="35">
        <f>SUBTOTAL(103,$B$24:B1601)</f>
        <v/>
      </c>
      <c r="B1601" s="36" t="inlineStr">
        <is>
          <t>Кавоварка Philips Saeco Lirika Plus RI9841</t>
        </is>
      </c>
      <c r="C1601" s="37" t="inlineStr">
        <is>
          <t>к-т</t>
        </is>
      </c>
      <c r="D1601" s="33" t="n"/>
      <c r="E1601" s="33" t="n"/>
      <c r="F1601" s="33">
        <f>E1601*0.05</f>
        <v/>
      </c>
      <c r="G1601" s="33">
        <f>E1601+F1601</f>
        <v/>
      </c>
      <c r="H1601" s="33" t="n"/>
      <c r="I1601" s="33" t="n"/>
      <c r="J1601" s="33" t="n"/>
      <c r="K1601" s="33">
        <f>L1601+M1601+N1601</f>
        <v/>
      </c>
      <c r="L1601" s="33" t="n"/>
      <c r="M1601" s="33" t="n"/>
      <c r="N1601" s="33" t="n"/>
      <c r="O1601" s="33">
        <f>P1601+Q1601</f>
        <v/>
      </c>
      <c r="P1601" s="33" t="n"/>
      <c r="Q1601" s="33" t="n"/>
      <c r="R1601" s="33">
        <f>H1601+K1601-O1601</f>
        <v/>
      </c>
      <c r="S1601" s="33" t="n"/>
      <c r="T1601" s="33" t="n"/>
      <c r="U1601" s="33" t="n"/>
      <c r="V1601" s="33" t="n"/>
      <c r="W1601" s="33" t="n"/>
      <c r="X1601" s="33" t="n"/>
      <c r="Y1601" s="33" t="n"/>
      <c r="Z1601" s="33" t="n"/>
      <c r="AA1601" s="4">
        <f>R1601-G1601</f>
        <v/>
      </c>
      <c r="AB1601" s="4">
        <f>G1601-R1601</f>
        <v/>
      </c>
      <c r="AC1601" s="33" t="n"/>
    </row>
    <row r="1602" ht="18.75" customHeight="1">
      <c r="A1602" s="35">
        <f>SUBTOTAL(103,$B$24:B1602)</f>
        <v/>
      </c>
      <c r="B1602" s="36" t="inlineStr">
        <is>
          <t>Кавоварка Delonghi ETAM 29.510 B</t>
        </is>
      </c>
      <c r="C1602" s="37" t="inlineStr">
        <is>
          <t>к-т</t>
        </is>
      </c>
      <c r="D1602" s="33" t="n"/>
      <c r="E1602" s="33" t="n"/>
      <c r="F1602" s="33">
        <f>E1602*0.05</f>
        <v/>
      </c>
      <c r="G1602" s="33">
        <f>E1602+F1602</f>
        <v/>
      </c>
      <c r="H1602" s="33" t="n"/>
      <c r="I1602" s="33" t="n"/>
      <c r="J1602" s="33" t="n"/>
      <c r="K1602" s="33">
        <f>L1602+M1602+N1602</f>
        <v/>
      </c>
      <c r="L1602" s="33" t="n"/>
      <c r="M1602" s="33" t="n"/>
      <c r="N1602" s="33" t="n"/>
      <c r="O1602" s="33">
        <f>P1602+Q1602</f>
        <v/>
      </c>
      <c r="P1602" s="33" t="n"/>
      <c r="Q1602" s="33" t="n"/>
      <c r="R1602" s="33">
        <f>H1602+K1602-O1602</f>
        <v/>
      </c>
      <c r="S1602" s="33" t="n"/>
      <c r="T1602" s="33" t="n"/>
      <c r="U1602" s="33" t="n"/>
      <c r="V1602" s="33" t="n"/>
      <c r="W1602" s="33" t="n"/>
      <c r="X1602" s="33" t="n"/>
      <c r="Y1602" s="33" t="n"/>
      <c r="Z1602" s="33" t="n"/>
      <c r="AA1602" s="4">
        <f>R1602-G1602</f>
        <v/>
      </c>
      <c r="AB1602" s="4">
        <f>G1602-R1602</f>
        <v/>
      </c>
      <c r="AC1602" s="33" t="n"/>
    </row>
    <row r="1603" ht="18.75" customHeight="1">
      <c r="A1603" s="35">
        <f>SUBTOTAL(103,$B$24:B1603)</f>
        <v/>
      </c>
      <c r="B1603" s="36" t="inlineStr">
        <is>
          <t>Кавоварка Philips Saeco EP3246/70</t>
        </is>
      </c>
      <c r="C1603" s="37" t="inlineStr">
        <is>
          <t>к-т</t>
        </is>
      </c>
      <c r="D1603" s="33" t="n"/>
      <c r="E1603" s="33" t="n"/>
      <c r="F1603" s="33">
        <f>E1603*0.05</f>
        <v/>
      </c>
      <c r="G1603" s="33">
        <f>E1603+F1603</f>
        <v/>
      </c>
      <c r="H1603" s="33" t="n"/>
      <c r="I1603" s="33" t="n"/>
      <c r="J1603" s="33" t="n"/>
      <c r="K1603" s="33">
        <f>L1603+M1603+N1603</f>
        <v/>
      </c>
      <c r="L1603" s="33" t="n"/>
      <c r="M1603" s="33" t="n"/>
      <c r="N1603" s="33" t="n"/>
      <c r="O1603" s="33">
        <f>P1603+Q1603</f>
        <v/>
      </c>
      <c r="P1603" s="33" t="n"/>
      <c r="Q1603" s="33" t="n"/>
      <c r="R1603" s="33">
        <f>H1603+K1603-O1603</f>
        <v/>
      </c>
      <c r="S1603" s="33" t="n"/>
      <c r="T1603" s="33" t="n"/>
      <c r="U1603" s="33" t="n"/>
      <c r="V1603" s="33" t="n"/>
      <c r="W1603" s="33" t="n"/>
      <c r="X1603" s="33" t="n"/>
      <c r="Y1603" s="33" t="n"/>
      <c r="Z1603" s="33" t="n"/>
      <c r="AA1603" s="4">
        <f>R1603-G1603</f>
        <v/>
      </c>
      <c r="AB1603" s="4">
        <f>G1603-R1603</f>
        <v/>
      </c>
      <c r="AC1603" s="33" t="n"/>
    </row>
    <row r="1604" ht="18.75" customHeight="1">
      <c r="A1604" s="35">
        <f>SUBTOTAL(103,$B$24:B1604)</f>
        <v/>
      </c>
      <c r="B1604" s="36" t="inlineStr">
        <is>
          <t>Кавоварка Philips 1200 Series EP1224/00</t>
        </is>
      </c>
      <c r="C1604" s="37" t="inlineStr">
        <is>
          <t>к-т</t>
        </is>
      </c>
      <c r="D1604" s="33" t="n"/>
      <c r="E1604" s="33" t="n"/>
      <c r="F1604" s="33">
        <f>E1604*0.05</f>
        <v/>
      </c>
      <c r="G1604" s="33">
        <f>E1604+F1604</f>
        <v/>
      </c>
      <c r="H1604" s="33" t="n"/>
      <c r="I1604" s="33" t="n"/>
      <c r="J1604" s="33" t="n"/>
      <c r="K1604" s="33">
        <f>L1604+M1604+N1604</f>
        <v/>
      </c>
      <c r="L1604" s="33" t="n"/>
      <c r="M1604" s="33" t="n"/>
      <c r="N1604" s="33" t="n"/>
      <c r="O1604" s="33">
        <f>P1604+Q1604</f>
        <v/>
      </c>
      <c r="P1604" s="33" t="n"/>
      <c r="Q1604" s="33" t="n"/>
      <c r="R1604" s="33">
        <f>H1604+K1604-O1604</f>
        <v/>
      </c>
      <c r="S1604" s="33" t="n"/>
      <c r="T1604" s="33" t="n"/>
      <c r="U1604" s="33" t="n"/>
      <c r="V1604" s="33" t="n"/>
      <c r="W1604" s="33" t="n"/>
      <c r="X1604" s="33" t="n"/>
      <c r="Y1604" s="33" t="n"/>
      <c r="Z1604" s="33" t="n"/>
      <c r="AA1604" s="4">
        <f>R1604-G1604</f>
        <v/>
      </c>
      <c r="AB1604" s="4">
        <f>G1604-R1604</f>
        <v/>
      </c>
      <c r="AC1604" s="33" t="n"/>
    </row>
    <row r="1605" ht="18.75" customHeight="1">
      <c r="A1605" s="35">
        <f>SUBTOTAL(103,$B$24:B1605)</f>
        <v/>
      </c>
      <c r="B1605" s="36" t="inlineStr">
        <is>
          <t>Кавоварка Philips 2300 Series EP2330/10</t>
        </is>
      </c>
      <c r="C1605" s="37" t="inlineStr">
        <is>
          <t>к-т</t>
        </is>
      </c>
      <c r="D1605" s="33" t="n"/>
      <c r="E1605" s="33" t="n"/>
      <c r="F1605" s="33">
        <f>E1605*0.05</f>
        <v/>
      </c>
      <c r="G1605" s="33">
        <f>E1605+F1605</f>
        <v/>
      </c>
      <c r="H1605" s="33" t="n"/>
      <c r="I1605" s="33" t="n"/>
      <c r="J1605" s="33" t="n"/>
      <c r="K1605" s="33">
        <f>L1605+M1605+N1605</f>
        <v/>
      </c>
      <c r="L1605" s="33" t="n"/>
      <c r="M1605" s="33" t="n"/>
      <c r="N1605" s="33" t="n"/>
      <c r="O1605" s="33">
        <f>P1605+Q1605</f>
        <v/>
      </c>
      <c r="P1605" s="33" t="n"/>
      <c r="Q1605" s="33" t="n"/>
      <c r="R1605" s="33">
        <f>H1605+K1605-O1605</f>
        <v/>
      </c>
      <c r="S1605" s="33" t="n"/>
      <c r="T1605" s="33" t="n"/>
      <c r="U1605" s="33" t="n"/>
      <c r="V1605" s="33" t="n"/>
      <c r="W1605" s="33" t="n"/>
      <c r="X1605" s="33" t="n"/>
      <c r="Y1605" s="33" t="n"/>
      <c r="Z1605" s="33" t="n"/>
      <c r="AA1605" s="4">
        <f>R1605-G1605</f>
        <v/>
      </c>
      <c r="AB1605" s="4">
        <f>G1605-R1605</f>
        <v/>
      </c>
      <c r="AC1605" s="33" t="n"/>
    </row>
    <row r="1606" ht="37.5" customHeight="1">
      <c r="A1606" s="35">
        <f>SUBTOTAL(103,$B$24:B1606)</f>
        <v/>
      </c>
      <c r="B1606" s="36" t="inlineStr">
        <is>
          <t>Кавоварка Philips 3200 Series W EP3243/50</t>
        </is>
      </c>
      <c r="C1606" s="37" t="inlineStr">
        <is>
          <t>к-т</t>
        </is>
      </c>
      <c r="D1606" s="33" t="n"/>
      <c r="E1606" s="33" t="n"/>
      <c r="F1606" s="33">
        <f>E1606*0.05</f>
        <v/>
      </c>
      <c r="G1606" s="33">
        <f>E1606+F1606</f>
        <v/>
      </c>
      <c r="H1606" s="33" t="n"/>
      <c r="I1606" s="33" t="n"/>
      <c r="J1606" s="33" t="n"/>
      <c r="K1606" s="33">
        <f>L1606+M1606+N1606</f>
        <v/>
      </c>
      <c r="L1606" s="33" t="n"/>
      <c r="M1606" s="33" t="n"/>
      <c r="N1606" s="33" t="n"/>
      <c r="O1606" s="33">
        <f>P1606+Q1606</f>
        <v/>
      </c>
      <c r="P1606" s="33" t="n"/>
      <c r="Q1606" s="33" t="n"/>
      <c r="R1606" s="33">
        <f>H1606+K1606-O1606</f>
        <v/>
      </c>
      <c r="S1606" s="33" t="n"/>
      <c r="T1606" s="33" t="n"/>
      <c r="U1606" s="33" t="n"/>
      <c r="V1606" s="33" t="n"/>
      <c r="W1606" s="33" t="n"/>
      <c r="X1606" s="33" t="n"/>
      <c r="Y1606" s="33" t="n"/>
      <c r="Z1606" s="33" t="n"/>
      <c r="AA1606" s="4">
        <f>R1606-G1606</f>
        <v/>
      </c>
      <c r="AB1606" s="4">
        <f>G1606-R1606</f>
        <v/>
      </c>
      <c r="AC1606" s="33" t="n"/>
    </row>
    <row r="1607" ht="37.5" customHeight="1">
      <c r="A1607" s="35">
        <f>SUBTOTAL(103,$B$24:B1607)</f>
        <v/>
      </c>
      <c r="B1607" s="36" t="inlineStr">
        <is>
          <t>Кавоварка Philips 5400 Series W EP5441/50</t>
        </is>
      </c>
      <c r="C1607" s="37" t="inlineStr">
        <is>
          <t>к-т</t>
        </is>
      </c>
      <c r="D1607" s="33" t="n"/>
      <c r="E1607" s="33" t="n"/>
      <c r="F1607" s="33">
        <f>E1607*0.05</f>
        <v/>
      </c>
      <c r="G1607" s="33">
        <f>E1607+F1607</f>
        <v/>
      </c>
      <c r="H1607" s="33" t="n"/>
      <c r="I1607" s="33" t="n"/>
      <c r="J1607" s="33" t="n"/>
      <c r="K1607" s="33">
        <f>L1607+M1607+N1607</f>
        <v/>
      </c>
      <c r="L1607" s="33" t="n"/>
      <c r="M1607" s="33" t="n"/>
      <c r="N1607" s="33" t="n"/>
      <c r="O1607" s="33">
        <f>P1607+Q1607</f>
        <v/>
      </c>
      <c r="P1607" s="33" t="n"/>
      <c r="Q1607" s="33" t="n"/>
      <c r="R1607" s="33">
        <f>H1607+K1607-O1607</f>
        <v/>
      </c>
      <c r="S1607" s="33" t="n"/>
      <c r="T1607" s="33" t="n"/>
      <c r="U1607" s="33" t="n"/>
      <c r="V1607" s="33" t="n"/>
      <c r="W1607" s="33" t="n"/>
      <c r="X1607" s="33" t="n"/>
      <c r="Y1607" s="33" t="n"/>
      <c r="Z1607" s="33" t="n"/>
      <c r="AA1607" s="4">
        <f>R1607-G1607</f>
        <v/>
      </c>
      <c r="AB1607" s="4">
        <f>G1607-R1607</f>
        <v/>
      </c>
      <c r="AC1607" s="33" t="n"/>
    </row>
    <row r="1608" ht="18.75" customHeight="1">
      <c r="A1608" s="35">
        <f>SUBTOTAL(103,$B$24:B1608)</f>
        <v/>
      </c>
      <c r="B1608" s="36" t="inlineStr">
        <is>
          <t>Кавоварка Philips EP0820/00</t>
        </is>
      </c>
      <c r="C1608" s="37" t="inlineStr">
        <is>
          <t>к-т</t>
        </is>
      </c>
      <c r="D1608" s="33" t="n"/>
      <c r="E1608" s="33" t="n"/>
      <c r="F1608" s="33">
        <f>E1608*0.05</f>
        <v/>
      </c>
      <c r="G1608" s="33">
        <f>E1608+F1608</f>
        <v/>
      </c>
      <c r="H1608" s="33" t="n"/>
      <c r="I1608" s="33" t="n"/>
      <c r="J1608" s="33" t="n"/>
      <c r="K1608" s="33">
        <f>L1608+M1608+N1608</f>
        <v/>
      </c>
      <c r="L1608" s="33" t="n"/>
      <c r="M1608" s="33" t="n"/>
      <c r="N1608" s="33" t="n"/>
      <c r="O1608" s="33">
        <f>P1608+Q1608</f>
        <v/>
      </c>
      <c r="P1608" s="33" t="n"/>
      <c r="Q1608" s="33" t="n"/>
      <c r="R1608" s="33">
        <f>H1608+K1608-O1608</f>
        <v/>
      </c>
      <c r="S1608" s="33" t="n"/>
      <c r="T1608" s="33" t="n"/>
      <c r="U1608" s="33" t="n"/>
      <c r="V1608" s="33" t="n"/>
      <c r="W1608" s="33" t="n"/>
      <c r="X1608" s="33" t="n"/>
      <c r="Y1608" s="33" t="n"/>
      <c r="Z1608" s="33" t="n"/>
      <c r="AA1608" s="4">
        <f>R1608-G1608</f>
        <v/>
      </c>
      <c r="AB1608" s="4">
        <f>G1608-R1608</f>
        <v/>
      </c>
      <c r="AC1608" s="33" t="n"/>
    </row>
    <row r="1609" ht="18.75" customHeight="1">
      <c r="A1609" s="35">
        <f>SUBTOTAL(103,$B$24:B1609)</f>
        <v/>
      </c>
      <c r="B1609" s="36" t="inlineStr">
        <is>
          <t>Кавоварка Philips HD8650</t>
        </is>
      </c>
      <c r="C1609" s="37" t="inlineStr">
        <is>
          <t>к-т</t>
        </is>
      </c>
      <c r="D1609" s="33" t="n"/>
      <c r="E1609" s="33" t="n"/>
      <c r="F1609" s="33">
        <f>E1609*0.05</f>
        <v/>
      </c>
      <c r="G1609" s="33">
        <f>E1609+F1609</f>
        <v/>
      </c>
      <c r="H1609" s="33" t="n"/>
      <c r="I1609" s="33" t="n"/>
      <c r="J1609" s="33" t="n"/>
      <c r="K1609" s="33">
        <f>L1609+M1609+N1609</f>
        <v/>
      </c>
      <c r="L1609" s="33" t="n"/>
      <c r="M1609" s="33" t="n"/>
      <c r="N1609" s="33" t="n"/>
      <c r="O1609" s="33">
        <f>P1609+Q1609</f>
        <v/>
      </c>
      <c r="P1609" s="33" t="n"/>
      <c r="Q1609" s="33" t="n"/>
      <c r="R1609" s="33">
        <f>H1609+K1609-O1609</f>
        <v/>
      </c>
      <c r="S1609" s="33" t="n"/>
      <c r="T1609" s="33" t="n"/>
      <c r="U1609" s="33" t="n"/>
      <c r="V1609" s="33" t="n"/>
      <c r="W1609" s="33" t="n"/>
      <c r="X1609" s="33" t="n"/>
      <c r="Y1609" s="33" t="n"/>
      <c r="Z1609" s="33" t="n"/>
      <c r="AA1609" s="4">
        <f>R1609-G1609</f>
        <v/>
      </c>
      <c r="AB1609" s="4">
        <f>G1609-R1609</f>
        <v/>
      </c>
      <c r="AC1609" s="33" t="n"/>
    </row>
    <row r="1610" ht="18.75" customHeight="1">
      <c r="A1610" s="35">
        <f>SUBTOTAL(103,$B$24:B1610)</f>
        <v/>
      </c>
      <c r="B1610" s="36" t="inlineStr">
        <is>
          <t>Кавоварка "Ровента"</t>
        </is>
      </c>
      <c r="C1610" s="37" t="inlineStr">
        <is>
          <t>к-т</t>
        </is>
      </c>
      <c r="D1610" s="33" t="n"/>
      <c r="E1610" s="33" t="n"/>
      <c r="F1610" s="33">
        <f>E1610*0.05</f>
        <v/>
      </c>
      <c r="G1610" s="33">
        <f>E1610+F1610</f>
        <v/>
      </c>
      <c r="H1610" s="33" t="n"/>
      <c r="I1610" s="33" t="n"/>
      <c r="J1610" s="33" t="n"/>
      <c r="K1610" s="33">
        <f>L1610+M1610+N1610</f>
        <v/>
      </c>
      <c r="L1610" s="33" t="n"/>
      <c r="M1610" s="33" t="n"/>
      <c r="N1610" s="33" t="n"/>
      <c r="O1610" s="33">
        <f>P1610+Q1610</f>
        <v/>
      </c>
      <c r="P1610" s="33" t="n"/>
      <c r="Q1610" s="33" t="n"/>
      <c r="R1610" s="33">
        <f>H1610+K1610-O1610</f>
        <v/>
      </c>
      <c r="S1610" s="33" t="n"/>
      <c r="T1610" s="33" t="n"/>
      <c r="U1610" s="33" t="n"/>
      <c r="V1610" s="33" t="n"/>
      <c r="W1610" s="33" t="n"/>
      <c r="X1610" s="33" t="n"/>
      <c r="Y1610" s="33" t="n"/>
      <c r="Z1610" s="33" t="n"/>
      <c r="AA1610" s="4">
        <f>R1610-G1610</f>
        <v/>
      </c>
      <c r="AB1610" s="4">
        <f>G1610-R1610</f>
        <v/>
      </c>
      <c r="AC1610" s="33" t="n"/>
    </row>
    <row r="1611" ht="18.75" customHeight="1">
      <c r="A1611" s="35">
        <f>SUBTOTAL(103,$B$24:B1611)</f>
        <v/>
      </c>
      <c r="B1611" s="36" t="inlineStr">
        <is>
          <t>Кавоварка "Саєко"</t>
        </is>
      </c>
      <c r="C1611" s="37" t="inlineStr">
        <is>
          <t>к-т</t>
        </is>
      </c>
      <c r="D1611" s="33" t="n"/>
      <c r="E1611" s="33" t="n"/>
      <c r="F1611" s="33">
        <f>E1611*0.05</f>
        <v/>
      </c>
      <c r="G1611" s="33">
        <f>E1611+F1611</f>
        <v/>
      </c>
      <c r="H1611" s="33" t="n"/>
      <c r="I1611" s="33" t="n"/>
      <c r="J1611" s="33" t="n"/>
      <c r="K1611" s="33">
        <f>L1611+M1611+N1611</f>
        <v/>
      </c>
      <c r="L1611" s="33" t="n"/>
      <c r="M1611" s="33" t="n"/>
      <c r="N1611" s="33" t="n"/>
      <c r="O1611" s="33">
        <f>P1611+Q1611</f>
        <v/>
      </c>
      <c r="P1611" s="33" t="n"/>
      <c r="Q1611" s="33" t="n"/>
      <c r="R1611" s="33">
        <f>H1611+K1611-O1611</f>
        <v/>
      </c>
      <c r="S1611" s="33" t="n"/>
      <c r="T1611" s="33" t="n"/>
      <c r="U1611" s="33" t="n"/>
      <c r="V1611" s="33" t="n"/>
      <c r="W1611" s="33" t="n"/>
      <c r="X1611" s="33" t="n"/>
      <c r="Y1611" s="33" t="n"/>
      <c r="Z1611" s="33" t="n"/>
      <c r="AA1611" s="4">
        <f>R1611-G1611</f>
        <v/>
      </c>
      <c r="AB1611" s="4">
        <f>G1611-R1611</f>
        <v/>
      </c>
      <c r="AC1611" s="33" t="n"/>
    </row>
    <row r="1612" ht="18.75" customHeight="1">
      <c r="A1612" s="35">
        <f>SUBTOTAL(103,$B$24:B1612)</f>
        <v/>
      </c>
      <c r="B1612" s="36" t="inlineStr">
        <is>
          <t>Кавоварка "Бразілія Рома"</t>
        </is>
      </c>
      <c r="C1612" s="37" t="inlineStr">
        <is>
          <t>к-т</t>
        </is>
      </c>
      <c r="D1612" s="33" t="n"/>
      <c r="E1612" s="33" t="n"/>
      <c r="F1612" s="33">
        <f>E1612*0.05</f>
        <v/>
      </c>
      <c r="G1612" s="33">
        <f>E1612+F1612</f>
        <v/>
      </c>
      <c r="H1612" s="33" t="n"/>
      <c r="I1612" s="33" t="n"/>
      <c r="J1612" s="33" t="n"/>
      <c r="K1612" s="33">
        <f>L1612+M1612+N1612</f>
        <v/>
      </c>
      <c r="L1612" s="33" t="n"/>
      <c r="M1612" s="33" t="n"/>
      <c r="N1612" s="33" t="n"/>
      <c r="O1612" s="33">
        <f>P1612+Q1612</f>
        <v/>
      </c>
      <c r="P1612" s="33" t="n"/>
      <c r="Q1612" s="33" t="n"/>
      <c r="R1612" s="33">
        <f>H1612+K1612-O1612</f>
        <v/>
      </c>
      <c r="S1612" s="33" t="n"/>
      <c r="T1612" s="33" t="n"/>
      <c r="U1612" s="33" t="n"/>
      <c r="V1612" s="33" t="n"/>
      <c r="W1612" s="33" t="n"/>
      <c r="X1612" s="33" t="n"/>
      <c r="Y1612" s="33" t="n"/>
      <c r="Z1612" s="33" t="n"/>
      <c r="AA1612" s="4">
        <f>R1612-G1612</f>
        <v/>
      </c>
      <c r="AB1612" s="4">
        <f>G1612-R1612</f>
        <v/>
      </c>
      <c r="AC1612" s="33" t="n"/>
    </row>
    <row r="1613" ht="18.75" customHeight="1">
      <c r="A1613" s="35">
        <f>SUBTOTAL(103,$B$24:B1613)</f>
        <v/>
      </c>
      <c r="B1613" s="36" t="inlineStr">
        <is>
          <t>Кавомашина Saeco Royal Office</t>
        </is>
      </c>
      <c r="C1613" s="37" t="inlineStr">
        <is>
          <t>к-т</t>
        </is>
      </c>
      <c r="D1613" s="33" t="n"/>
      <c r="E1613" s="33" t="n"/>
      <c r="F1613" s="33">
        <f>E1613*0.05</f>
        <v/>
      </c>
      <c r="G1613" s="33">
        <f>E1613+F1613</f>
        <v/>
      </c>
      <c r="H1613" s="33" t="n"/>
      <c r="I1613" s="33" t="n"/>
      <c r="J1613" s="33" t="n"/>
      <c r="K1613" s="33">
        <f>L1613+M1613+N1613</f>
        <v/>
      </c>
      <c r="L1613" s="33" t="n"/>
      <c r="M1613" s="33" t="n"/>
      <c r="N1613" s="33" t="n"/>
      <c r="O1613" s="33">
        <f>P1613+Q1613</f>
        <v/>
      </c>
      <c r="P1613" s="33" t="n"/>
      <c r="Q1613" s="33" t="n"/>
      <c r="R1613" s="33">
        <f>H1613+K1613-O1613</f>
        <v/>
      </c>
      <c r="S1613" s="33" t="n"/>
      <c r="T1613" s="33" t="n"/>
      <c r="U1613" s="33" t="n"/>
      <c r="V1613" s="33" t="n"/>
      <c r="W1613" s="33" t="n"/>
      <c r="X1613" s="33" t="n"/>
      <c r="Y1613" s="33" t="n"/>
      <c r="Z1613" s="33" t="n"/>
      <c r="AA1613" s="4">
        <f>R1613-G1613</f>
        <v/>
      </c>
      <c r="AB1613" s="4">
        <f>G1613-R1613</f>
        <v/>
      </c>
      <c r="AC1613" s="33" t="n"/>
    </row>
    <row r="1614" ht="18.75" customHeight="1">
      <c r="A1614" s="35">
        <f>SUBTOTAL(103,$B$24:B1614)</f>
        <v/>
      </c>
      <c r="B1614" s="36" t="inlineStr">
        <is>
          <t>Кавомашина Saeco Incanto HD 8827/09</t>
        </is>
      </c>
      <c r="C1614" s="37" t="inlineStr">
        <is>
          <t>к-т</t>
        </is>
      </c>
      <c r="D1614" s="33" t="n"/>
      <c r="E1614" s="33" t="n"/>
      <c r="F1614" s="33">
        <f>E1614*0.05</f>
        <v/>
      </c>
      <c r="G1614" s="33">
        <f>E1614+F1614</f>
        <v/>
      </c>
      <c r="H1614" s="33" t="n"/>
      <c r="I1614" s="33" t="n"/>
      <c r="J1614" s="33" t="n"/>
      <c r="K1614" s="33">
        <f>L1614+M1614+N1614</f>
        <v/>
      </c>
      <c r="L1614" s="33" t="n"/>
      <c r="M1614" s="33" t="n"/>
      <c r="N1614" s="33" t="n"/>
      <c r="O1614" s="33">
        <f>P1614+Q1614</f>
        <v/>
      </c>
      <c r="P1614" s="33" t="n"/>
      <c r="Q1614" s="33" t="n"/>
      <c r="R1614" s="33">
        <f>H1614+K1614-O1614</f>
        <v/>
      </c>
      <c r="S1614" s="33" t="n"/>
      <c r="T1614" s="33" t="n"/>
      <c r="U1614" s="33" t="n"/>
      <c r="V1614" s="33" t="n"/>
      <c r="W1614" s="33" t="n"/>
      <c r="X1614" s="33" t="n"/>
      <c r="Y1614" s="33" t="n"/>
      <c r="Z1614" s="33" t="n"/>
      <c r="AA1614" s="4">
        <f>R1614-G1614</f>
        <v/>
      </c>
      <c r="AB1614" s="4">
        <f>G1614-R1614</f>
        <v/>
      </c>
      <c r="AC1614" s="33" t="n"/>
    </row>
    <row r="1615" ht="18.75" customHeight="1">
      <c r="A1615" s="35">
        <f>SUBTOTAL(103,$B$24:B1615)</f>
        <v/>
      </c>
      <c r="B1615" s="36" t="inlineStr">
        <is>
          <t>Кавомашина Saeco Incanto HD 8912/09</t>
        </is>
      </c>
      <c r="C1615" s="37" t="inlineStr">
        <is>
          <t>к-т</t>
        </is>
      </c>
      <c r="D1615" s="33" t="n"/>
      <c r="E1615" s="33" t="n"/>
      <c r="F1615" s="33">
        <f>E1615*0.05</f>
        <v/>
      </c>
      <c r="G1615" s="33">
        <f>E1615+F1615</f>
        <v/>
      </c>
      <c r="H1615" s="33" t="n"/>
      <c r="I1615" s="33" t="n"/>
      <c r="J1615" s="33" t="n"/>
      <c r="K1615" s="33">
        <f>L1615+M1615+N1615</f>
        <v/>
      </c>
      <c r="L1615" s="33" t="n"/>
      <c r="M1615" s="33" t="n"/>
      <c r="N1615" s="33" t="n"/>
      <c r="O1615" s="33">
        <f>P1615+Q1615</f>
        <v/>
      </c>
      <c r="P1615" s="33" t="n"/>
      <c r="Q1615" s="33" t="n"/>
      <c r="R1615" s="33">
        <f>H1615+K1615-O1615</f>
        <v/>
      </c>
      <c r="S1615" s="33" t="n"/>
      <c r="T1615" s="33" t="n"/>
      <c r="U1615" s="33" t="n"/>
      <c r="V1615" s="33" t="n"/>
      <c r="W1615" s="33" t="n"/>
      <c r="X1615" s="33" t="n"/>
      <c r="Y1615" s="33" t="n"/>
      <c r="Z1615" s="33" t="n"/>
      <c r="AA1615" s="4">
        <f>R1615-G1615</f>
        <v/>
      </c>
      <c r="AB1615" s="4">
        <f>G1615-R1615</f>
        <v/>
      </c>
      <c r="AC1615" s="33" t="n"/>
    </row>
    <row r="1616" ht="18.75" customHeight="1">
      <c r="A1616" s="35">
        <f>SUBTOTAL(103,$B$24:B1616)</f>
        <v/>
      </c>
      <c r="B1616" s="36" t="inlineStr">
        <is>
          <t>Кавомашина Saeco Incanto HD 8918/09</t>
        </is>
      </c>
      <c r="C1616" s="37" t="inlineStr">
        <is>
          <t>к-т</t>
        </is>
      </c>
      <c r="D1616" s="33" t="n"/>
      <c r="E1616" s="33" t="n"/>
      <c r="F1616" s="33">
        <f>E1616*0.05</f>
        <v/>
      </c>
      <c r="G1616" s="33">
        <f>E1616+F1616</f>
        <v/>
      </c>
      <c r="H1616" s="33" t="n"/>
      <c r="I1616" s="33" t="n"/>
      <c r="J1616" s="33" t="n"/>
      <c r="K1616" s="33">
        <f>L1616+M1616+N1616</f>
        <v/>
      </c>
      <c r="L1616" s="33" t="n"/>
      <c r="M1616" s="33" t="n"/>
      <c r="N1616" s="33" t="n"/>
      <c r="O1616" s="33">
        <f>P1616+Q1616</f>
        <v/>
      </c>
      <c r="P1616" s="33" t="n"/>
      <c r="Q1616" s="33" t="n"/>
      <c r="R1616" s="33">
        <f>H1616+K1616-O1616</f>
        <v/>
      </c>
      <c r="S1616" s="33" t="n"/>
      <c r="T1616" s="33" t="n"/>
      <c r="U1616" s="33" t="n"/>
      <c r="V1616" s="33" t="n"/>
      <c r="W1616" s="33" t="n"/>
      <c r="X1616" s="33" t="n"/>
      <c r="Y1616" s="33" t="n"/>
      <c r="Z1616" s="33" t="n"/>
      <c r="AA1616" s="4">
        <f>R1616-G1616</f>
        <v/>
      </c>
      <c r="AB1616" s="4">
        <f>G1616-R1616</f>
        <v/>
      </c>
      <c r="AC1616" s="33" t="n"/>
    </row>
    <row r="1617" ht="18.75" customHeight="1">
      <c r="A1617" s="35">
        <f>SUBTOTAL(103,$B$24:B1617)</f>
        <v/>
      </c>
      <c r="B1617" s="36" t="inlineStr">
        <is>
          <t>Кавомашина Krups EA897A10</t>
        </is>
      </c>
      <c r="C1617" s="37" t="inlineStr">
        <is>
          <t>к-т</t>
        </is>
      </c>
      <c r="D1617" s="33" t="n"/>
      <c r="E1617" s="33" t="n"/>
      <c r="F1617" s="33">
        <f>E1617*0.05</f>
        <v/>
      </c>
      <c r="G1617" s="33">
        <f>E1617+F1617</f>
        <v/>
      </c>
      <c r="H1617" s="33" t="n"/>
      <c r="I1617" s="33" t="n"/>
      <c r="J1617" s="33" t="n"/>
      <c r="K1617" s="33">
        <f>L1617+M1617+N1617</f>
        <v/>
      </c>
      <c r="L1617" s="33" t="n"/>
      <c r="M1617" s="33" t="n"/>
      <c r="N1617" s="33" t="n"/>
      <c r="O1617" s="33">
        <f>P1617+Q1617</f>
        <v/>
      </c>
      <c r="P1617" s="33" t="n"/>
      <c r="Q1617" s="33" t="n"/>
      <c r="R1617" s="33">
        <f>H1617+K1617-O1617</f>
        <v/>
      </c>
      <c r="S1617" s="33" t="n"/>
      <c r="T1617" s="33" t="n"/>
      <c r="U1617" s="33" t="n"/>
      <c r="V1617" s="33" t="n"/>
      <c r="W1617" s="33" t="n"/>
      <c r="X1617" s="33" t="n"/>
      <c r="Y1617" s="33" t="n"/>
      <c r="Z1617" s="33" t="n"/>
      <c r="AA1617" s="4">
        <f>R1617-G1617</f>
        <v/>
      </c>
      <c r="AB1617" s="4">
        <f>G1617-R1617</f>
        <v/>
      </c>
      <c r="AC1617" s="33" t="n"/>
    </row>
    <row r="1618" ht="37.5" customHeight="1">
      <c r="A1618" s="35">
        <f>SUBTOTAL(103,$B$24:B1618)</f>
        <v/>
      </c>
      <c r="B1618" s="36" t="inlineStr">
        <is>
          <t>Кавомашина Krups Neskafe Dolce Gusto Snfissima</t>
        </is>
      </c>
      <c r="C1618" s="37" t="inlineStr">
        <is>
          <t>к-т</t>
        </is>
      </c>
      <c r="D1618" s="33" t="n"/>
      <c r="E1618" s="33" t="n"/>
      <c r="F1618" s="33">
        <f>E1618*0.05</f>
        <v/>
      </c>
      <c r="G1618" s="33">
        <f>E1618+F1618</f>
        <v/>
      </c>
      <c r="H1618" s="33" t="n"/>
      <c r="I1618" s="33" t="n"/>
      <c r="J1618" s="33" t="n"/>
      <c r="K1618" s="33">
        <f>L1618+M1618+N1618</f>
        <v/>
      </c>
      <c r="L1618" s="33" t="n"/>
      <c r="M1618" s="33" t="n"/>
      <c r="N1618" s="33" t="n"/>
      <c r="O1618" s="33">
        <f>P1618+Q1618</f>
        <v/>
      </c>
      <c r="P1618" s="33" t="n"/>
      <c r="Q1618" s="33" t="n"/>
      <c r="R1618" s="33">
        <f>H1618+K1618-O1618</f>
        <v/>
      </c>
      <c r="S1618" s="33" t="n"/>
      <c r="T1618" s="33" t="n"/>
      <c r="U1618" s="33" t="n"/>
      <c r="V1618" s="33" t="n"/>
      <c r="W1618" s="33" t="n"/>
      <c r="X1618" s="33" t="n"/>
      <c r="Y1618" s="33" t="n"/>
      <c r="Z1618" s="33" t="n"/>
      <c r="AA1618" s="4">
        <f>R1618-G1618</f>
        <v/>
      </c>
      <c r="AB1618" s="4">
        <f>G1618-R1618</f>
        <v/>
      </c>
      <c r="AC1618" s="33" t="n"/>
    </row>
    <row r="1619" ht="37.5" customHeight="1">
      <c r="A1619" s="35">
        <f>SUBTOTAL(103,$B$24:B1619)</f>
        <v/>
      </c>
      <c r="B1619" s="36" t="inlineStr">
        <is>
          <t>Кавомашина Krups Neskafe Dolce Gusto Ekspress KP240D</t>
        </is>
      </c>
      <c r="C1619" s="37" t="inlineStr">
        <is>
          <t>к-т</t>
        </is>
      </c>
      <c r="D1619" s="33" t="n"/>
      <c r="E1619" s="33" t="n"/>
      <c r="F1619" s="33">
        <f>E1619*0.05</f>
        <v/>
      </c>
      <c r="G1619" s="33">
        <f>E1619+F1619</f>
        <v/>
      </c>
      <c r="H1619" s="33" t="n"/>
      <c r="I1619" s="33" t="n"/>
      <c r="J1619" s="33" t="n"/>
      <c r="K1619" s="33">
        <f>L1619+M1619+N1619</f>
        <v/>
      </c>
      <c r="L1619" s="33" t="n"/>
      <c r="M1619" s="33" t="n"/>
      <c r="N1619" s="33" t="n"/>
      <c r="O1619" s="33">
        <f>P1619+Q1619</f>
        <v/>
      </c>
      <c r="P1619" s="33" t="n"/>
      <c r="Q1619" s="33" t="n"/>
      <c r="R1619" s="33">
        <f>H1619+K1619-O1619</f>
        <v/>
      </c>
      <c r="S1619" s="33" t="n"/>
      <c r="T1619" s="33" t="n"/>
      <c r="U1619" s="33" t="n"/>
      <c r="V1619" s="33" t="n"/>
      <c r="W1619" s="33" t="n"/>
      <c r="X1619" s="33" t="n"/>
      <c r="Y1619" s="33" t="n"/>
      <c r="Z1619" s="33" t="n"/>
      <c r="AA1619" s="4">
        <f>R1619-G1619</f>
        <v/>
      </c>
      <c r="AB1619" s="4">
        <f>G1619-R1619</f>
        <v/>
      </c>
      <c r="AC1619" s="33" t="n"/>
    </row>
    <row r="1620" ht="18.75" customHeight="1">
      <c r="A1620" s="35">
        <f>SUBTOTAL(103,$B$24:B1620)</f>
        <v/>
      </c>
      <c r="B1620" s="36" t="inlineStr">
        <is>
          <t>Кавомашина Krups Expert milk off Black</t>
        </is>
      </c>
      <c r="C1620" s="37" t="inlineStr">
        <is>
          <t>к-т</t>
        </is>
      </c>
      <c r="D1620" s="33" t="n"/>
      <c r="E1620" s="33" t="n"/>
      <c r="F1620" s="33">
        <f>E1620*0.05</f>
        <v/>
      </c>
      <c r="G1620" s="33">
        <f>E1620+F1620</f>
        <v/>
      </c>
      <c r="H1620" s="33" t="n"/>
      <c r="I1620" s="33" t="n"/>
      <c r="J1620" s="33" t="n"/>
      <c r="K1620" s="33">
        <f>L1620+M1620+N1620</f>
        <v/>
      </c>
      <c r="L1620" s="33" t="n"/>
      <c r="M1620" s="33" t="n"/>
      <c r="N1620" s="33" t="n"/>
      <c r="O1620" s="33">
        <f>P1620+Q1620</f>
        <v/>
      </c>
      <c r="P1620" s="33" t="n"/>
      <c r="Q1620" s="33" t="n"/>
      <c r="R1620" s="33">
        <f>H1620+K1620-O1620</f>
        <v/>
      </c>
      <c r="S1620" s="33" t="n"/>
      <c r="T1620" s="33" t="n"/>
      <c r="U1620" s="33" t="n"/>
      <c r="V1620" s="33" t="n"/>
      <c r="W1620" s="33" t="n"/>
      <c r="X1620" s="33" t="n"/>
      <c r="Y1620" s="33" t="n"/>
      <c r="Z1620" s="33" t="n"/>
      <c r="AA1620" s="4">
        <f>R1620-G1620</f>
        <v/>
      </c>
      <c r="AB1620" s="4">
        <f>G1620-R1620</f>
        <v/>
      </c>
      <c r="AC1620" s="33" t="n"/>
    </row>
    <row r="1621" ht="18.75" customHeight="1">
      <c r="A1621" s="35">
        <f>SUBTOTAL(103,$B$24:B1621)</f>
        <v/>
      </c>
      <c r="B1621" s="36" t="inlineStr">
        <is>
          <t xml:space="preserve">Кавомашина Delonghi </t>
        </is>
      </c>
      <c r="C1621" s="37" t="inlineStr">
        <is>
          <t>к-т</t>
        </is>
      </c>
      <c r="D1621" s="33" t="n"/>
      <c r="E1621" s="33" t="n"/>
      <c r="F1621" s="33">
        <f>E1621*0.05</f>
        <v/>
      </c>
      <c r="G1621" s="33">
        <f>E1621+F1621</f>
        <v/>
      </c>
      <c r="H1621" s="33" t="n"/>
      <c r="I1621" s="33" t="n"/>
      <c r="J1621" s="33" t="n"/>
      <c r="K1621" s="33">
        <f>L1621+M1621+N1621</f>
        <v/>
      </c>
      <c r="L1621" s="33" t="n"/>
      <c r="M1621" s="33" t="n"/>
      <c r="N1621" s="33" t="n"/>
      <c r="O1621" s="33">
        <f>P1621+Q1621</f>
        <v/>
      </c>
      <c r="P1621" s="33" t="n"/>
      <c r="Q1621" s="33" t="n"/>
      <c r="R1621" s="33">
        <f>H1621+K1621-O1621</f>
        <v/>
      </c>
      <c r="S1621" s="33" t="n"/>
      <c r="T1621" s="33" t="n"/>
      <c r="U1621" s="33" t="n"/>
      <c r="V1621" s="33" t="n"/>
      <c r="W1621" s="33" t="n"/>
      <c r="X1621" s="33" t="n"/>
      <c r="Y1621" s="33" t="n"/>
      <c r="Z1621" s="33" t="n"/>
      <c r="AA1621" s="4">
        <f>R1621-G1621</f>
        <v/>
      </c>
      <c r="AB1621" s="4">
        <f>G1621-R1621</f>
        <v/>
      </c>
      <c r="AC1621" s="33" t="n"/>
    </row>
    <row r="1622" ht="18.75" customHeight="1">
      <c r="A1622" s="35">
        <f>SUBTOTAL(103,$B$24:B1622)</f>
        <v/>
      </c>
      <c r="B1622" s="36" t="inlineStr">
        <is>
          <t>Кавоварка Delonghi</t>
        </is>
      </c>
      <c r="C1622" s="37" t="inlineStr">
        <is>
          <t>к-т</t>
        </is>
      </c>
      <c r="D1622" s="33" t="n"/>
      <c r="E1622" s="33" t="n"/>
      <c r="F1622" s="33">
        <f>E1622*0.05</f>
        <v/>
      </c>
      <c r="G1622" s="33">
        <f>E1622+F1622</f>
        <v/>
      </c>
      <c r="H1622" s="33" t="n"/>
      <c r="I1622" s="33" t="n"/>
      <c r="J1622" s="33" t="n"/>
      <c r="K1622" s="33">
        <f>L1622+M1622+N1622</f>
        <v/>
      </c>
      <c r="L1622" s="33" t="n"/>
      <c r="M1622" s="33" t="n"/>
      <c r="N1622" s="33" t="n"/>
      <c r="O1622" s="33">
        <f>P1622+Q1622</f>
        <v/>
      </c>
      <c r="P1622" s="33" t="n"/>
      <c r="Q1622" s="33" t="n"/>
      <c r="R1622" s="33">
        <f>H1622+K1622-O1622</f>
        <v/>
      </c>
      <c r="S1622" s="33" t="n"/>
      <c r="T1622" s="33" t="n"/>
      <c r="U1622" s="33" t="n"/>
      <c r="V1622" s="33" t="n"/>
      <c r="W1622" s="33" t="n"/>
      <c r="X1622" s="33" t="n"/>
      <c r="Y1622" s="33" t="n"/>
      <c r="Z1622" s="33" t="n"/>
      <c r="AA1622" s="4">
        <f>R1622-G1622</f>
        <v/>
      </c>
      <c r="AB1622" s="4">
        <f>G1622-R1622</f>
        <v/>
      </c>
      <c r="AC1622" s="33" t="n"/>
    </row>
    <row r="1623" ht="18.75" customHeight="1">
      <c r="A1623" s="35">
        <f>SUBTOTAL(103,$B$24:B1623)</f>
        <v/>
      </c>
      <c r="B1623" s="36" t="inlineStr">
        <is>
          <t>Кавомашина Saeco Lirika</t>
        </is>
      </c>
      <c r="C1623" s="37" t="inlineStr">
        <is>
          <t>к-т</t>
        </is>
      </c>
      <c r="D1623" s="33" t="n"/>
      <c r="E1623" s="33" t="n"/>
      <c r="F1623" s="33">
        <f>E1623*0.05</f>
        <v/>
      </c>
      <c r="G1623" s="33">
        <f>E1623+F1623</f>
        <v/>
      </c>
      <c r="H1623" s="33" t="n"/>
      <c r="I1623" s="33" t="n"/>
      <c r="J1623" s="33" t="n"/>
      <c r="K1623" s="33">
        <f>L1623+M1623+N1623</f>
        <v/>
      </c>
      <c r="L1623" s="33" t="n"/>
      <c r="M1623" s="33" t="n"/>
      <c r="N1623" s="33" t="n"/>
      <c r="O1623" s="33">
        <f>P1623+Q1623</f>
        <v/>
      </c>
      <c r="P1623" s="33" t="n"/>
      <c r="Q1623" s="33" t="n"/>
      <c r="R1623" s="33">
        <f>H1623+K1623-O1623</f>
        <v/>
      </c>
      <c r="S1623" s="33" t="n"/>
      <c r="T1623" s="33" t="n"/>
      <c r="U1623" s="33" t="n"/>
      <c r="V1623" s="33" t="n"/>
      <c r="W1623" s="33" t="n"/>
      <c r="X1623" s="33" t="n"/>
      <c r="Y1623" s="33" t="n"/>
      <c r="Z1623" s="33" t="n"/>
      <c r="AA1623" s="4">
        <f>R1623-G1623</f>
        <v/>
      </c>
      <c r="AB1623" s="4">
        <f>G1623-R1623</f>
        <v/>
      </c>
      <c r="AC1623" s="33" t="n"/>
    </row>
    <row r="1624" ht="37.5" customHeight="1">
      <c r="A1624" s="35">
        <f>SUBTOTAL(103,$B$24:B1624)</f>
        <v/>
      </c>
      <c r="B1624" s="36" t="inlineStr">
        <is>
          <t>Кавомашина Saeco RI9840/01 Lirika Black</t>
        </is>
      </c>
      <c r="C1624" s="37" t="inlineStr">
        <is>
          <t>к-т</t>
        </is>
      </c>
      <c r="D1624" s="33" t="n"/>
      <c r="E1624" s="33" t="n"/>
      <c r="F1624" s="33">
        <f>E1624*0.05</f>
        <v/>
      </c>
      <c r="G1624" s="33">
        <f>E1624+F1624</f>
        <v/>
      </c>
      <c r="H1624" s="33" t="n"/>
      <c r="I1624" s="33" t="n"/>
      <c r="J1624" s="33" t="n"/>
      <c r="K1624" s="33">
        <f>L1624+M1624+N1624</f>
        <v/>
      </c>
      <c r="L1624" s="33" t="n"/>
      <c r="M1624" s="33" t="n"/>
      <c r="N1624" s="33" t="n"/>
      <c r="O1624" s="33">
        <f>P1624+Q1624</f>
        <v/>
      </c>
      <c r="P1624" s="33" t="n"/>
      <c r="Q1624" s="33" t="n"/>
      <c r="R1624" s="33">
        <f>H1624+K1624-O1624</f>
        <v/>
      </c>
      <c r="S1624" s="33" t="n"/>
      <c r="T1624" s="33" t="n"/>
      <c r="U1624" s="33" t="n"/>
      <c r="V1624" s="33" t="n"/>
      <c r="W1624" s="33" t="n"/>
      <c r="X1624" s="33" t="n"/>
      <c r="Y1624" s="33" t="n"/>
      <c r="Z1624" s="33" t="n"/>
      <c r="AA1624" s="4">
        <f>R1624-G1624</f>
        <v/>
      </c>
      <c r="AB1624" s="4">
        <f>G1624-R1624</f>
        <v/>
      </c>
      <c r="AC1624" s="33" t="n"/>
    </row>
    <row r="1625" ht="18.75" customHeight="1">
      <c r="A1625" s="35">
        <f>SUBTOTAL(103,$B$24:B1625)</f>
        <v/>
      </c>
      <c r="B1625" s="36" t="inlineStr">
        <is>
          <t>Кавомашина Saeco Lirika RI9851/01</t>
        </is>
      </c>
      <c r="C1625" s="37" t="inlineStr">
        <is>
          <t>к-т</t>
        </is>
      </c>
      <c r="D1625" s="33" t="n"/>
      <c r="E1625" s="33" t="n"/>
      <c r="F1625" s="33">
        <f>E1625*0.05</f>
        <v/>
      </c>
      <c r="G1625" s="33">
        <f>E1625+F1625</f>
        <v/>
      </c>
      <c r="H1625" s="33" t="n"/>
      <c r="I1625" s="33" t="n"/>
      <c r="J1625" s="33" t="n"/>
      <c r="K1625" s="33">
        <f>L1625+M1625+N1625</f>
        <v/>
      </c>
      <c r="L1625" s="33" t="n"/>
      <c r="M1625" s="33" t="n"/>
      <c r="N1625" s="33" t="n"/>
      <c r="O1625" s="33">
        <f>P1625+Q1625</f>
        <v/>
      </c>
      <c r="P1625" s="33" t="n"/>
      <c r="Q1625" s="33" t="n"/>
      <c r="R1625" s="33">
        <f>H1625+K1625-O1625</f>
        <v/>
      </c>
      <c r="S1625" s="33" t="n"/>
      <c r="T1625" s="33" t="n"/>
      <c r="U1625" s="33" t="n"/>
      <c r="V1625" s="33" t="n"/>
      <c r="W1625" s="33" t="n"/>
      <c r="X1625" s="33" t="n"/>
      <c r="Y1625" s="33" t="n"/>
      <c r="Z1625" s="33" t="n"/>
      <c r="AA1625" s="4">
        <f>R1625-G1625</f>
        <v/>
      </c>
      <c r="AB1625" s="4">
        <f>G1625-R1625</f>
        <v/>
      </c>
      <c r="AC1625" s="33" t="n"/>
    </row>
    <row r="1626" ht="18.75" customHeight="1">
      <c r="A1626" s="35">
        <f>SUBTOTAL(103,$B$24:B1626)</f>
        <v/>
      </c>
      <c r="B1626" s="36" t="inlineStr">
        <is>
          <t>Кавоварка "Аврора 450Вт"</t>
        </is>
      </c>
      <c r="C1626" s="37" t="inlineStr">
        <is>
          <t>к-т</t>
        </is>
      </c>
      <c r="D1626" s="33" t="n"/>
      <c r="E1626" s="33" t="n"/>
      <c r="F1626" s="33">
        <f>E1626*0.05</f>
        <v/>
      </c>
      <c r="G1626" s="33">
        <f>E1626+F1626</f>
        <v/>
      </c>
      <c r="H1626" s="33" t="n"/>
      <c r="I1626" s="33" t="n"/>
      <c r="J1626" s="33" t="n"/>
      <c r="K1626" s="33">
        <f>L1626+M1626+N1626</f>
        <v/>
      </c>
      <c r="L1626" s="33" t="n"/>
      <c r="M1626" s="33" t="n"/>
      <c r="N1626" s="33" t="n"/>
      <c r="O1626" s="33">
        <f>P1626+Q1626</f>
        <v/>
      </c>
      <c r="P1626" s="33" t="n"/>
      <c r="Q1626" s="33" t="n"/>
      <c r="R1626" s="33">
        <f>H1626+K1626-O1626</f>
        <v/>
      </c>
      <c r="S1626" s="33" t="n"/>
      <c r="T1626" s="33" t="n"/>
      <c r="U1626" s="33" t="n"/>
      <c r="V1626" s="33" t="n"/>
      <c r="W1626" s="33" t="n"/>
      <c r="X1626" s="33" t="n"/>
      <c r="Y1626" s="33" t="n"/>
      <c r="Z1626" s="33" t="n"/>
      <c r="AA1626" s="4">
        <f>R1626-G1626</f>
        <v/>
      </c>
      <c r="AB1626" s="4">
        <f>G1626-R1626</f>
        <v/>
      </c>
      <c r="AC1626" s="33" t="n"/>
    </row>
    <row r="1627" ht="18.75" customHeight="1">
      <c r="A1627" s="35">
        <f>SUBTOTAL(103,$B$24:B1627)</f>
        <v/>
      </c>
      <c r="B1627" s="36" t="inlineStr">
        <is>
          <t>Кавоварка "Аврора 1000Вт"</t>
        </is>
      </c>
      <c r="C1627" s="37" t="inlineStr">
        <is>
          <t>к-т</t>
        </is>
      </c>
      <c r="D1627" s="33" t="n"/>
      <c r="E1627" s="33" t="n"/>
      <c r="F1627" s="33">
        <f>E1627*0.05</f>
        <v/>
      </c>
      <c r="G1627" s="33">
        <f>E1627+F1627</f>
        <v/>
      </c>
      <c r="H1627" s="33" t="n"/>
      <c r="I1627" s="33" t="n"/>
      <c r="J1627" s="33" t="n"/>
      <c r="K1627" s="33">
        <f>L1627+M1627+N1627</f>
        <v/>
      </c>
      <c r="L1627" s="33" t="n"/>
      <c r="M1627" s="33" t="n"/>
      <c r="N1627" s="33" t="n"/>
      <c r="O1627" s="33">
        <f>P1627+Q1627</f>
        <v/>
      </c>
      <c r="P1627" s="33" t="n"/>
      <c r="Q1627" s="33" t="n"/>
      <c r="R1627" s="33">
        <f>H1627+K1627-O1627</f>
        <v/>
      </c>
      <c r="S1627" s="33" t="n"/>
      <c r="T1627" s="33" t="n"/>
      <c r="U1627" s="33" t="n"/>
      <c r="V1627" s="33" t="n"/>
      <c r="W1627" s="33" t="n"/>
      <c r="X1627" s="33" t="n"/>
      <c r="Y1627" s="33" t="n"/>
      <c r="Z1627" s="33" t="n"/>
      <c r="AA1627" s="4">
        <f>R1627-G1627</f>
        <v/>
      </c>
      <c r="AB1627" s="4">
        <f>G1627-R1627</f>
        <v/>
      </c>
      <c r="AC1627" s="33" t="n"/>
    </row>
    <row r="1628" ht="18.75" customHeight="1">
      <c r="A1628" s="35">
        <f>SUBTOTAL(103,$B$24:B1628)</f>
        <v/>
      </c>
      <c r="B1628" s="36" t="inlineStr">
        <is>
          <t>Кавоварка "Simens TK-69009"</t>
        </is>
      </c>
      <c r="C1628" s="37" t="inlineStr">
        <is>
          <t>к-т</t>
        </is>
      </c>
      <c r="D1628" s="33" t="n"/>
      <c r="E1628" s="33" t="n"/>
      <c r="F1628" s="33">
        <f>E1628*0.05</f>
        <v/>
      </c>
      <c r="G1628" s="33">
        <f>E1628+F1628</f>
        <v/>
      </c>
      <c r="H1628" s="33" t="n"/>
      <c r="I1628" s="33" t="n"/>
      <c r="J1628" s="33" t="n"/>
      <c r="K1628" s="33">
        <f>L1628+M1628+N1628</f>
        <v/>
      </c>
      <c r="L1628" s="33" t="n"/>
      <c r="M1628" s="33" t="n"/>
      <c r="N1628" s="33" t="n"/>
      <c r="O1628" s="33">
        <f>P1628+Q1628</f>
        <v/>
      </c>
      <c r="P1628" s="33" t="n"/>
      <c r="Q1628" s="33" t="n"/>
      <c r="R1628" s="33">
        <f>H1628+K1628-O1628</f>
        <v/>
      </c>
      <c r="S1628" s="33" t="n"/>
      <c r="T1628" s="33" t="n"/>
      <c r="U1628" s="33" t="n"/>
      <c r="V1628" s="33" t="n"/>
      <c r="W1628" s="33" t="n"/>
      <c r="X1628" s="33" t="n"/>
      <c r="Y1628" s="33" t="n"/>
      <c r="Z1628" s="33" t="n"/>
      <c r="AA1628" s="4">
        <f>R1628-G1628</f>
        <v/>
      </c>
      <c r="AB1628" s="4">
        <f>G1628-R1628</f>
        <v/>
      </c>
      <c r="AC1628" s="33" t="n"/>
    </row>
    <row r="1629" ht="18.75" customHeight="1">
      <c r="A1629" s="35">
        <f>SUBTOTAL(103,$B$24:B1629)</f>
        <v/>
      </c>
      <c r="B1629" s="36" t="inlineStr">
        <is>
          <t>Кавоварка "Simens TI30A209RW"</t>
        </is>
      </c>
      <c r="C1629" s="37" t="inlineStr">
        <is>
          <t>к-т</t>
        </is>
      </c>
      <c r="D1629" s="33" t="n"/>
      <c r="E1629" s="33" t="n"/>
      <c r="F1629" s="33">
        <f>E1629*0.05</f>
        <v/>
      </c>
      <c r="G1629" s="33">
        <f>E1629+F1629</f>
        <v/>
      </c>
      <c r="H1629" s="33" t="n"/>
      <c r="I1629" s="33" t="n"/>
      <c r="J1629" s="33" t="n"/>
      <c r="K1629" s="33">
        <f>L1629+M1629+N1629</f>
        <v/>
      </c>
      <c r="L1629" s="33" t="n"/>
      <c r="M1629" s="33" t="n"/>
      <c r="N1629" s="33" t="n"/>
      <c r="O1629" s="33">
        <f>P1629+Q1629</f>
        <v/>
      </c>
      <c r="P1629" s="33" t="n"/>
      <c r="Q1629" s="33" t="n"/>
      <c r="R1629" s="33">
        <f>H1629+K1629-O1629</f>
        <v/>
      </c>
      <c r="S1629" s="33" t="n"/>
      <c r="T1629" s="33" t="n"/>
      <c r="U1629" s="33" t="n"/>
      <c r="V1629" s="33" t="n"/>
      <c r="W1629" s="33" t="n"/>
      <c r="X1629" s="33" t="n"/>
      <c r="Y1629" s="33" t="n"/>
      <c r="Z1629" s="33" t="n"/>
      <c r="AA1629" s="4">
        <f>R1629-G1629</f>
        <v/>
      </c>
      <c r="AB1629" s="4">
        <f>G1629-R1629</f>
        <v/>
      </c>
      <c r="AC1629" s="33" t="n"/>
    </row>
    <row r="1630" ht="18.75" customHeight="1">
      <c r="A1630" s="35">
        <f>SUBTOTAL(103,$B$24:B1630)</f>
        <v/>
      </c>
      <c r="B1630" s="36" t="inlineStr">
        <is>
          <t>Кавоварка "Simens TI305206RW"</t>
        </is>
      </c>
      <c r="C1630" s="37" t="inlineStr">
        <is>
          <t>к-т</t>
        </is>
      </c>
      <c r="D1630" s="33" t="n"/>
      <c r="E1630" s="33" t="n"/>
      <c r="F1630" s="33">
        <f>E1630*0.05</f>
        <v/>
      </c>
      <c r="G1630" s="33">
        <f>E1630+F1630</f>
        <v/>
      </c>
      <c r="H1630" s="33" t="n"/>
      <c r="I1630" s="33" t="n"/>
      <c r="J1630" s="33" t="n"/>
      <c r="K1630" s="33">
        <f>L1630+M1630+N1630</f>
        <v/>
      </c>
      <c r="L1630" s="33" t="n"/>
      <c r="M1630" s="33" t="n"/>
      <c r="N1630" s="33" t="n"/>
      <c r="O1630" s="33">
        <f>P1630+Q1630</f>
        <v/>
      </c>
      <c r="P1630" s="33" t="n"/>
      <c r="Q1630" s="33" t="n"/>
      <c r="R1630" s="33">
        <f>H1630+K1630-O1630</f>
        <v/>
      </c>
      <c r="S1630" s="33" t="n"/>
      <c r="T1630" s="33" t="n"/>
      <c r="U1630" s="33" t="n"/>
      <c r="V1630" s="33" t="n"/>
      <c r="W1630" s="33" t="n"/>
      <c r="X1630" s="33" t="n"/>
      <c r="Y1630" s="33" t="n"/>
      <c r="Z1630" s="33" t="n"/>
      <c r="AA1630" s="4">
        <f>R1630-G1630</f>
        <v/>
      </c>
      <c r="AB1630" s="4">
        <f>G1630-R1630</f>
        <v/>
      </c>
      <c r="AC1630" s="33" t="n"/>
    </row>
    <row r="1631" ht="37.5" customHeight="1">
      <c r="A1631" s="35">
        <f>SUBTOTAL(103,$B$24:B1631)</f>
        <v/>
      </c>
      <c r="B1631" s="36" t="inlineStr">
        <is>
          <t>Кавоварка N. Simonelli NSIM APPIA II V 2 GR</t>
        </is>
      </c>
      <c r="C1631" s="37" t="inlineStr">
        <is>
          <t>к-т</t>
        </is>
      </c>
      <c r="D1631" s="33" t="n"/>
      <c r="E1631" s="33" t="n"/>
      <c r="F1631" s="33">
        <f>E1631*0.05</f>
        <v/>
      </c>
      <c r="G1631" s="33">
        <f>E1631+F1631</f>
        <v/>
      </c>
      <c r="H1631" s="33" t="n"/>
      <c r="I1631" s="33" t="n"/>
      <c r="J1631" s="33" t="n"/>
      <c r="K1631" s="33">
        <f>L1631+M1631+N1631</f>
        <v/>
      </c>
      <c r="L1631" s="33" t="n"/>
      <c r="M1631" s="33" t="n"/>
      <c r="N1631" s="33" t="n"/>
      <c r="O1631" s="33">
        <f>P1631+Q1631</f>
        <v/>
      </c>
      <c r="P1631" s="33" t="n"/>
      <c r="Q1631" s="33" t="n"/>
      <c r="R1631" s="33">
        <f>H1631+K1631-O1631</f>
        <v/>
      </c>
      <c r="S1631" s="33" t="n"/>
      <c r="T1631" s="33" t="n"/>
      <c r="U1631" s="33" t="n"/>
      <c r="V1631" s="33" t="n"/>
      <c r="W1631" s="33" t="n"/>
      <c r="X1631" s="33" t="n"/>
      <c r="Y1631" s="33" t="n"/>
      <c r="Z1631" s="33" t="n"/>
      <c r="AA1631" s="4">
        <f>R1631-G1631</f>
        <v/>
      </c>
      <c r="AB1631" s="4">
        <f>G1631-R1631</f>
        <v/>
      </c>
      <c r="AC1631" s="33" t="n"/>
    </row>
    <row r="1632" ht="18.75" customHeight="1">
      <c r="A1632" s="35">
        <f>SUBTOTAL(103,$B$24:B1632)</f>
        <v/>
      </c>
      <c r="B1632" s="36" t="inlineStr">
        <is>
          <t>Кавоварка Liberlys f12 M Plys</t>
        </is>
      </c>
      <c r="C1632" s="37" t="inlineStr">
        <is>
          <t>к-т</t>
        </is>
      </c>
      <c r="D1632" s="33" t="n"/>
      <c r="E1632" s="33" t="n"/>
      <c r="F1632" s="33">
        <f>E1632*0.05</f>
        <v/>
      </c>
      <c r="G1632" s="33">
        <f>E1632+F1632</f>
        <v/>
      </c>
      <c r="H1632" s="33" t="n"/>
      <c r="I1632" s="33" t="n"/>
      <c r="J1632" s="33" t="n"/>
      <c r="K1632" s="33">
        <f>L1632+M1632+N1632</f>
        <v/>
      </c>
      <c r="L1632" s="33" t="n"/>
      <c r="M1632" s="33" t="n"/>
      <c r="N1632" s="33" t="n"/>
      <c r="O1632" s="33">
        <f>P1632+Q1632</f>
        <v/>
      </c>
      <c r="P1632" s="33" t="n"/>
      <c r="Q1632" s="33" t="n"/>
      <c r="R1632" s="33">
        <f>H1632+K1632-O1632</f>
        <v/>
      </c>
      <c r="S1632" s="33" t="n"/>
      <c r="T1632" s="33" t="n"/>
      <c r="U1632" s="33" t="n"/>
      <c r="V1632" s="33" t="n"/>
      <c r="W1632" s="33" t="n"/>
      <c r="X1632" s="33" t="n"/>
      <c r="Y1632" s="33" t="n"/>
      <c r="Z1632" s="33" t="n"/>
      <c r="AA1632" s="4">
        <f>R1632-G1632</f>
        <v/>
      </c>
      <c r="AB1632" s="4">
        <f>G1632-R1632</f>
        <v/>
      </c>
      <c r="AC1632" s="33" t="n"/>
    </row>
    <row r="1633" ht="18.75" customHeight="1">
      <c r="A1633" s="35">
        <f>SUBTOTAL(103,$B$24:B1633)</f>
        <v/>
      </c>
      <c r="B1633" s="36" t="inlineStr">
        <is>
          <t>Кавоварка Spinel</t>
        </is>
      </c>
      <c r="C1633" s="37" t="inlineStr">
        <is>
          <t>к-т</t>
        </is>
      </c>
      <c r="D1633" s="33" t="n"/>
      <c r="E1633" s="33" t="n"/>
      <c r="F1633" s="33">
        <f>E1633*0.05</f>
        <v/>
      </c>
      <c r="G1633" s="33">
        <f>E1633+F1633</f>
        <v/>
      </c>
      <c r="H1633" s="33" t="n"/>
      <c r="I1633" s="33" t="n"/>
      <c r="J1633" s="33" t="n"/>
      <c r="K1633" s="33">
        <f>L1633+M1633+N1633</f>
        <v/>
      </c>
      <c r="L1633" s="33" t="n"/>
      <c r="M1633" s="33" t="n"/>
      <c r="N1633" s="33" t="n"/>
      <c r="O1633" s="33">
        <f>P1633+Q1633</f>
        <v/>
      </c>
      <c r="P1633" s="33" t="n"/>
      <c r="Q1633" s="33" t="n"/>
      <c r="R1633" s="33">
        <f>H1633+K1633-O1633</f>
        <v/>
      </c>
      <c r="S1633" s="33" t="n"/>
      <c r="T1633" s="33" t="n"/>
      <c r="U1633" s="33" t="n"/>
      <c r="V1633" s="33" t="n"/>
      <c r="W1633" s="33" t="n"/>
      <c r="X1633" s="33" t="n"/>
      <c r="Y1633" s="33" t="n"/>
      <c r="Z1633" s="33" t="n"/>
      <c r="AA1633" s="4">
        <f>R1633-G1633</f>
        <v/>
      </c>
      <c r="AB1633" s="4">
        <f>G1633-R1633</f>
        <v/>
      </c>
      <c r="AC1633" s="33" t="n"/>
    </row>
    <row r="1634" ht="18.75" customHeight="1">
      <c r="A1634" s="35">
        <f>SUBTOTAL(103,$B$24:B1634)</f>
        <v/>
      </c>
      <c r="B1634" s="36" t="inlineStr">
        <is>
          <t>Кавомашина Siemens</t>
        </is>
      </c>
      <c r="C1634" s="37" t="inlineStr">
        <is>
          <t>к-т</t>
        </is>
      </c>
      <c r="D1634" s="33" t="n"/>
      <c r="E1634" s="33" t="n"/>
      <c r="F1634" s="33">
        <f>E1634*0.05</f>
        <v/>
      </c>
      <c r="G1634" s="33">
        <f>E1634+F1634</f>
        <v/>
      </c>
      <c r="H1634" s="33" t="n"/>
      <c r="I1634" s="33" t="n"/>
      <c r="J1634" s="33" t="n"/>
      <c r="K1634" s="33">
        <f>L1634+M1634+N1634</f>
        <v/>
      </c>
      <c r="L1634" s="33" t="n"/>
      <c r="M1634" s="33" t="n"/>
      <c r="N1634" s="33" t="n"/>
      <c r="O1634" s="33">
        <f>P1634+Q1634</f>
        <v/>
      </c>
      <c r="P1634" s="33" t="n"/>
      <c r="Q1634" s="33" t="n"/>
      <c r="R1634" s="33">
        <f>H1634+K1634-O1634</f>
        <v/>
      </c>
      <c r="S1634" s="33" t="n"/>
      <c r="T1634" s="33" t="n"/>
      <c r="U1634" s="33" t="n"/>
      <c r="V1634" s="33" t="n"/>
      <c r="W1634" s="33" t="n"/>
      <c r="X1634" s="33" t="n"/>
      <c r="Y1634" s="33" t="n"/>
      <c r="Z1634" s="33" t="n"/>
      <c r="AA1634" s="4">
        <f>R1634-G1634</f>
        <v/>
      </c>
      <c r="AB1634" s="4">
        <f>G1634-R1634</f>
        <v/>
      </c>
      <c r="AC1634" s="33" t="n"/>
    </row>
    <row r="1635" ht="37.5" customHeight="1">
      <c r="A1635" s="35">
        <f>SUBTOTAL(103,$B$24:B1635)</f>
        <v/>
      </c>
      <c r="B1635" s="36" t="inlineStr">
        <is>
          <t>Кавомашина OCS Saeco Lirika Blk 230/50 SCH</t>
        </is>
      </c>
      <c r="C1635" s="37" t="inlineStr">
        <is>
          <t>к-т</t>
        </is>
      </c>
      <c r="D1635" s="33" t="n"/>
      <c r="E1635" s="33" t="n"/>
      <c r="F1635" s="33">
        <f>E1635*0.05</f>
        <v/>
      </c>
      <c r="G1635" s="33">
        <f>E1635+F1635</f>
        <v/>
      </c>
      <c r="H1635" s="33" t="n"/>
      <c r="I1635" s="33" t="n"/>
      <c r="J1635" s="33" t="n"/>
      <c r="K1635" s="33">
        <f>L1635+M1635+N1635</f>
        <v/>
      </c>
      <c r="L1635" s="33" t="n"/>
      <c r="M1635" s="33" t="n"/>
      <c r="N1635" s="33" t="n"/>
      <c r="O1635" s="33">
        <f>P1635+Q1635</f>
        <v/>
      </c>
      <c r="P1635" s="33" t="n"/>
      <c r="Q1635" s="33" t="n"/>
      <c r="R1635" s="33">
        <f>H1635+K1635-O1635</f>
        <v/>
      </c>
      <c r="S1635" s="33" t="n"/>
      <c r="T1635" s="33" t="n"/>
      <c r="U1635" s="33" t="n"/>
      <c r="V1635" s="33" t="n"/>
      <c r="W1635" s="33" t="n"/>
      <c r="X1635" s="33" t="n"/>
      <c r="Y1635" s="33" t="n"/>
      <c r="Z1635" s="33" t="n"/>
      <c r="AA1635" s="4">
        <f>R1635-G1635</f>
        <v/>
      </c>
      <c r="AB1635" s="4">
        <f>G1635-R1635</f>
        <v/>
      </c>
      <c r="AC1635" s="33" t="n"/>
    </row>
    <row r="1636" ht="18.75" customHeight="1">
      <c r="A1636" s="35">
        <f>SUBTOTAL(103,$B$24:B1636)</f>
        <v/>
      </c>
      <c r="B1636" s="36" t="inlineStr">
        <is>
          <t>Кавоварка ERGO EM-2375</t>
        </is>
      </c>
      <c r="C1636" s="37" t="inlineStr">
        <is>
          <t>к-т</t>
        </is>
      </c>
      <c r="D1636" s="33" t="n"/>
      <c r="E1636" s="33" t="n"/>
      <c r="F1636" s="33">
        <f>E1636*0.05</f>
        <v/>
      </c>
      <c r="G1636" s="33">
        <f>E1636+F1636</f>
        <v/>
      </c>
      <c r="H1636" s="33" t="n"/>
      <c r="I1636" s="33" t="n"/>
      <c r="J1636" s="33" t="n"/>
      <c r="K1636" s="33">
        <f>L1636+M1636+N1636</f>
        <v/>
      </c>
      <c r="L1636" s="33" t="n"/>
      <c r="M1636" s="33" t="n"/>
      <c r="N1636" s="33" t="n"/>
      <c r="O1636" s="33">
        <f>P1636+Q1636</f>
        <v/>
      </c>
      <c r="P1636" s="33" t="n"/>
      <c r="Q1636" s="33" t="n"/>
      <c r="R1636" s="33">
        <f>H1636+K1636-O1636</f>
        <v/>
      </c>
      <c r="S1636" s="33" t="n"/>
      <c r="T1636" s="33" t="n"/>
      <c r="U1636" s="33" t="n"/>
      <c r="V1636" s="33" t="n"/>
      <c r="W1636" s="33" t="n"/>
      <c r="X1636" s="33" t="n"/>
      <c r="Y1636" s="33" t="n"/>
      <c r="Z1636" s="33" t="n"/>
      <c r="AA1636" s="4">
        <f>R1636-G1636</f>
        <v/>
      </c>
      <c r="AB1636" s="4">
        <f>G1636-R1636</f>
        <v/>
      </c>
      <c r="AC1636" s="33" t="n"/>
    </row>
    <row r="1637" ht="37.5" customHeight="1">
      <c r="A1637" s="35">
        <f>SUBTOTAL(103,$B$24:B1637)</f>
        <v/>
      </c>
      <c r="B1637" s="36" t="inlineStr">
        <is>
          <t>Кавоварка двопостова напівавтоматична AEP/2 PRATIC</t>
        </is>
      </c>
      <c r="C1637" s="37" t="inlineStr">
        <is>
          <t>к-т</t>
        </is>
      </c>
      <c r="D1637" s="33" t="n"/>
      <c r="E1637" s="33" t="n"/>
      <c r="F1637" s="33">
        <f>E1637*0.05</f>
        <v/>
      </c>
      <c r="G1637" s="33">
        <f>E1637+F1637</f>
        <v/>
      </c>
      <c r="H1637" s="33" t="n"/>
      <c r="I1637" s="33" t="n"/>
      <c r="J1637" s="33" t="n"/>
      <c r="K1637" s="33">
        <f>L1637+M1637+N1637</f>
        <v/>
      </c>
      <c r="L1637" s="33" t="n"/>
      <c r="M1637" s="33" t="n"/>
      <c r="N1637" s="33" t="n"/>
      <c r="O1637" s="33">
        <f>P1637+Q1637</f>
        <v/>
      </c>
      <c r="P1637" s="33" t="n"/>
      <c r="Q1637" s="33" t="n"/>
      <c r="R1637" s="33">
        <f>H1637+K1637-O1637</f>
        <v/>
      </c>
      <c r="S1637" s="33" t="n"/>
      <c r="T1637" s="33" t="n"/>
      <c r="U1637" s="33" t="n"/>
      <c r="V1637" s="33" t="n"/>
      <c r="W1637" s="33" t="n"/>
      <c r="X1637" s="33" t="n"/>
      <c r="Y1637" s="33" t="n"/>
      <c r="Z1637" s="33" t="n"/>
      <c r="AA1637" s="4">
        <f>R1637-G1637</f>
        <v/>
      </c>
      <c r="AB1637" s="4">
        <f>G1637-R1637</f>
        <v/>
      </c>
      <c r="AC1637" s="33" t="n"/>
    </row>
    <row r="1638" ht="18.75" customHeight="1">
      <c r="A1638" s="35">
        <f>SUBTOTAL(103,$B$24:B1638)</f>
        <v/>
      </c>
      <c r="B1638" s="36" t="inlineStr">
        <is>
          <t>Кавомашина Dr.Coffee Coffee Center</t>
        </is>
      </c>
      <c r="C1638" s="37" t="inlineStr">
        <is>
          <t>шт.</t>
        </is>
      </c>
      <c r="D1638" s="33" t="n"/>
      <c r="E1638" s="33" t="n"/>
      <c r="F1638" s="33">
        <f>E1638*0.05</f>
        <v/>
      </c>
      <c r="G1638" s="33">
        <f>E1638+F1638</f>
        <v/>
      </c>
      <c r="H1638" s="33" t="n"/>
      <c r="I1638" s="33" t="n"/>
      <c r="J1638" s="33" t="n"/>
      <c r="K1638" s="33">
        <f>L1638+M1638+N1638</f>
        <v/>
      </c>
      <c r="L1638" s="33" t="n"/>
      <c r="M1638" s="33" t="n"/>
      <c r="N1638" s="33" t="n"/>
      <c r="O1638" s="33">
        <f>P1638+Q1638</f>
        <v/>
      </c>
      <c r="P1638" s="33" t="n"/>
      <c r="Q1638" s="33" t="n"/>
      <c r="R1638" s="33">
        <f>H1638+K1638-O1638</f>
        <v/>
      </c>
      <c r="S1638" s="33" t="n"/>
      <c r="T1638" s="33" t="n"/>
      <c r="U1638" s="33" t="n"/>
      <c r="V1638" s="33" t="n"/>
      <c r="W1638" s="33" t="n"/>
      <c r="X1638" s="33" t="n"/>
      <c r="Y1638" s="33" t="n"/>
      <c r="Z1638" s="33" t="n"/>
      <c r="AA1638" s="4">
        <f>R1638-G1638</f>
        <v/>
      </c>
      <c r="AB1638" s="4">
        <f>G1638-R1638</f>
        <v/>
      </c>
      <c r="AC1638" s="33" t="n"/>
    </row>
    <row r="1639" ht="18.75" customHeight="1">
      <c r="A1639" s="35">
        <f>SUBTOTAL(103,$B$24:B1639)</f>
        <v/>
      </c>
      <c r="B1639" s="36" t="inlineStr">
        <is>
          <t>Кавомолка</t>
        </is>
      </c>
      <c r="C1639" s="37" t="inlineStr">
        <is>
          <t>к-т</t>
        </is>
      </c>
      <c r="D1639" s="33" t="n"/>
      <c r="E1639" s="33" t="n"/>
      <c r="F1639" s="33">
        <f>E1639*0.05</f>
        <v/>
      </c>
      <c r="G1639" s="33">
        <f>E1639+F1639</f>
        <v/>
      </c>
      <c r="H1639" s="33" t="n"/>
      <c r="I1639" s="33" t="n"/>
      <c r="J1639" s="33" t="n"/>
      <c r="K1639" s="33">
        <f>L1639+M1639+N1639</f>
        <v/>
      </c>
      <c r="L1639" s="33" t="n"/>
      <c r="M1639" s="33" t="n"/>
      <c r="N1639" s="33" t="n"/>
      <c r="O1639" s="33">
        <f>P1639+Q1639</f>
        <v/>
      </c>
      <c r="P1639" s="33" t="n"/>
      <c r="Q1639" s="33" t="n"/>
      <c r="R1639" s="33">
        <f>H1639+K1639-O1639</f>
        <v/>
      </c>
      <c r="S1639" s="33" t="n"/>
      <c r="T1639" s="33" t="n"/>
      <c r="U1639" s="33" t="n"/>
      <c r="V1639" s="33" t="n"/>
      <c r="W1639" s="33" t="n"/>
      <c r="X1639" s="33" t="n"/>
      <c r="Y1639" s="33" t="n"/>
      <c r="Z1639" s="33" t="n"/>
      <c r="AA1639" s="4">
        <f>R1639-G1639</f>
        <v/>
      </c>
      <c r="AB1639" s="4">
        <f>G1639-R1639</f>
        <v/>
      </c>
      <c r="AC1639" s="33" t="n"/>
    </row>
    <row r="1640" ht="18.75" customHeight="1">
      <c r="A1640" s="35">
        <f>SUBTOTAL(103,$B$24:B1640)</f>
        <v/>
      </c>
      <c r="B1640" s="36" t="inlineStr">
        <is>
          <t>Кавомолка Бразілія Рома</t>
        </is>
      </c>
      <c r="C1640" s="37" t="inlineStr">
        <is>
          <t>к-т</t>
        </is>
      </c>
      <c r="D1640" s="33" t="n"/>
      <c r="E1640" s="33" t="n"/>
      <c r="F1640" s="33">
        <f>E1640*0.05</f>
        <v/>
      </c>
      <c r="G1640" s="33">
        <f>E1640+F1640</f>
        <v/>
      </c>
      <c r="H1640" s="33" t="n"/>
      <c r="I1640" s="33" t="n"/>
      <c r="J1640" s="33" t="n"/>
      <c r="K1640" s="33">
        <f>L1640+M1640+N1640</f>
        <v/>
      </c>
      <c r="L1640" s="33" t="n"/>
      <c r="M1640" s="33" t="n"/>
      <c r="N1640" s="33" t="n"/>
      <c r="O1640" s="33">
        <f>P1640+Q1640</f>
        <v/>
      </c>
      <c r="P1640" s="33" t="n"/>
      <c r="Q1640" s="33" t="n"/>
      <c r="R1640" s="33">
        <f>H1640+K1640-O1640</f>
        <v/>
      </c>
      <c r="S1640" s="33" t="n"/>
      <c r="T1640" s="33" t="n"/>
      <c r="U1640" s="33" t="n"/>
      <c r="V1640" s="33" t="n"/>
      <c r="W1640" s="33" t="n"/>
      <c r="X1640" s="33" t="n"/>
      <c r="Y1640" s="33" t="n"/>
      <c r="Z1640" s="33" t="n"/>
      <c r="AA1640" s="4">
        <f>R1640-G1640</f>
        <v/>
      </c>
      <c r="AB1640" s="4">
        <f>G1640-R1640</f>
        <v/>
      </c>
      <c r="AC1640" s="33" t="n"/>
    </row>
    <row r="1641" ht="37.5" customHeight="1">
      <c r="A1641" s="35">
        <f>SUBTOTAL(103,$B$24:B1641)</f>
        <v/>
      </c>
      <c r="B1641" s="36" t="inlineStr">
        <is>
          <t>Кавомолка прямого помолу NUOVA Simonelli MDXS (On Demand)</t>
        </is>
      </c>
      <c r="C1641" s="37" t="inlineStr">
        <is>
          <t>к-т</t>
        </is>
      </c>
      <c r="D1641" s="33" t="n"/>
      <c r="E1641" s="33" t="n"/>
      <c r="F1641" s="33">
        <f>E1641*0.05</f>
        <v/>
      </c>
      <c r="G1641" s="33">
        <f>E1641+F1641</f>
        <v/>
      </c>
      <c r="H1641" s="33" t="n"/>
      <c r="I1641" s="33" t="n"/>
      <c r="J1641" s="33" t="n"/>
      <c r="K1641" s="33">
        <f>L1641+M1641+N1641</f>
        <v/>
      </c>
      <c r="L1641" s="33" t="n"/>
      <c r="M1641" s="33" t="n"/>
      <c r="N1641" s="33" t="n"/>
      <c r="O1641" s="33">
        <f>P1641+Q1641</f>
        <v/>
      </c>
      <c r="P1641" s="33" t="n"/>
      <c r="Q1641" s="33" t="n"/>
      <c r="R1641" s="33">
        <f>H1641+K1641-O1641</f>
        <v/>
      </c>
      <c r="S1641" s="33" t="n"/>
      <c r="T1641" s="33" t="n"/>
      <c r="U1641" s="33" t="n"/>
      <c r="V1641" s="33" t="n"/>
      <c r="W1641" s="33" t="n"/>
      <c r="X1641" s="33" t="n"/>
      <c r="Y1641" s="33" t="n"/>
      <c r="Z1641" s="33" t="n"/>
      <c r="AA1641" s="4">
        <f>R1641-G1641</f>
        <v/>
      </c>
      <c r="AB1641" s="4">
        <f>G1641-R1641</f>
        <v/>
      </c>
      <c r="AC1641" s="33" t="n"/>
    </row>
    <row r="1642" ht="18.75" customHeight="1">
      <c r="A1642" s="35">
        <f>SUBTOTAL(103,$B$24:B1642)</f>
        <v/>
      </c>
      <c r="B1642" s="36" t="inlineStr">
        <is>
          <t>Кавовий автомат</t>
        </is>
      </c>
      <c r="C1642" s="37" t="inlineStr">
        <is>
          <t>к-т</t>
        </is>
      </c>
      <c r="D1642" s="33" t="n"/>
      <c r="E1642" s="33" t="n"/>
      <c r="F1642" s="33">
        <f>E1642*0.05</f>
        <v/>
      </c>
      <c r="G1642" s="33">
        <f>E1642+F1642</f>
        <v/>
      </c>
      <c r="H1642" s="33" t="n"/>
      <c r="I1642" s="33" t="n"/>
      <c r="J1642" s="33" t="n"/>
      <c r="K1642" s="33">
        <f>L1642+M1642+N1642</f>
        <v/>
      </c>
      <c r="L1642" s="33" t="n"/>
      <c r="M1642" s="33" t="n"/>
      <c r="N1642" s="33" t="n"/>
      <c r="O1642" s="33">
        <f>P1642+Q1642</f>
        <v/>
      </c>
      <c r="P1642" s="33" t="n"/>
      <c r="Q1642" s="33" t="n"/>
      <c r="R1642" s="33">
        <f>H1642+K1642-O1642</f>
        <v/>
      </c>
      <c r="S1642" s="33" t="n"/>
      <c r="T1642" s="33" t="n"/>
      <c r="U1642" s="33" t="n"/>
      <c r="V1642" s="33" t="n"/>
      <c r="W1642" s="33" t="n"/>
      <c r="X1642" s="33" t="n"/>
      <c r="Y1642" s="33" t="n"/>
      <c r="Z1642" s="33" t="n"/>
      <c r="AA1642" s="4">
        <f>R1642-G1642</f>
        <v/>
      </c>
      <c r="AB1642" s="4">
        <f>G1642-R1642</f>
        <v/>
      </c>
      <c r="AC1642" s="33" t="n"/>
    </row>
    <row r="1643" ht="18.75" customHeight="1">
      <c r="A1643" s="35">
        <f>SUBTOTAL(103,$B$24:B1643)</f>
        <v/>
      </c>
      <c r="B1643" s="39" t="inlineStr">
        <is>
          <t>ДОЗАТОР ДЛЯ ВОДИ (КУЛЕР)</t>
        </is>
      </c>
      <c r="C1643" s="37" t="n"/>
      <c r="D1643" s="33" t="n"/>
      <c r="E1643" s="33" t="n"/>
      <c r="F1643" s="33">
        <f>E1643*0.05</f>
        <v/>
      </c>
      <c r="G1643" s="33">
        <f>E1643+F1643</f>
        <v/>
      </c>
      <c r="H1643" s="33" t="n"/>
      <c r="I1643" s="33" t="n"/>
      <c r="J1643" s="33" t="n"/>
      <c r="K1643" s="33">
        <f>L1643+M1643+N1643</f>
        <v/>
      </c>
      <c r="L1643" s="33" t="n"/>
      <c r="M1643" s="33" t="n"/>
      <c r="N1643" s="33" t="n"/>
      <c r="O1643" s="33">
        <f>P1643+Q1643</f>
        <v/>
      </c>
      <c r="P1643" s="33" t="n"/>
      <c r="Q1643" s="33" t="n"/>
      <c r="R1643" s="33">
        <f>H1643+K1643-O1643</f>
        <v/>
      </c>
      <c r="S1643" s="33" t="n"/>
      <c r="T1643" s="33" t="n"/>
      <c r="U1643" s="33" t="n"/>
      <c r="V1643" s="33" t="n"/>
      <c r="W1643" s="33" t="n"/>
      <c r="X1643" s="33" t="n"/>
      <c r="Y1643" s="33" t="n"/>
      <c r="Z1643" s="33" t="n"/>
      <c r="AA1643" s="4">
        <f>R1643-G1643</f>
        <v/>
      </c>
      <c r="AB1643" s="4">
        <f>G1643-R1643</f>
        <v/>
      </c>
      <c r="AC1643" s="33" t="n"/>
    </row>
    <row r="1644" ht="18.75" customHeight="1">
      <c r="A1644" s="35">
        <f>SUBTOTAL(103,$B$24:B1644)</f>
        <v/>
      </c>
      <c r="B1644" s="36" t="inlineStr">
        <is>
          <t>Апарат для води</t>
        </is>
      </c>
      <c r="C1644" s="37" t="inlineStr">
        <is>
          <t>к-т</t>
        </is>
      </c>
      <c r="D1644" s="33" t="n"/>
      <c r="E1644" s="33" t="n"/>
      <c r="F1644" s="33">
        <f>E1644*0.05</f>
        <v/>
      </c>
      <c r="G1644" s="33">
        <f>E1644+F1644</f>
        <v/>
      </c>
      <c r="H1644" s="33" t="n"/>
      <c r="I1644" s="33" t="n"/>
      <c r="J1644" s="33" t="n"/>
      <c r="K1644" s="33">
        <f>L1644+M1644+N1644</f>
        <v/>
      </c>
      <c r="L1644" s="33" t="n"/>
      <c r="M1644" s="33" t="n"/>
      <c r="N1644" s="33" t="n"/>
      <c r="O1644" s="33">
        <f>P1644+Q1644</f>
        <v/>
      </c>
      <c r="P1644" s="33" t="n"/>
      <c r="Q1644" s="33" t="n"/>
      <c r="R1644" s="33">
        <f>H1644+K1644-O1644</f>
        <v/>
      </c>
      <c r="S1644" s="33" t="n"/>
      <c r="T1644" s="33" t="n"/>
      <c r="U1644" s="33" t="n"/>
      <c r="V1644" s="33" t="n"/>
      <c r="W1644" s="33" t="n"/>
      <c r="X1644" s="33" t="n"/>
      <c r="Y1644" s="33" t="n"/>
      <c r="Z1644" s="33" t="n"/>
      <c r="AA1644" s="4">
        <f>R1644-G1644</f>
        <v/>
      </c>
      <c r="AB1644" s="4">
        <f>G1644-R1644</f>
        <v/>
      </c>
      <c r="AC1644" s="33" t="n"/>
    </row>
    <row r="1645" ht="18.75" customHeight="1">
      <c r="A1645" s="35">
        <f>SUBTOTAL(103,$B$24:B1645)</f>
        <v/>
      </c>
      <c r="B1645" s="36" t="inlineStr">
        <is>
          <t>Автомати для газованої води</t>
        </is>
      </c>
      <c r="C1645" s="37" t="inlineStr">
        <is>
          <t>к-т</t>
        </is>
      </c>
      <c r="D1645" s="33" t="n"/>
      <c r="E1645" s="33" t="n"/>
      <c r="F1645" s="33">
        <f>E1645*0.05</f>
        <v/>
      </c>
      <c r="G1645" s="33">
        <f>E1645+F1645</f>
        <v/>
      </c>
      <c r="H1645" s="33" t="n"/>
      <c r="I1645" s="33" t="n"/>
      <c r="J1645" s="33" t="n"/>
      <c r="K1645" s="33">
        <f>L1645+M1645+N1645</f>
        <v/>
      </c>
      <c r="L1645" s="33" t="n"/>
      <c r="M1645" s="33" t="n"/>
      <c r="N1645" s="33" t="n"/>
      <c r="O1645" s="33">
        <f>P1645+Q1645</f>
        <v/>
      </c>
      <c r="P1645" s="33" t="n"/>
      <c r="Q1645" s="33" t="n"/>
      <c r="R1645" s="33">
        <f>H1645+K1645-O1645</f>
        <v/>
      </c>
      <c r="S1645" s="33" t="n"/>
      <c r="T1645" s="33" t="n"/>
      <c r="U1645" s="33" t="n"/>
      <c r="V1645" s="33" t="n"/>
      <c r="W1645" s="33" t="n"/>
      <c r="X1645" s="33" t="n"/>
      <c r="Y1645" s="33" t="n"/>
      <c r="Z1645" s="33" t="n"/>
      <c r="AA1645" s="4">
        <f>R1645-G1645</f>
        <v/>
      </c>
      <c r="AB1645" s="4">
        <f>G1645-R1645</f>
        <v/>
      </c>
      <c r="AC1645" s="33" t="n"/>
    </row>
    <row r="1646" ht="18.75" customHeight="1">
      <c r="A1646" s="35">
        <f>SUBTOTAL(103,$B$24:B1646)</f>
        <v/>
      </c>
      <c r="B1646" s="36" t="inlineStr">
        <is>
          <t>Кулер для води WBF-100LA</t>
        </is>
      </c>
      <c r="C1646" s="37" t="inlineStr">
        <is>
          <t>к-т</t>
        </is>
      </c>
      <c r="D1646" s="33" t="n"/>
      <c r="E1646" s="33" t="n"/>
      <c r="F1646" s="33">
        <f>E1646*0.05</f>
        <v/>
      </c>
      <c r="G1646" s="33">
        <f>E1646+F1646</f>
        <v/>
      </c>
      <c r="H1646" s="33" t="n"/>
      <c r="I1646" s="33" t="n"/>
      <c r="J1646" s="33" t="n"/>
      <c r="K1646" s="33">
        <f>L1646+M1646+N1646</f>
        <v/>
      </c>
      <c r="L1646" s="33" t="n"/>
      <c r="M1646" s="33" t="n"/>
      <c r="N1646" s="33" t="n"/>
      <c r="O1646" s="33">
        <f>P1646+Q1646</f>
        <v/>
      </c>
      <c r="P1646" s="33" t="n"/>
      <c r="Q1646" s="33" t="n"/>
      <c r="R1646" s="33">
        <f>H1646+K1646-O1646</f>
        <v/>
      </c>
      <c r="S1646" s="33" t="n"/>
      <c r="T1646" s="33" t="n"/>
      <c r="U1646" s="33" t="n"/>
      <c r="V1646" s="33" t="n"/>
      <c r="W1646" s="33" t="n"/>
      <c r="X1646" s="33" t="n"/>
      <c r="Y1646" s="33" t="n"/>
      <c r="Z1646" s="33" t="n"/>
      <c r="AA1646" s="4">
        <f>R1646-G1646</f>
        <v/>
      </c>
      <c r="AB1646" s="4">
        <f>G1646-R1646</f>
        <v/>
      </c>
      <c r="AC1646" s="33" t="n"/>
    </row>
    <row r="1647" ht="18.75" customHeight="1">
      <c r="A1647" s="35">
        <f>SUBTOTAL(103,$B$24:B1647)</f>
        <v/>
      </c>
      <c r="B1647" s="36" t="inlineStr">
        <is>
          <t>Охолоджувач напоїв</t>
        </is>
      </c>
      <c r="C1647" s="37" t="inlineStr">
        <is>
          <t>к-т</t>
        </is>
      </c>
      <c r="D1647" s="33" t="n"/>
      <c r="E1647" s="33" t="n"/>
      <c r="F1647" s="33">
        <f>E1647*0.05</f>
        <v/>
      </c>
      <c r="G1647" s="33">
        <f>E1647+F1647</f>
        <v/>
      </c>
      <c r="H1647" s="33" t="n"/>
      <c r="I1647" s="33" t="n"/>
      <c r="J1647" s="33" t="n"/>
      <c r="K1647" s="33">
        <f>L1647+M1647+N1647</f>
        <v/>
      </c>
      <c r="L1647" s="33" t="n"/>
      <c r="M1647" s="33" t="n"/>
      <c r="N1647" s="33" t="n"/>
      <c r="O1647" s="33">
        <f>P1647+Q1647</f>
        <v/>
      </c>
      <c r="P1647" s="33" t="n"/>
      <c r="Q1647" s="33" t="n"/>
      <c r="R1647" s="33">
        <f>H1647+K1647-O1647</f>
        <v/>
      </c>
      <c r="S1647" s="33" t="n"/>
      <c r="T1647" s="33" t="n"/>
      <c r="U1647" s="33" t="n"/>
      <c r="V1647" s="33" t="n"/>
      <c r="W1647" s="33" t="n"/>
      <c r="X1647" s="33" t="n"/>
      <c r="Y1647" s="33" t="n"/>
      <c r="Z1647" s="33" t="n"/>
      <c r="AA1647" s="4">
        <f>R1647-G1647</f>
        <v/>
      </c>
      <c r="AB1647" s="4">
        <f>G1647-R1647</f>
        <v/>
      </c>
      <c r="AC1647" s="33" t="n"/>
    </row>
    <row r="1648" ht="37.5" customHeight="1">
      <c r="A1648" s="35">
        <f>SUBTOTAL(103,$B$24:B1648)</f>
        <v/>
      </c>
      <c r="B1648" s="36" t="inlineStr">
        <is>
          <t>Кулер підлоговий з шафкою охолодження</t>
        </is>
      </c>
      <c r="C1648" s="37" t="inlineStr">
        <is>
          <t>к-т</t>
        </is>
      </c>
      <c r="D1648" s="33" t="n"/>
      <c r="E1648" s="33" t="n"/>
      <c r="F1648" s="33">
        <f>E1648*0.05</f>
        <v/>
      </c>
      <c r="G1648" s="33">
        <f>E1648+F1648</f>
        <v/>
      </c>
      <c r="H1648" s="33" t="n"/>
      <c r="I1648" s="33" t="n"/>
      <c r="J1648" s="33" t="n"/>
      <c r="K1648" s="33">
        <f>L1648+M1648+N1648</f>
        <v/>
      </c>
      <c r="L1648" s="33" t="n"/>
      <c r="M1648" s="33" t="n"/>
      <c r="N1648" s="33" t="n"/>
      <c r="O1648" s="33">
        <f>P1648+Q1648</f>
        <v/>
      </c>
      <c r="P1648" s="33" t="n"/>
      <c r="Q1648" s="33" t="n"/>
      <c r="R1648" s="33">
        <f>H1648+K1648-O1648</f>
        <v/>
      </c>
      <c r="S1648" s="33" t="n"/>
      <c r="T1648" s="33" t="n"/>
      <c r="U1648" s="33" t="n"/>
      <c r="V1648" s="33" t="n"/>
      <c r="W1648" s="33" t="n"/>
      <c r="X1648" s="33" t="n"/>
      <c r="Y1648" s="33" t="n"/>
      <c r="Z1648" s="33" t="n"/>
      <c r="AA1648" s="4">
        <f>R1648-G1648</f>
        <v/>
      </c>
      <c r="AB1648" s="4">
        <f>G1648-R1648</f>
        <v/>
      </c>
      <c r="AC1648" s="33" t="n"/>
    </row>
    <row r="1649" ht="37.5" customHeight="1">
      <c r="A1649" s="35">
        <f>SUBTOTAL(103,$B$24:B1649)</f>
        <v/>
      </c>
      <c r="B1649" s="36" t="inlineStr">
        <is>
          <t>Кулер для води Cooper&amp;Hunter CH-V128EN</t>
        </is>
      </c>
      <c r="C1649" s="37" t="inlineStr">
        <is>
          <t>к-т</t>
        </is>
      </c>
      <c r="D1649" s="33" t="n"/>
      <c r="E1649" s="33" t="n"/>
      <c r="F1649" s="33">
        <f>E1649*0.05</f>
        <v/>
      </c>
      <c r="G1649" s="33">
        <f>E1649+F1649</f>
        <v/>
      </c>
      <c r="H1649" s="33" t="n"/>
      <c r="I1649" s="33" t="n"/>
      <c r="J1649" s="33" t="n"/>
      <c r="K1649" s="33">
        <f>L1649+M1649+N1649</f>
        <v/>
      </c>
      <c r="L1649" s="33" t="n"/>
      <c r="M1649" s="33" t="n"/>
      <c r="N1649" s="33" t="n"/>
      <c r="O1649" s="33">
        <f>P1649+Q1649</f>
        <v/>
      </c>
      <c r="P1649" s="33" t="n"/>
      <c r="Q1649" s="33" t="n"/>
      <c r="R1649" s="33">
        <f>H1649+K1649-O1649</f>
        <v/>
      </c>
      <c r="S1649" s="33" t="n"/>
      <c r="T1649" s="33" t="n"/>
      <c r="U1649" s="33" t="n"/>
      <c r="V1649" s="33" t="n"/>
      <c r="W1649" s="33" t="n"/>
      <c r="X1649" s="33" t="n"/>
      <c r="Y1649" s="33" t="n"/>
      <c r="Z1649" s="33" t="n"/>
      <c r="AA1649" s="4">
        <f>R1649-G1649</f>
        <v/>
      </c>
      <c r="AB1649" s="4">
        <f>G1649-R1649</f>
        <v/>
      </c>
      <c r="AC1649" s="33" t="n"/>
    </row>
    <row r="1650" ht="37.5" customHeight="1">
      <c r="A1650" s="35">
        <f>SUBTOTAL(103,$B$24:B1650)</f>
        <v/>
      </c>
      <c r="B1650" s="36" t="inlineStr">
        <is>
          <t>Кулер для води Cooper&amp;Hunter CH-V118EN</t>
        </is>
      </c>
      <c r="C1650" s="37" t="inlineStr">
        <is>
          <t>к-т</t>
        </is>
      </c>
      <c r="D1650" s="33" t="n"/>
      <c r="E1650" s="33" t="n"/>
      <c r="F1650" s="33">
        <f>E1650*0.05</f>
        <v/>
      </c>
      <c r="G1650" s="33">
        <f>E1650+F1650</f>
        <v/>
      </c>
      <c r="H1650" s="33" t="n"/>
      <c r="I1650" s="33" t="n"/>
      <c r="J1650" s="33" t="n"/>
      <c r="K1650" s="33">
        <f>L1650+M1650+N1650</f>
        <v/>
      </c>
      <c r="L1650" s="33" t="n"/>
      <c r="M1650" s="33" t="n"/>
      <c r="N1650" s="33" t="n"/>
      <c r="O1650" s="33">
        <f>P1650+Q1650</f>
        <v/>
      </c>
      <c r="P1650" s="33" t="n"/>
      <c r="Q1650" s="33" t="n"/>
      <c r="R1650" s="33">
        <f>H1650+K1650-O1650</f>
        <v/>
      </c>
      <c r="S1650" s="33" t="n"/>
      <c r="T1650" s="33" t="n"/>
      <c r="U1650" s="33" t="n"/>
      <c r="V1650" s="33" t="n"/>
      <c r="W1650" s="33" t="n"/>
      <c r="X1650" s="33" t="n"/>
      <c r="Y1650" s="33" t="n"/>
      <c r="Z1650" s="33" t="n"/>
      <c r="AA1650" s="4">
        <f>R1650-G1650</f>
        <v/>
      </c>
      <c r="AB1650" s="4">
        <f>G1650-R1650</f>
        <v/>
      </c>
      <c r="AC1650" s="33" t="n"/>
    </row>
    <row r="1651" ht="37.5" customHeight="1">
      <c r="A1651" s="35">
        <f>SUBTOTAL(103,$B$24:B1651)</f>
        <v/>
      </c>
      <c r="B1651" s="36" t="inlineStr">
        <is>
          <t>Кулер для води хол/гар HOT FROST V119</t>
        </is>
      </c>
      <c r="C1651" s="37" t="inlineStr">
        <is>
          <t>к-т</t>
        </is>
      </c>
      <c r="D1651" s="33" t="n"/>
      <c r="E1651" s="33" t="n"/>
      <c r="F1651" s="33">
        <f>E1651*0.05</f>
        <v/>
      </c>
      <c r="G1651" s="33">
        <f>E1651+F1651</f>
        <v/>
      </c>
      <c r="H1651" s="33" t="n"/>
      <c r="I1651" s="33" t="n"/>
      <c r="J1651" s="33" t="n"/>
      <c r="K1651" s="33">
        <f>L1651+M1651+N1651</f>
        <v/>
      </c>
      <c r="L1651" s="33" t="n"/>
      <c r="M1651" s="33" t="n"/>
      <c r="N1651" s="33" t="n"/>
      <c r="O1651" s="33">
        <f>P1651+Q1651</f>
        <v/>
      </c>
      <c r="P1651" s="33" t="n"/>
      <c r="Q1651" s="33" t="n"/>
      <c r="R1651" s="33">
        <f>H1651+K1651-O1651</f>
        <v/>
      </c>
      <c r="S1651" s="33" t="n"/>
      <c r="T1651" s="33" t="n"/>
      <c r="U1651" s="33" t="n"/>
      <c r="V1651" s="33" t="n"/>
      <c r="W1651" s="33" t="n"/>
      <c r="X1651" s="33" t="n"/>
      <c r="Y1651" s="33" t="n"/>
      <c r="Z1651" s="33" t="n"/>
      <c r="AA1651" s="4">
        <f>R1651-G1651</f>
        <v/>
      </c>
      <c r="AB1651" s="4">
        <f>G1651-R1651</f>
        <v/>
      </c>
      <c r="AC1651" s="33" t="n"/>
    </row>
    <row r="1652" ht="37.5" customHeight="1">
      <c r="A1652" s="35">
        <f>SUBTOTAL(103,$B$24:B1652)</f>
        <v/>
      </c>
      <c r="B1652" s="36" t="inlineStr">
        <is>
          <t>Кулер для води хол/гар HOT FROST V118E</t>
        </is>
      </c>
      <c r="C1652" s="37" t="inlineStr">
        <is>
          <t>к-т</t>
        </is>
      </c>
      <c r="D1652" s="33" t="n"/>
      <c r="E1652" s="33" t="n"/>
      <c r="F1652" s="33">
        <f>E1652*0.05</f>
        <v/>
      </c>
      <c r="G1652" s="33">
        <f>E1652+F1652</f>
        <v/>
      </c>
      <c r="H1652" s="33" t="n"/>
      <c r="I1652" s="33" t="n"/>
      <c r="J1652" s="33" t="n"/>
      <c r="K1652" s="33">
        <f>L1652+M1652+N1652</f>
        <v/>
      </c>
      <c r="L1652" s="33" t="n"/>
      <c r="M1652" s="33" t="n"/>
      <c r="N1652" s="33" t="n"/>
      <c r="O1652" s="33">
        <f>P1652+Q1652</f>
        <v/>
      </c>
      <c r="P1652" s="33" t="n"/>
      <c r="Q1652" s="33" t="n"/>
      <c r="R1652" s="33">
        <f>H1652+K1652-O1652</f>
        <v/>
      </c>
      <c r="S1652" s="33" t="n"/>
      <c r="T1652" s="33" t="n"/>
      <c r="U1652" s="33" t="n"/>
      <c r="V1652" s="33" t="n"/>
      <c r="W1652" s="33" t="n"/>
      <c r="X1652" s="33" t="n"/>
      <c r="Y1652" s="33" t="n"/>
      <c r="Z1652" s="33" t="n"/>
      <c r="AA1652" s="4">
        <f>R1652-G1652</f>
        <v/>
      </c>
      <c r="AB1652" s="4">
        <f>G1652-R1652</f>
        <v/>
      </c>
      <c r="AC1652" s="33" t="n"/>
    </row>
    <row r="1653" ht="37.5" customHeight="1">
      <c r="A1653" s="35">
        <f>SUBTOTAL(103,$B$24:B1653)</f>
        <v/>
      </c>
      <c r="B1653" s="36" t="inlineStr">
        <is>
          <t>Кулер для води хол/гар Cooper&amp;Hunter CH V118С</t>
        </is>
      </c>
      <c r="C1653" s="37" t="inlineStr">
        <is>
          <t>к-т</t>
        </is>
      </c>
      <c r="D1653" s="33" t="n"/>
      <c r="E1653" s="33" t="n"/>
      <c r="F1653" s="33">
        <f>E1653*0.05</f>
        <v/>
      </c>
      <c r="G1653" s="33">
        <f>E1653+F1653</f>
        <v/>
      </c>
      <c r="H1653" s="33" t="n"/>
      <c r="I1653" s="33" t="n"/>
      <c r="J1653" s="33" t="n"/>
      <c r="K1653" s="33">
        <f>L1653+M1653+N1653</f>
        <v/>
      </c>
      <c r="L1653" s="33" t="n"/>
      <c r="M1653" s="33" t="n"/>
      <c r="N1653" s="33" t="n"/>
      <c r="O1653" s="33">
        <f>P1653+Q1653</f>
        <v/>
      </c>
      <c r="P1653" s="33" t="n"/>
      <c r="Q1653" s="33" t="n"/>
      <c r="R1653" s="33">
        <f>H1653+K1653-O1653</f>
        <v/>
      </c>
      <c r="S1653" s="33" t="n"/>
      <c r="T1653" s="33" t="n"/>
      <c r="U1653" s="33" t="n"/>
      <c r="V1653" s="33" t="n"/>
      <c r="W1653" s="33" t="n"/>
      <c r="X1653" s="33" t="n"/>
      <c r="Y1653" s="33" t="n"/>
      <c r="Z1653" s="33" t="n"/>
      <c r="AA1653" s="4">
        <f>R1653-G1653</f>
        <v/>
      </c>
      <c r="AB1653" s="4">
        <f>G1653-R1653</f>
        <v/>
      </c>
      <c r="AC1653" s="33" t="n"/>
    </row>
    <row r="1654" ht="18.75" customHeight="1">
      <c r="A1654" s="35">
        <f>SUBTOTAL(103,$B$24:B1654)</f>
        <v/>
      </c>
      <c r="B1654" s="36" t="inlineStr">
        <is>
          <t>Кулер для води хол/гар HOT FROST</t>
        </is>
      </c>
      <c r="C1654" s="37" t="inlineStr">
        <is>
          <t>к-т</t>
        </is>
      </c>
      <c r="D1654" s="33" t="n"/>
      <c r="E1654" s="33" t="n"/>
      <c r="F1654" s="33">
        <f>E1654*0.05</f>
        <v/>
      </c>
      <c r="G1654" s="33">
        <f>E1654+F1654</f>
        <v/>
      </c>
      <c r="H1654" s="33" t="n"/>
      <c r="I1654" s="33" t="n"/>
      <c r="J1654" s="33" t="n"/>
      <c r="K1654" s="33">
        <f>L1654+M1654+N1654</f>
        <v/>
      </c>
      <c r="L1654" s="33" t="n"/>
      <c r="M1654" s="33" t="n"/>
      <c r="N1654" s="33" t="n"/>
      <c r="O1654" s="33">
        <f>P1654+Q1654</f>
        <v/>
      </c>
      <c r="P1654" s="33" t="n"/>
      <c r="Q1654" s="33" t="n"/>
      <c r="R1654" s="33">
        <f>H1654+K1654-O1654</f>
        <v/>
      </c>
      <c r="S1654" s="33" t="n"/>
      <c r="T1654" s="33" t="n"/>
      <c r="U1654" s="33" t="n"/>
      <c r="V1654" s="33" t="n"/>
      <c r="W1654" s="33" t="n"/>
      <c r="X1654" s="33" t="n"/>
      <c r="Y1654" s="33" t="n"/>
      <c r="Z1654" s="33" t="n"/>
      <c r="AA1654" s="4">
        <f>R1654-G1654</f>
        <v/>
      </c>
      <c r="AB1654" s="4">
        <f>G1654-R1654</f>
        <v/>
      </c>
      <c r="AC1654" s="33" t="n"/>
    </row>
    <row r="1655" ht="18.75" customHeight="1">
      <c r="A1655" s="35">
        <f>SUBTOTAL(103,$B$24:B1655)</f>
        <v/>
      </c>
      <c r="B1655" s="36" t="inlineStr">
        <is>
          <t>Кулер для води Екотронік</t>
        </is>
      </c>
      <c r="C1655" s="37" t="inlineStr">
        <is>
          <t>к-т</t>
        </is>
      </c>
      <c r="D1655" s="33" t="n"/>
      <c r="E1655" s="33" t="n"/>
      <c r="F1655" s="33">
        <f>E1655*0.05</f>
        <v/>
      </c>
      <c r="G1655" s="33">
        <f>E1655+F1655</f>
        <v/>
      </c>
      <c r="H1655" s="33" t="n"/>
      <c r="I1655" s="33" t="n"/>
      <c r="J1655" s="33" t="n"/>
      <c r="K1655" s="33">
        <f>L1655+M1655+N1655</f>
        <v/>
      </c>
      <c r="L1655" s="33" t="n"/>
      <c r="M1655" s="33" t="n"/>
      <c r="N1655" s="33" t="n"/>
      <c r="O1655" s="33">
        <f>P1655+Q1655</f>
        <v/>
      </c>
      <c r="P1655" s="33" t="n"/>
      <c r="Q1655" s="33" t="n"/>
      <c r="R1655" s="33">
        <f>H1655+K1655-O1655</f>
        <v/>
      </c>
      <c r="S1655" s="33" t="n"/>
      <c r="T1655" s="33" t="n"/>
      <c r="U1655" s="33" t="n"/>
      <c r="V1655" s="33" t="n"/>
      <c r="W1655" s="33" t="n"/>
      <c r="X1655" s="33" t="n"/>
      <c r="Y1655" s="33" t="n"/>
      <c r="Z1655" s="33" t="n"/>
      <c r="AA1655" s="4">
        <f>R1655-G1655</f>
        <v/>
      </c>
      <c r="AB1655" s="4">
        <f>G1655-R1655</f>
        <v/>
      </c>
      <c r="AC1655" s="33" t="n"/>
    </row>
    <row r="1656" ht="18.75" customHeight="1">
      <c r="A1656" s="35">
        <f>SUBTOTAL(103,$B$24:B1656)</f>
        <v/>
      </c>
      <c r="B1656" s="36" t="inlineStr">
        <is>
          <t>Кулер для води LB-LWB</t>
        </is>
      </c>
      <c r="C1656" s="37" t="inlineStr">
        <is>
          <t>к-т</t>
        </is>
      </c>
      <c r="D1656" s="33" t="n"/>
      <c r="E1656" s="33" t="n"/>
      <c r="F1656" s="33">
        <f>E1656*0.05</f>
        <v/>
      </c>
      <c r="G1656" s="33">
        <f>E1656+F1656</f>
        <v/>
      </c>
      <c r="H1656" s="33" t="n"/>
      <c r="I1656" s="33" t="n"/>
      <c r="J1656" s="33" t="n"/>
      <c r="K1656" s="33">
        <f>L1656+M1656+N1656</f>
        <v/>
      </c>
      <c r="L1656" s="33" t="n"/>
      <c r="M1656" s="33" t="n"/>
      <c r="N1656" s="33" t="n"/>
      <c r="O1656" s="33">
        <f>P1656+Q1656</f>
        <v/>
      </c>
      <c r="P1656" s="33" t="n"/>
      <c r="Q1656" s="33" t="n"/>
      <c r="R1656" s="33">
        <f>H1656+K1656-O1656</f>
        <v/>
      </c>
      <c r="S1656" s="33" t="n"/>
      <c r="T1656" s="33" t="n"/>
      <c r="U1656" s="33" t="n"/>
      <c r="V1656" s="33" t="n"/>
      <c r="W1656" s="33" t="n"/>
      <c r="X1656" s="33" t="n"/>
      <c r="Y1656" s="33" t="n"/>
      <c r="Z1656" s="33" t="n"/>
      <c r="AA1656" s="4">
        <f>R1656-G1656</f>
        <v/>
      </c>
      <c r="AB1656" s="4">
        <f>G1656-R1656</f>
        <v/>
      </c>
      <c r="AC1656" s="33" t="n"/>
    </row>
    <row r="1657" ht="18.75" customHeight="1">
      <c r="A1657" s="35">
        <f>SUBTOTAL(103,$B$24:B1657)</f>
        <v/>
      </c>
      <c r="B1657" s="36" t="inlineStr">
        <is>
          <t>Кулер для води Cristal YLR3-5V208E</t>
        </is>
      </c>
      <c r="C1657" s="37" t="n"/>
      <c r="D1657" s="33" t="n"/>
      <c r="E1657" s="33" t="n"/>
      <c r="F1657" s="33">
        <f>E1657*0.05</f>
        <v/>
      </c>
      <c r="G1657" s="33">
        <f>E1657+F1657</f>
        <v/>
      </c>
      <c r="H1657" s="33" t="n"/>
      <c r="I1657" s="33" t="n"/>
      <c r="J1657" s="33" t="n"/>
      <c r="K1657" s="33">
        <f>L1657+M1657+N1657</f>
        <v/>
      </c>
      <c r="L1657" s="33" t="n"/>
      <c r="M1657" s="33" t="n"/>
      <c r="N1657" s="33" t="n"/>
      <c r="O1657" s="33">
        <f>P1657+Q1657</f>
        <v/>
      </c>
      <c r="P1657" s="33" t="n"/>
      <c r="Q1657" s="33" t="n"/>
      <c r="R1657" s="33">
        <f>H1657+K1657-O1657</f>
        <v/>
      </c>
      <c r="S1657" s="33" t="n"/>
      <c r="T1657" s="33" t="n"/>
      <c r="U1657" s="33" t="n"/>
      <c r="V1657" s="33" t="n"/>
      <c r="W1657" s="33" t="n"/>
      <c r="X1657" s="33" t="n"/>
      <c r="Y1657" s="33" t="n"/>
      <c r="Z1657" s="33" t="n"/>
      <c r="AA1657" s="4">
        <f>R1657-G1657</f>
        <v/>
      </c>
      <c r="AB1657" s="4">
        <f>G1657-R1657</f>
        <v/>
      </c>
      <c r="AC1657" s="33" t="n"/>
    </row>
    <row r="1658" ht="18.75" customHeight="1">
      <c r="A1658" s="35">
        <f>SUBTOTAL(103,$B$24:B1658)</f>
        <v/>
      </c>
      <c r="B1658" s="36" t="inlineStr">
        <is>
          <t>Кулер для води</t>
        </is>
      </c>
      <c r="C1658" s="37" t="inlineStr">
        <is>
          <t>к-т</t>
        </is>
      </c>
      <c r="D1658" s="33" t="n"/>
      <c r="E1658" s="33" t="n"/>
      <c r="F1658" s="33">
        <f>E1658*0.05</f>
        <v/>
      </c>
      <c r="G1658" s="33">
        <f>E1658+F1658</f>
        <v/>
      </c>
      <c r="H1658" s="33" t="n"/>
      <c r="I1658" s="33" t="n"/>
      <c r="J1658" s="33" t="n"/>
      <c r="K1658" s="33">
        <f>L1658+M1658+N1658</f>
        <v/>
      </c>
      <c r="L1658" s="33" t="n"/>
      <c r="M1658" s="33" t="n"/>
      <c r="N1658" s="33" t="n"/>
      <c r="O1658" s="33">
        <f>P1658+Q1658</f>
        <v/>
      </c>
      <c r="P1658" s="33" t="n"/>
      <c r="Q1658" s="33" t="n"/>
      <c r="R1658" s="33">
        <f>H1658+K1658-O1658</f>
        <v/>
      </c>
      <c r="S1658" s="33" t="n"/>
      <c r="T1658" s="33" t="n"/>
      <c r="U1658" s="33" t="n"/>
      <c r="V1658" s="33" t="n"/>
      <c r="W1658" s="33" t="n"/>
      <c r="X1658" s="33" t="n"/>
      <c r="Y1658" s="33" t="n"/>
      <c r="Z1658" s="33" t="n"/>
      <c r="AA1658" s="4">
        <f>R1658-G1658</f>
        <v/>
      </c>
      <c r="AB1658" s="4">
        <f>G1658-R1658</f>
        <v/>
      </c>
      <c r="AC1658" s="33" t="n"/>
    </row>
    <row r="1659" ht="18.75" customHeight="1">
      <c r="A1659" s="35">
        <f>SUBTOTAL(103,$B$24:B1659)</f>
        <v/>
      </c>
      <c r="B1659" s="36" t="inlineStr">
        <is>
          <t>Балон для води 19л</t>
        </is>
      </c>
      <c r="C1659" s="37" t="inlineStr">
        <is>
          <t>шт.</t>
        </is>
      </c>
      <c r="D1659" s="33" t="n"/>
      <c r="E1659" s="33" t="n"/>
      <c r="F1659" s="33">
        <f>E1659*0.05</f>
        <v/>
      </c>
      <c r="G1659" s="33">
        <f>E1659+F1659</f>
        <v/>
      </c>
      <c r="H1659" s="33" t="n"/>
      <c r="I1659" s="33" t="n"/>
      <c r="J1659" s="33" t="n"/>
      <c r="K1659" s="33">
        <f>L1659+M1659+N1659</f>
        <v/>
      </c>
      <c r="L1659" s="33" t="n"/>
      <c r="M1659" s="33" t="n"/>
      <c r="N1659" s="33" t="n"/>
      <c r="O1659" s="33">
        <f>P1659+Q1659</f>
        <v/>
      </c>
      <c r="P1659" s="33" t="n"/>
      <c r="Q1659" s="33" t="n"/>
      <c r="R1659" s="33">
        <f>H1659+K1659-O1659</f>
        <v/>
      </c>
      <c r="S1659" s="33" t="n"/>
      <c r="T1659" s="33" t="n"/>
      <c r="U1659" s="33" t="n"/>
      <c r="V1659" s="33" t="n"/>
      <c r="W1659" s="33" t="n"/>
      <c r="X1659" s="33" t="n"/>
      <c r="Y1659" s="33" t="n"/>
      <c r="Z1659" s="33" t="n"/>
      <c r="AA1659" s="4">
        <f>R1659-G1659</f>
        <v/>
      </c>
      <c r="AB1659" s="4">
        <f>G1659-R1659</f>
        <v/>
      </c>
      <c r="AC1659" s="33" t="n"/>
    </row>
    <row r="1660" ht="37.5" customHeight="1">
      <c r="A1660" s="35">
        <f>SUBTOTAL(103,$B$24:B1660)</f>
        <v/>
      </c>
      <c r="B1660" s="36" t="inlineStr">
        <is>
          <t>Бутель пластиковий об'єм 18,9 до кулера</t>
        </is>
      </c>
      <c r="C1660" s="37" t="inlineStr">
        <is>
          <t>шт.</t>
        </is>
      </c>
      <c r="D1660" s="33" t="n"/>
      <c r="E1660" s="33" t="n"/>
      <c r="F1660" s="33">
        <f>E1660*0.05</f>
        <v/>
      </c>
      <c r="G1660" s="33">
        <f>E1660+F1660</f>
        <v/>
      </c>
      <c r="H1660" s="33" t="n"/>
      <c r="I1660" s="33" t="n"/>
      <c r="J1660" s="33" t="n"/>
      <c r="K1660" s="33">
        <f>L1660+M1660+N1660</f>
        <v/>
      </c>
      <c r="L1660" s="33" t="n"/>
      <c r="M1660" s="33" t="n"/>
      <c r="N1660" s="33" t="n"/>
      <c r="O1660" s="33">
        <f>P1660+Q1660</f>
        <v/>
      </c>
      <c r="P1660" s="33" t="n"/>
      <c r="Q1660" s="33" t="n"/>
      <c r="R1660" s="33">
        <f>H1660+K1660-O1660</f>
        <v/>
      </c>
      <c r="S1660" s="33" t="n"/>
      <c r="T1660" s="33" t="n"/>
      <c r="U1660" s="33" t="n"/>
      <c r="V1660" s="33" t="n"/>
      <c r="W1660" s="33" t="n"/>
      <c r="X1660" s="33" t="n"/>
      <c r="Y1660" s="33" t="n"/>
      <c r="Z1660" s="33" t="n"/>
      <c r="AA1660" s="4">
        <f>R1660-G1660</f>
        <v/>
      </c>
      <c r="AB1660" s="4">
        <f>G1660-R1660</f>
        <v/>
      </c>
      <c r="AC1660" s="33" t="n"/>
    </row>
    <row r="1661" ht="18.75" customHeight="1">
      <c r="A1661" s="35">
        <f>SUBTOTAL(103,$B$24:B1661)</f>
        <v/>
      </c>
      <c r="B1661" s="36" t="inlineStr">
        <is>
          <t>Фільтр "Гранд"</t>
        </is>
      </c>
      <c r="C1661" s="37" t="inlineStr">
        <is>
          <t>шт.</t>
        </is>
      </c>
      <c r="D1661" s="33" t="n"/>
      <c r="E1661" s="33" t="n"/>
      <c r="F1661" s="33">
        <f>E1661*0.05</f>
        <v/>
      </c>
      <c r="G1661" s="33">
        <f>E1661+F1661</f>
        <v/>
      </c>
      <c r="H1661" s="33" t="n"/>
      <c r="I1661" s="33" t="n"/>
      <c r="J1661" s="33" t="n"/>
      <c r="K1661" s="33">
        <f>L1661+M1661+N1661</f>
        <v/>
      </c>
      <c r="L1661" s="33" t="n"/>
      <c r="M1661" s="33" t="n"/>
      <c r="N1661" s="33" t="n"/>
      <c r="O1661" s="33">
        <f>P1661+Q1661</f>
        <v/>
      </c>
      <c r="P1661" s="33" t="n"/>
      <c r="Q1661" s="33" t="n"/>
      <c r="R1661" s="33">
        <f>H1661+K1661-O1661</f>
        <v/>
      </c>
      <c r="S1661" s="33" t="n"/>
      <c r="T1661" s="33" t="n"/>
      <c r="U1661" s="33" t="n"/>
      <c r="V1661" s="33" t="n"/>
      <c r="W1661" s="33" t="n"/>
      <c r="X1661" s="33" t="n"/>
      <c r="Y1661" s="33" t="n"/>
      <c r="Z1661" s="33" t="n"/>
      <c r="AA1661" s="4">
        <f>R1661-G1661</f>
        <v/>
      </c>
      <c r="AB1661" s="4">
        <f>G1661-R1661</f>
        <v/>
      </c>
      <c r="AC1661" s="33" t="n"/>
    </row>
    <row r="1662" ht="18.75" customHeight="1">
      <c r="A1662" s="35">
        <f>SUBTOTAL(103,$B$24:B1662)</f>
        <v/>
      </c>
      <c r="B1662" s="36" t="inlineStr">
        <is>
          <t>Касета змінна до "Барєр - 4 Стандарт"</t>
        </is>
      </c>
      <c r="C1662" s="37" t="inlineStr">
        <is>
          <t>шт.</t>
        </is>
      </c>
      <c r="D1662" s="33" t="n"/>
      <c r="E1662" s="33" t="n"/>
      <c r="F1662" s="33">
        <f>E1662*0.05</f>
        <v/>
      </c>
      <c r="G1662" s="33">
        <f>E1662+F1662</f>
        <v/>
      </c>
      <c r="H1662" s="33" t="n"/>
      <c r="I1662" s="33" t="n"/>
      <c r="J1662" s="33" t="n"/>
      <c r="K1662" s="33">
        <f>L1662+M1662+N1662</f>
        <v/>
      </c>
      <c r="L1662" s="33" t="n"/>
      <c r="M1662" s="33" t="n"/>
      <c r="N1662" s="33" t="n"/>
      <c r="O1662" s="33">
        <f>P1662+Q1662</f>
        <v/>
      </c>
      <c r="P1662" s="33" t="n"/>
      <c r="Q1662" s="33" t="n"/>
      <c r="R1662" s="33">
        <f>H1662+K1662-O1662</f>
        <v/>
      </c>
      <c r="S1662" s="33" t="n"/>
      <c r="T1662" s="33" t="n"/>
      <c r="U1662" s="33" t="n"/>
      <c r="V1662" s="33" t="n"/>
      <c r="W1662" s="33" t="n"/>
      <c r="X1662" s="33" t="n"/>
      <c r="Y1662" s="33" t="n"/>
      <c r="Z1662" s="33" t="n"/>
      <c r="AA1662" s="4">
        <f>R1662-G1662</f>
        <v/>
      </c>
      <c r="AB1662" s="4">
        <f>G1662-R1662</f>
        <v/>
      </c>
      <c r="AC1662" s="33" t="n"/>
    </row>
    <row r="1663" ht="18.75" customHeight="1">
      <c r="A1663" s="35">
        <f>SUBTOTAL(103,$B$24:B1663)</f>
        <v/>
      </c>
      <c r="B1663" s="36" t="inlineStr">
        <is>
          <t>Комплект катриджів Ecosoft до фільтру</t>
        </is>
      </c>
      <c r="C1663" s="37" t="inlineStr">
        <is>
          <t>шт.</t>
        </is>
      </c>
      <c r="D1663" s="33" t="n"/>
      <c r="E1663" s="33" t="n"/>
      <c r="F1663" s="33">
        <f>E1663*0.05</f>
        <v/>
      </c>
      <c r="G1663" s="33">
        <f>E1663+F1663</f>
        <v/>
      </c>
      <c r="H1663" s="33" t="n"/>
      <c r="I1663" s="33" t="n"/>
      <c r="J1663" s="33" t="n"/>
      <c r="K1663" s="33">
        <f>L1663+M1663+N1663</f>
        <v/>
      </c>
      <c r="L1663" s="33" t="n"/>
      <c r="M1663" s="33" t="n"/>
      <c r="N1663" s="33" t="n"/>
      <c r="O1663" s="33">
        <f>P1663+Q1663</f>
        <v/>
      </c>
      <c r="P1663" s="33" t="n"/>
      <c r="Q1663" s="33" t="n"/>
      <c r="R1663" s="33">
        <f>H1663+K1663-O1663</f>
        <v/>
      </c>
      <c r="S1663" s="33" t="n"/>
      <c r="T1663" s="33" t="n"/>
      <c r="U1663" s="33" t="n"/>
      <c r="V1663" s="33" t="n"/>
      <c r="W1663" s="33" t="n"/>
      <c r="X1663" s="33" t="n"/>
      <c r="Y1663" s="33" t="n"/>
      <c r="Z1663" s="33" t="n"/>
      <c r="AA1663" s="4">
        <f>R1663-G1663</f>
        <v/>
      </c>
      <c r="AB1663" s="4">
        <f>G1663-R1663</f>
        <v/>
      </c>
      <c r="AC1663" s="33" t="n"/>
    </row>
    <row r="1664" ht="18.75" customHeight="1">
      <c r="A1664" s="35">
        <f>SUBTOTAL(103,$B$24:B1664)</f>
        <v/>
      </c>
      <c r="B1664" s="36" t="inlineStr">
        <is>
          <t>Мембрана Filmtec TW-30-3012-500</t>
        </is>
      </c>
      <c r="C1664" s="37" t="n"/>
      <c r="D1664" s="33" t="n"/>
      <c r="E1664" s="33" t="n"/>
      <c r="F1664" s="33">
        <f>E1664*0.05</f>
        <v/>
      </c>
      <c r="G1664" s="33">
        <f>E1664+F1664</f>
        <v/>
      </c>
      <c r="H1664" s="33" t="n"/>
      <c r="I1664" s="33" t="n"/>
      <c r="J1664" s="33" t="n"/>
      <c r="K1664" s="33">
        <f>L1664+M1664+N1664</f>
        <v/>
      </c>
      <c r="L1664" s="33" t="n"/>
      <c r="M1664" s="33" t="n"/>
      <c r="N1664" s="33" t="n"/>
      <c r="O1664" s="33">
        <f>P1664+Q1664</f>
        <v/>
      </c>
      <c r="P1664" s="33" t="n"/>
      <c r="Q1664" s="33" t="n"/>
      <c r="R1664" s="33">
        <f>H1664+K1664-O1664</f>
        <v/>
      </c>
      <c r="S1664" s="33" t="n"/>
      <c r="T1664" s="33" t="n"/>
      <c r="U1664" s="33" t="n"/>
      <c r="V1664" s="33" t="n"/>
      <c r="W1664" s="33" t="n"/>
      <c r="X1664" s="33" t="n"/>
      <c r="Y1664" s="33" t="n"/>
      <c r="Z1664" s="33" t="n"/>
      <c r="AA1664" s="4">
        <f>R1664-G1664</f>
        <v/>
      </c>
      <c r="AB1664" s="4">
        <f>G1664-R1664</f>
        <v/>
      </c>
      <c r="AC1664" s="33" t="n"/>
    </row>
    <row r="1665" ht="18.75" customHeight="1">
      <c r="A1665" s="35">
        <f>SUBTOTAL(103,$B$24:B1665)</f>
        <v/>
      </c>
      <c r="B1665" s="36" t="inlineStr">
        <is>
          <t>Пом'якшувач води</t>
        </is>
      </c>
      <c r="C1665" s="37" t="inlineStr">
        <is>
          <t>к-т</t>
        </is>
      </c>
      <c r="D1665" s="33" t="n"/>
      <c r="E1665" s="33" t="n"/>
      <c r="F1665" s="33">
        <f>E1665*0.05</f>
        <v/>
      </c>
      <c r="G1665" s="33">
        <f>E1665+F1665</f>
        <v/>
      </c>
      <c r="H1665" s="33" t="n"/>
      <c r="I1665" s="33" t="n"/>
      <c r="J1665" s="33" t="n"/>
      <c r="K1665" s="33">
        <f>L1665+M1665+N1665</f>
        <v/>
      </c>
      <c r="L1665" s="33" t="n"/>
      <c r="M1665" s="33" t="n"/>
      <c r="N1665" s="33" t="n"/>
      <c r="O1665" s="33">
        <f>P1665+Q1665</f>
        <v/>
      </c>
      <c r="P1665" s="33" t="n"/>
      <c r="Q1665" s="33" t="n"/>
      <c r="R1665" s="33">
        <f>H1665+K1665-O1665</f>
        <v/>
      </c>
      <c r="S1665" s="33" t="n"/>
      <c r="T1665" s="33" t="n"/>
      <c r="U1665" s="33" t="n"/>
      <c r="V1665" s="33" t="n"/>
      <c r="W1665" s="33" t="n"/>
      <c r="X1665" s="33" t="n"/>
      <c r="Y1665" s="33" t="n"/>
      <c r="Z1665" s="33" t="n"/>
      <c r="AA1665" s="4">
        <f>R1665-G1665</f>
        <v/>
      </c>
      <c r="AB1665" s="4">
        <f>G1665-R1665</f>
        <v/>
      </c>
      <c r="AC1665" s="33" t="n"/>
    </row>
    <row r="1666" ht="18.75" customHeight="1">
      <c r="A1666" s="35">
        <f>SUBTOTAL(103,$B$24:B1666)</f>
        <v/>
      </c>
      <c r="B1666" s="36" t="inlineStr">
        <is>
          <t>Стаканотримач до кулера для води</t>
        </is>
      </c>
      <c r="C1666" s="37" t="inlineStr">
        <is>
          <t>к-т</t>
        </is>
      </c>
      <c r="D1666" s="33" t="n"/>
      <c r="E1666" s="33" t="n"/>
      <c r="F1666" s="33">
        <f>E1666*0.05</f>
        <v/>
      </c>
      <c r="G1666" s="33">
        <f>E1666+F1666</f>
        <v/>
      </c>
      <c r="H1666" s="33" t="n"/>
      <c r="I1666" s="33" t="n"/>
      <c r="J1666" s="33" t="n"/>
      <c r="K1666" s="33">
        <f>L1666+M1666+N1666</f>
        <v/>
      </c>
      <c r="L1666" s="33" t="n"/>
      <c r="M1666" s="33" t="n"/>
      <c r="N1666" s="33" t="n"/>
      <c r="O1666" s="33">
        <f>P1666+Q1666</f>
        <v/>
      </c>
      <c r="P1666" s="33" t="n"/>
      <c r="Q1666" s="33" t="n"/>
      <c r="R1666" s="33">
        <f>H1666+K1666-O1666</f>
        <v/>
      </c>
      <c r="S1666" s="33" t="n"/>
      <c r="T1666" s="33" t="n"/>
      <c r="U1666" s="33" t="n"/>
      <c r="V1666" s="33" t="n"/>
      <c r="W1666" s="33" t="n"/>
      <c r="X1666" s="33" t="n"/>
      <c r="Y1666" s="33" t="n"/>
      <c r="Z1666" s="33" t="n"/>
      <c r="AA1666" s="4">
        <f>R1666-G1666</f>
        <v/>
      </c>
      <c r="AB1666" s="4">
        <f>G1666-R1666</f>
        <v/>
      </c>
      <c r="AC1666" s="33" t="n"/>
    </row>
    <row r="1667" ht="18.75" customHeight="1">
      <c r="A1667" s="35">
        <f>SUBTOTAL(103,$B$24:B1667)</f>
        <v/>
      </c>
      <c r="B1667" s="39" t="inlineStr">
        <is>
          <t>ІНШЕ ОБЛАДНАННЯ</t>
        </is>
      </c>
      <c r="C1667" s="37" t="inlineStr">
        <is>
          <t>к-т</t>
        </is>
      </c>
      <c r="D1667" s="33" t="n"/>
      <c r="E1667" s="33" t="n"/>
      <c r="F1667" s="33">
        <f>E1667*0.05</f>
        <v/>
      </c>
      <c r="G1667" s="33">
        <f>E1667+F1667</f>
        <v/>
      </c>
      <c r="H1667" s="33" t="n"/>
      <c r="I1667" s="33" t="n"/>
      <c r="J1667" s="33" t="n"/>
      <c r="K1667" s="33">
        <f>L1667+M1667+N1667</f>
        <v/>
      </c>
      <c r="L1667" s="33" t="n"/>
      <c r="M1667" s="33" t="n"/>
      <c r="N1667" s="33" t="n"/>
      <c r="O1667" s="33">
        <f>P1667+Q1667</f>
        <v/>
      </c>
      <c r="P1667" s="33" t="n"/>
      <c r="Q1667" s="33" t="n"/>
      <c r="R1667" s="33">
        <f>H1667+K1667-O1667</f>
        <v/>
      </c>
      <c r="S1667" s="33" t="n"/>
      <c r="T1667" s="33" t="n"/>
      <c r="U1667" s="33" t="n"/>
      <c r="V1667" s="33" t="n"/>
      <c r="W1667" s="33" t="n"/>
      <c r="X1667" s="33" t="n"/>
      <c r="Y1667" s="33" t="n"/>
      <c r="Z1667" s="33" t="n"/>
      <c r="AA1667" s="4">
        <f>R1667-G1667</f>
        <v/>
      </c>
      <c r="AB1667" s="4">
        <f>G1667-R1667</f>
        <v/>
      </c>
      <c r="AC1667" s="33" t="n"/>
    </row>
    <row r="1668" ht="18.75" customHeight="1">
      <c r="A1668" s="35">
        <f>SUBTOTAL(103,$B$24:B1668)</f>
        <v/>
      </c>
      <c r="B1668" s="36" t="inlineStr">
        <is>
          <t xml:space="preserve">Автосатуратор </t>
        </is>
      </c>
      <c r="C1668" s="37" t="inlineStr">
        <is>
          <t>шт.</t>
        </is>
      </c>
      <c r="D1668" s="33" t="n"/>
      <c r="E1668" s="33" t="n"/>
      <c r="F1668" s="33">
        <f>E1668*0.05</f>
        <v/>
      </c>
      <c r="G1668" s="33">
        <f>E1668+F1668</f>
        <v/>
      </c>
      <c r="H1668" s="33" t="n"/>
      <c r="I1668" s="33" t="n"/>
      <c r="J1668" s="33" t="n"/>
      <c r="K1668" s="33">
        <f>L1668+M1668+N1668</f>
        <v/>
      </c>
      <c r="L1668" s="33" t="n"/>
      <c r="M1668" s="33" t="n"/>
      <c r="N1668" s="33" t="n"/>
      <c r="O1668" s="33">
        <f>P1668+Q1668</f>
        <v/>
      </c>
      <c r="P1668" s="33" t="n"/>
      <c r="Q1668" s="33" t="n"/>
      <c r="R1668" s="33">
        <f>H1668+K1668-O1668</f>
        <v/>
      </c>
      <c r="S1668" s="33" t="n"/>
      <c r="T1668" s="33" t="n"/>
      <c r="U1668" s="33" t="n"/>
      <c r="V1668" s="33" t="n"/>
      <c r="W1668" s="33" t="n"/>
      <c r="X1668" s="33" t="n"/>
      <c r="Y1668" s="33" t="n"/>
      <c r="Z1668" s="33" t="n"/>
      <c r="AA1668" s="4">
        <f>R1668-G1668</f>
        <v/>
      </c>
      <c r="AB1668" s="4">
        <f>G1668-R1668</f>
        <v/>
      </c>
      <c r="AC1668" s="33" t="n"/>
    </row>
    <row r="1669" ht="18.75" customHeight="1">
      <c r="A1669" s="35">
        <f>SUBTOTAL(103,$B$24:B1669)</f>
        <v/>
      </c>
      <c r="B1669" s="36" t="inlineStr">
        <is>
          <t>Електрична сосисковарки</t>
        </is>
      </c>
      <c r="C1669" s="37" t="inlineStr">
        <is>
          <t>к-т</t>
        </is>
      </c>
      <c r="D1669" s="33" t="n"/>
      <c r="E1669" s="33" t="n"/>
      <c r="F1669" s="33">
        <f>E1669*0.05</f>
        <v/>
      </c>
      <c r="G1669" s="33">
        <f>E1669+F1669</f>
        <v/>
      </c>
      <c r="H1669" s="33" t="n"/>
      <c r="I1669" s="33" t="n"/>
      <c r="J1669" s="33" t="n"/>
      <c r="K1669" s="33">
        <f>L1669+M1669+N1669</f>
        <v/>
      </c>
      <c r="L1669" s="33" t="n"/>
      <c r="M1669" s="33" t="n"/>
      <c r="N1669" s="33" t="n"/>
      <c r="O1669" s="33">
        <f>P1669+Q1669</f>
        <v/>
      </c>
      <c r="P1669" s="33" t="n"/>
      <c r="Q1669" s="33" t="n"/>
      <c r="R1669" s="33">
        <f>H1669+K1669-O1669</f>
        <v/>
      </c>
      <c r="S1669" s="33" t="n"/>
      <c r="T1669" s="33" t="n"/>
      <c r="U1669" s="33" t="n"/>
      <c r="V1669" s="33" t="n"/>
      <c r="W1669" s="33" t="n"/>
      <c r="X1669" s="33" t="n"/>
      <c r="Y1669" s="33" t="n"/>
      <c r="Z1669" s="33" t="n"/>
      <c r="AA1669" s="4">
        <f>R1669-G1669</f>
        <v/>
      </c>
      <c r="AB1669" s="4">
        <f>G1669-R1669</f>
        <v/>
      </c>
      <c r="AC1669" s="33" t="n"/>
    </row>
    <row r="1670" ht="37.5" customHeight="1">
      <c r="A1670" s="35">
        <f>SUBTOTAL(103,$B$24:B1670)</f>
        <v/>
      </c>
      <c r="B1670" s="36" t="inlineStr">
        <is>
          <t>вузол формуючий JGL-120 з головкою 8 яч</t>
        </is>
      </c>
      <c r="C1670" s="37" t="inlineStr">
        <is>
          <t>к-т</t>
        </is>
      </c>
      <c r="D1670" s="33" t="n"/>
      <c r="E1670" s="33" t="n"/>
      <c r="F1670" s="33">
        <f>E1670*0.05</f>
        <v/>
      </c>
      <c r="G1670" s="33">
        <f>E1670+F1670</f>
        <v/>
      </c>
      <c r="H1670" s="33" t="n"/>
      <c r="I1670" s="33" t="n"/>
      <c r="J1670" s="33" t="n"/>
      <c r="K1670" s="33">
        <f>L1670+M1670+N1670</f>
        <v/>
      </c>
      <c r="L1670" s="33" t="n"/>
      <c r="M1670" s="33" t="n"/>
      <c r="N1670" s="33" t="n"/>
      <c r="O1670" s="33">
        <f>P1670+Q1670</f>
        <v/>
      </c>
      <c r="P1670" s="33" t="n"/>
      <c r="Q1670" s="33" t="n"/>
      <c r="R1670" s="33">
        <f>H1670+K1670-O1670</f>
        <v/>
      </c>
      <c r="S1670" s="33" t="n"/>
      <c r="T1670" s="33" t="n"/>
      <c r="U1670" s="33" t="n"/>
      <c r="V1670" s="33" t="n"/>
      <c r="W1670" s="33" t="n"/>
      <c r="X1670" s="33" t="n"/>
      <c r="Y1670" s="33" t="n"/>
      <c r="Z1670" s="33" t="n"/>
      <c r="AA1670" s="4">
        <f>R1670-G1670</f>
        <v/>
      </c>
      <c r="AB1670" s="4">
        <f>G1670-R1670</f>
        <v/>
      </c>
      <c r="AC1670" s="33" t="n"/>
    </row>
    <row r="1671" ht="18.75" customHeight="1">
      <c r="A1671" s="35">
        <f>SUBTOTAL(103,$B$24:B1671)</f>
        <v/>
      </c>
      <c r="B1671" s="36" t="inlineStr">
        <is>
          <t xml:space="preserve">Пристрій для варіння </t>
        </is>
      </c>
      <c r="C1671" s="37" t="inlineStr">
        <is>
          <t>к-т</t>
        </is>
      </c>
      <c r="D1671" s="33" t="n"/>
      <c r="E1671" s="33" t="n"/>
      <c r="F1671" s="33">
        <f>E1671*0.05</f>
        <v/>
      </c>
      <c r="G1671" s="33">
        <f>E1671+F1671</f>
        <v/>
      </c>
      <c r="H1671" s="33" t="n"/>
      <c r="I1671" s="33" t="n"/>
      <c r="J1671" s="33" t="n"/>
      <c r="K1671" s="33">
        <f>L1671+M1671+N1671</f>
        <v/>
      </c>
      <c r="L1671" s="33" t="n"/>
      <c r="M1671" s="33" t="n"/>
      <c r="N1671" s="33" t="n"/>
      <c r="O1671" s="33">
        <f>P1671+Q1671</f>
        <v/>
      </c>
      <c r="P1671" s="33" t="n"/>
      <c r="Q1671" s="33" t="n"/>
      <c r="R1671" s="33">
        <f>H1671+K1671-O1671</f>
        <v/>
      </c>
      <c r="S1671" s="33" t="n"/>
      <c r="T1671" s="33" t="n"/>
      <c r="U1671" s="33" t="n"/>
      <c r="V1671" s="33" t="n"/>
      <c r="W1671" s="33" t="n"/>
      <c r="X1671" s="33" t="n"/>
      <c r="Y1671" s="33" t="n"/>
      <c r="Z1671" s="33" t="n"/>
      <c r="AA1671" s="4">
        <f>R1671-G1671</f>
        <v/>
      </c>
      <c r="AB1671" s="4">
        <f>G1671-R1671</f>
        <v/>
      </c>
      <c r="AC1671" s="33" t="n"/>
    </row>
    <row r="1672" ht="18.75" customHeight="1">
      <c r="A1672" s="35">
        <f>SUBTOTAL(103,$B$24:B1672)</f>
        <v/>
      </c>
      <c r="B1672" s="36" t="inlineStr">
        <is>
          <t>Пристрій для варіння яєць</t>
        </is>
      </c>
      <c r="C1672" s="37" t="inlineStr">
        <is>
          <t>к-т</t>
        </is>
      </c>
      <c r="D1672" s="33" t="n"/>
      <c r="E1672" s="33" t="n"/>
      <c r="F1672" s="33">
        <f>E1672*0.05</f>
        <v/>
      </c>
      <c r="G1672" s="33">
        <f>E1672+F1672</f>
        <v/>
      </c>
      <c r="H1672" s="33" t="n"/>
      <c r="I1672" s="33" t="n"/>
      <c r="J1672" s="33" t="n"/>
      <c r="K1672" s="33">
        <f>L1672+M1672+N1672</f>
        <v/>
      </c>
      <c r="L1672" s="33" t="n"/>
      <c r="M1672" s="33" t="n"/>
      <c r="N1672" s="33" t="n"/>
      <c r="O1672" s="33">
        <f>P1672+Q1672</f>
        <v/>
      </c>
      <c r="P1672" s="33" t="n"/>
      <c r="Q1672" s="33" t="n"/>
      <c r="R1672" s="33">
        <f>H1672+K1672-O1672</f>
        <v/>
      </c>
      <c r="S1672" s="33" t="n"/>
      <c r="T1672" s="33" t="n"/>
      <c r="U1672" s="33" t="n"/>
      <c r="V1672" s="33" t="n"/>
      <c r="W1672" s="33" t="n"/>
      <c r="X1672" s="33" t="n"/>
      <c r="Y1672" s="33" t="n"/>
      <c r="Z1672" s="33" t="n"/>
      <c r="AA1672" s="4">
        <f>R1672-G1672</f>
        <v/>
      </c>
      <c r="AB1672" s="4">
        <f>G1672-R1672</f>
        <v/>
      </c>
      <c r="AC1672" s="33" t="n"/>
    </row>
    <row r="1673" ht="18.75" customHeight="1">
      <c r="A1673" s="35">
        <f>SUBTOTAL(103,$B$24:B1673)</f>
        <v/>
      </c>
      <c r="B1673" s="36" t="inlineStr">
        <is>
          <t>Пристрій для варіння УЄВ-60</t>
        </is>
      </c>
      <c r="C1673" s="37" t="inlineStr">
        <is>
          <t>к-т</t>
        </is>
      </c>
      <c r="D1673" s="33" t="n"/>
      <c r="E1673" s="33" t="n"/>
      <c r="F1673" s="33">
        <f>E1673*0.05</f>
        <v/>
      </c>
      <c r="G1673" s="33">
        <f>E1673+F1673</f>
        <v/>
      </c>
      <c r="H1673" s="33" t="n"/>
      <c r="I1673" s="33" t="n"/>
      <c r="J1673" s="33" t="n"/>
      <c r="K1673" s="33">
        <f>L1673+M1673+N1673</f>
        <v/>
      </c>
      <c r="L1673" s="33" t="n"/>
      <c r="M1673" s="33" t="n"/>
      <c r="N1673" s="33" t="n"/>
      <c r="O1673" s="33">
        <f>P1673+Q1673</f>
        <v/>
      </c>
      <c r="P1673" s="33" t="n"/>
      <c r="Q1673" s="33" t="n"/>
      <c r="R1673" s="33">
        <f>H1673+K1673-O1673</f>
        <v/>
      </c>
      <c r="S1673" s="33" t="n"/>
      <c r="T1673" s="33" t="n"/>
      <c r="U1673" s="33" t="n"/>
      <c r="V1673" s="33" t="n"/>
      <c r="W1673" s="33" t="n"/>
      <c r="X1673" s="33" t="n"/>
      <c r="Y1673" s="33" t="n"/>
      <c r="Z1673" s="33" t="n"/>
      <c r="AA1673" s="4">
        <f>R1673-G1673</f>
        <v/>
      </c>
      <c r="AB1673" s="4">
        <f>G1673-R1673</f>
        <v/>
      </c>
      <c r="AC1673" s="33" t="n"/>
    </row>
    <row r="1674" ht="18.75" customHeight="1">
      <c r="A1674" s="35">
        <f>SUBTOTAL(103,$B$24:B1674)</f>
        <v/>
      </c>
      <c r="B1674" s="36" t="inlineStr">
        <is>
          <t>Пристрій для чишення риби РО-1</t>
        </is>
      </c>
      <c r="C1674" s="37" t="inlineStr">
        <is>
          <t>к-т</t>
        </is>
      </c>
      <c r="D1674" s="33" t="n"/>
      <c r="E1674" s="33" t="n"/>
      <c r="F1674" s="33">
        <f>E1674*0.05</f>
        <v/>
      </c>
      <c r="G1674" s="33">
        <f>E1674+F1674</f>
        <v/>
      </c>
      <c r="H1674" s="33" t="n"/>
      <c r="I1674" s="33" t="n"/>
      <c r="J1674" s="33" t="n"/>
      <c r="K1674" s="33">
        <f>L1674+M1674+N1674</f>
        <v/>
      </c>
      <c r="L1674" s="33" t="n"/>
      <c r="M1674" s="33" t="n"/>
      <c r="N1674" s="33" t="n"/>
      <c r="O1674" s="33">
        <f>P1674+Q1674</f>
        <v/>
      </c>
      <c r="P1674" s="33" t="n"/>
      <c r="Q1674" s="33" t="n"/>
      <c r="R1674" s="33">
        <f>H1674+K1674-O1674</f>
        <v/>
      </c>
      <c r="S1674" s="33" t="n"/>
      <c r="T1674" s="33" t="n"/>
      <c r="U1674" s="33" t="n"/>
      <c r="V1674" s="33" t="n"/>
      <c r="W1674" s="33" t="n"/>
      <c r="X1674" s="33" t="n"/>
      <c r="Y1674" s="33" t="n"/>
      <c r="Z1674" s="33" t="n"/>
      <c r="AA1674" s="4">
        <f>R1674-G1674</f>
        <v/>
      </c>
      <c r="AB1674" s="4">
        <f>G1674-R1674</f>
        <v/>
      </c>
      <c r="AC1674" s="33" t="n"/>
    </row>
    <row r="1675" ht="18.75" customHeight="1">
      <c r="A1675" s="35">
        <f>SUBTOTAL(103,$B$24:B1675)</f>
        <v/>
      </c>
      <c r="B1675" s="36" t="inlineStr">
        <is>
          <t>Пристрій для чищення риби</t>
        </is>
      </c>
      <c r="C1675" s="37" t="inlineStr">
        <is>
          <t>к-т</t>
        </is>
      </c>
      <c r="D1675" s="33" t="n"/>
      <c r="E1675" s="33" t="n"/>
      <c r="F1675" s="33">
        <f>E1675*0.05</f>
        <v/>
      </c>
      <c r="G1675" s="33">
        <f>E1675+F1675</f>
        <v/>
      </c>
      <c r="H1675" s="33" t="n"/>
      <c r="I1675" s="33" t="n"/>
      <c r="J1675" s="33" t="n"/>
      <c r="K1675" s="33">
        <f>L1675+M1675+N1675</f>
        <v/>
      </c>
      <c r="L1675" s="33" t="n"/>
      <c r="M1675" s="33" t="n"/>
      <c r="N1675" s="33" t="n"/>
      <c r="O1675" s="33">
        <f>P1675+Q1675</f>
        <v/>
      </c>
      <c r="P1675" s="33" t="n"/>
      <c r="Q1675" s="33" t="n"/>
      <c r="R1675" s="33">
        <f>H1675+K1675-O1675</f>
        <v/>
      </c>
      <c r="S1675" s="33" t="n"/>
      <c r="T1675" s="33" t="n"/>
      <c r="U1675" s="33" t="n"/>
      <c r="V1675" s="33" t="n"/>
      <c r="W1675" s="33" t="n"/>
      <c r="X1675" s="33" t="n"/>
      <c r="Y1675" s="33" t="n"/>
      <c r="Z1675" s="33" t="n"/>
      <c r="AA1675" s="4">
        <f>R1675-G1675</f>
        <v/>
      </c>
      <c r="AB1675" s="4">
        <f>G1675-R1675</f>
        <v/>
      </c>
      <c r="AC1675" s="33" t="n"/>
    </row>
    <row r="1676" ht="18.75" customHeight="1">
      <c r="A1676" s="35">
        <f>SUBTOTAL(103,$B$24:B1676)</f>
        <v/>
      </c>
      <c r="B1676" s="36" t="inlineStr">
        <is>
          <t>Соковитискач</t>
        </is>
      </c>
      <c r="C1676" s="37" t="inlineStr">
        <is>
          <t>к-т</t>
        </is>
      </c>
      <c r="D1676" s="33" t="n"/>
      <c r="E1676" s="33" t="n"/>
      <c r="F1676" s="33">
        <f>E1676*0.05</f>
        <v/>
      </c>
      <c r="G1676" s="33">
        <f>E1676+F1676</f>
        <v/>
      </c>
      <c r="H1676" s="33" t="n"/>
      <c r="I1676" s="33" t="n"/>
      <c r="J1676" s="33" t="n"/>
      <c r="K1676" s="33">
        <f>L1676+M1676+N1676</f>
        <v/>
      </c>
      <c r="L1676" s="33" t="n"/>
      <c r="M1676" s="33" t="n"/>
      <c r="N1676" s="33" t="n"/>
      <c r="O1676" s="33">
        <f>P1676+Q1676</f>
        <v/>
      </c>
      <c r="P1676" s="33" t="n"/>
      <c r="Q1676" s="33" t="n"/>
      <c r="R1676" s="33">
        <f>H1676+K1676-O1676</f>
        <v/>
      </c>
      <c r="S1676" s="33" t="n"/>
      <c r="T1676" s="33" t="n"/>
      <c r="U1676" s="33" t="n"/>
      <c r="V1676" s="33" t="n"/>
      <c r="W1676" s="33" t="n"/>
      <c r="X1676" s="33" t="n"/>
      <c r="Y1676" s="33" t="n"/>
      <c r="Z1676" s="33" t="n"/>
      <c r="AA1676" s="4">
        <f>R1676-G1676</f>
        <v/>
      </c>
      <c r="AB1676" s="4">
        <f>G1676-R1676</f>
        <v/>
      </c>
      <c r="AC1676" s="33" t="n"/>
    </row>
    <row r="1677" ht="18.75" customHeight="1">
      <c r="A1677" s="35">
        <f>SUBTOTAL(103,$B$24:B1677)</f>
        <v/>
      </c>
      <c r="B1677" s="36" t="inlineStr">
        <is>
          <t>Соковитискач Laretti 7401</t>
        </is>
      </c>
      <c r="C1677" s="37" t="inlineStr">
        <is>
          <t>к-т</t>
        </is>
      </c>
      <c r="D1677" s="33" t="n"/>
      <c r="E1677" s="33" t="n"/>
      <c r="F1677" s="33">
        <f>E1677*0.05</f>
        <v/>
      </c>
      <c r="G1677" s="33">
        <f>E1677+F1677</f>
        <v/>
      </c>
      <c r="H1677" s="33" t="n"/>
      <c r="I1677" s="33" t="n"/>
      <c r="J1677" s="33" t="n"/>
      <c r="K1677" s="33">
        <f>L1677+M1677+N1677</f>
        <v/>
      </c>
      <c r="L1677" s="33" t="n"/>
      <c r="M1677" s="33" t="n"/>
      <c r="N1677" s="33" t="n"/>
      <c r="O1677" s="33">
        <f>P1677+Q1677</f>
        <v/>
      </c>
      <c r="P1677" s="33" t="n"/>
      <c r="Q1677" s="33" t="n"/>
      <c r="R1677" s="33">
        <f>H1677+K1677-O1677</f>
        <v/>
      </c>
      <c r="S1677" s="33" t="n"/>
      <c r="T1677" s="33" t="n"/>
      <c r="U1677" s="33" t="n"/>
      <c r="V1677" s="33" t="n"/>
      <c r="W1677" s="33" t="n"/>
      <c r="X1677" s="33" t="n"/>
      <c r="Y1677" s="33" t="n"/>
      <c r="Z1677" s="33" t="n"/>
      <c r="AA1677" s="4">
        <f>R1677-G1677</f>
        <v/>
      </c>
      <c r="AB1677" s="4">
        <f>G1677-R1677</f>
        <v/>
      </c>
      <c r="AC1677" s="33" t="n"/>
    </row>
    <row r="1678" ht="18.75" customHeight="1">
      <c r="A1678" s="35">
        <f>SUBTOTAL(103,$B$24:B1678)</f>
        <v/>
      </c>
      <c r="B1678" s="36" t="inlineStr">
        <is>
          <t xml:space="preserve">Маслоділильник </t>
        </is>
      </c>
      <c r="C1678" s="37" t="inlineStr">
        <is>
          <t>к-т</t>
        </is>
      </c>
      <c r="D1678" s="33" t="n"/>
      <c r="E1678" s="33" t="n"/>
      <c r="F1678" s="33">
        <f>E1678*0.05</f>
        <v/>
      </c>
      <c r="G1678" s="33">
        <f>E1678+F1678</f>
        <v/>
      </c>
      <c r="H1678" s="33" t="n"/>
      <c r="I1678" s="33" t="n"/>
      <c r="J1678" s="33" t="n"/>
      <c r="K1678" s="33">
        <f>L1678+M1678+N1678</f>
        <v/>
      </c>
      <c r="L1678" s="33" t="n"/>
      <c r="M1678" s="33" t="n"/>
      <c r="N1678" s="33" t="n"/>
      <c r="O1678" s="33">
        <f>P1678+Q1678</f>
        <v/>
      </c>
      <c r="P1678" s="33" t="n"/>
      <c r="Q1678" s="33" t="n"/>
      <c r="R1678" s="33">
        <f>H1678+K1678-O1678</f>
        <v/>
      </c>
      <c r="S1678" s="33" t="n"/>
      <c r="T1678" s="33" t="n"/>
      <c r="U1678" s="33" t="n"/>
      <c r="V1678" s="33" t="n"/>
      <c r="W1678" s="33" t="n"/>
      <c r="X1678" s="33" t="n"/>
      <c r="Y1678" s="33" t="n"/>
      <c r="Z1678" s="33" t="n"/>
      <c r="AA1678" s="4">
        <f>R1678-G1678</f>
        <v/>
      </c>
      <c r="AB1678" s="4">
        <f>G1678-R1678</f>
        <v/>
      </c>
      <c r="AC1678" s="33" t="n"/>
    </row>
    <row r="1679" ht="18.75" customHeight="1">
      <c r="A1679" s="35">
        <f>SUBTOTAL(103,$B$24:B1679)</f>
        <v/>
      </c>
      <c r="B1679" s="36" t="inlineStr">
        <is>
          <t>Френч-пресс</t>
        </is>
      </c>
      <c r="C1679" s="37" t="inlineStr">
        <is>
          <t>к-т</t>
        </is>
      </c>
      <c r="D1679" s="33" t="n"/>
      <c r="E1679" s="33" t="n"/>
      <c r="F1679" s="33">
        <f>E1679*0.05</f>
        <v/>
      </c>
      <c r="G1679" s="33">
        <f>E1679+F1679</f>
        <v/>
      </c>
      <c r="H1679" s="33" t="n"/>
      <c r="I1679" s="33" t="n"/>
      <c r="J1679" s="33" t="n"/>
      <c r="K1679" s="33">
        <f>L1679+M1679+N1679</f>
        <v/>
      </c>
      <c r="L1679" s="33" t="n"/>
      <c r="M1679" s="33" t="n"/>
      <c r="N1679" s="33" t="n"/>
      <c r="O1679" s="33">
        <f>P1679+Q1679</f>
        <v/>
      </c>
      <c r="P1679" s="33" t="n"/>
      <c r="Q1679" s="33" t="n"/>
      <c r="R1679" s="33">
        <f>H1679+K1679-O1679</f>
        <v/>
      </c>
      <c r="S1679" s="33" t="n"/>
      <c r="T1679" s="33" t="n"/>
      <c r="U1679" s="33" t="n"/>
      <c r="V1679" s="33" t="n"/>
      <c r="W1679" s="33" t="n"/>
      <c r="X1679" s="33" t="n"/>
      <c r="Y1679" s="33" t="n"/>
      <c r="Z1679" s="33" t="n"/>
      <c r="AA1679" s="4">
        <f>R1679-G1679</f>
        <v/>
      </c>
      <c r="AB1679" s="4">
        <f>G1679-R1679</f>
        <v/>
      </c>
      <c r="AC1679" s="33" t="n"/>
    </row>
    <row r="1680" ht="18.75" customHeight="1">
      <c r="A1680" s="35">
        <f>SUBTOTAL(103,$B$24:B1680)</f>
        <v/>
      </c>
      <c r="B1680" s="36" t="inlineStr">
        <is>
          <t xml:space="preserve">Електрорушник </t>
        </is>
      </c>
      <c r="C1680" s="37" t="inlineStr">
        <is>
          <t>к-т</t>
        </is>
      </c>
      <c r="D1680" s="33" t="n"/>
      <c r="E1680" s="33" t="n"/>
      <c r="F1680" s="33">
        <f>E1680*0.05</f>
        <v/>
      </c>
      <c r="G1680" s="33">
        <f>E1680+F1680</f>
        <v/>
      </c>
      <c r="H1680" s="33" t="n"/>
      <c r="I1680" s="33" t="n"/>
      <c r="J1680" s="33" t="n"/>
      <c r="K1680" s="33">
        <f>L1680+M1680+N1680</f>
        <v/>
      </c>
      <c r="L1680" s="33" t="n"/>
      <c r="M1680" s="33" t="n"/>
      <c r="N1680" s="33" t="n"/>
      <c r="O1680" s="33">
        <f>P1680+Q1680</f>
        <v/>
      </c>
      <c r="P1680" s="33" t="n"/>
      <c r="Q1680" s="33" t="n"/>
      <c r="R1680" s="33">
        <f>H1680+K1680-O1680</f>
        <v/>
      </c>
      <c r="S1680" s="33" t="n"/>
      <c r="T1680" s="33" t="n"/>
      <c r="U1680" s="33" t="n"/>
      <c r="V1680" s="33" t="n"/>
      <c r="W1680" s="33" t="n"/>
      <c r="X1680" s="33" t="n"/>
      <c r="Y1680" s="33" t="n"/>
      <c r="Z1680" s="33" t="n"/>
      <c r="AA1680" s="4">
        <f>R1680-G1680</f>
        <v/>
      </c>
      <c r="AB1680" s="4">
        <f>G1680-R1680</f>
        <v/>
      </c>
      <c r="AC1680" s="33" t="n"/>
    </row>
    <row r="1681" ht="18.75" customHeight="1">
      <c r="A1681" s="35">
        <f>SUBTOTAL(103,$B$24:B1681)</f>
        <v/>
      </c>
      <c r="B1681" s="36" t="inlineStr">
        <is>
          <t>Електросушилка "Ера"</t>
        </is>
      </c>
      <c r="C1681" s="37" t="inlineStr">
        <is>
          <t>к-т</t>
        </is>
      </c>
      <c r="D1681" s="33" t="n"/>
      <c r="E1681" s="33" t="n"/>
      <c r="F1681" s="33">
        <f>E1681*0.05</f>
        <v/>
      </c>
      <c r="G1681" s="33">
        <f>E1681+F1681</f>
        <v/>
      </c>
      <c r="H1681" s="33" t="n"/>
      <c r="I1681" s="33" t="n"/>
      <c r="J1681" s="33" t="n"/>
      <c r="K1681" s="33">
        <f>L1681+M1681+N1681</f>
        <v/>
      </c>
      <c r="L1681" s="33" t="n"/>
      <c r="M1681" s="33" t="n"/>
      <c r="N1681" s="33" t="n"/>
      <c r="O1681" s="33">
        <f>P1681+Q1681</f>
        <v/>
      </c>
      <c r="P1681" s="33" t="n"/>
      <c r="Q1681" s="33" t="n"/>
      <c r="R1681" s="33">
        <f>H1681+K1681-O1681</f>
        <v/>
      </c>
      <c r="S1681" s="33" t="n"/>
      <c r="T1681" s="33" t="n"/>
      <c r="U1681" s="33" t="n"/>
      <c r="V1681" s="33" t="n"/>
      <c r="W1681" s="33" t="n"/>
      <c r="X1681" s="33" t="n"/>
      <c r="Y1681" s="33" t="n"/>
      <c r="Z1681" s="33" t="n"/>
      <c r="AA1681" s="4">
        <f>R1681-G1681</f>
        <v/>
      </c>
      <c r="AB1681" s="4">
        <f>G1681-R1681</f>
        <v/>
      </c>
      <c r="AC1681" s="33" t="n"/>
    </row>
    <row r="1682" ht="18.75" customHeight="1">
      <c r="A1682" s="35">
        <f>SUBTOTAL(103,$B$24:B1682)</f>
        <v/>
      </c>
      <c r="B1682" s="36" t="inlineStr">
        <is>
          <t>Сушарка для рук POHOLDI</t>
        </is>
      </c>
      <c r="C1682" s="37" t="inlineStr">
        <is>
          <t>шт.</t>
        </is>
      </c>
      <c r="D1682" s="33" t="n"/>
      <c r="E1682" s="33" t="n"/>
      <c r="F1682" s="33">
        <f>E1682*0.05</f>
        <v/>
      </c>
      <c r="G1682" s="33">
        <f>E1682+F1682</f>
        <v/>
      </c>
      <c r="H1682" s="33" t="n"/>
      <c r="I1682" s="33" t="n"/>
      <c r="J1682" s="33" t="n"/>
      <c r="K1682" s="33">
        <f>L1682+M1682+N1682</f>
        <v/>
      </c>
      <c r="L1682" s="33" t="n"/>
      <c r="M1682" s="33" t="n"/>
      <c r="N1682" s="33" t="n"/>
      <c r="O1682" s="33">
        <f>P1682+Q1682</f>
        <v/>
      </c>
      <c r="P1682" s="33" t="n"/>
      <c r="Q1682" s="33" t="n"/>
      <c r="R1682" s="33">
        <f>H1682+K1682-O1682</f>
        <v/>
      </c>
      <c r="S1682" s="33" t="n"/>
      <c r="T1682" s="33" t="n"/>
      <c r="U1682" s="33" t="n"/>
      <c r="V1682" s="33" t="n"/>
      <c r="W1682" s="33" t="n"/>
      <c r="X1682" s="33" t="n"/>
      <c r="Y1682" s="33" t="n"/>
      <c r="Z1682" s="33" t="n"/>
      <c r="AA1682" s="4">
        <f>R1682-G1682</f>
        <v/>
      </c>
      <c r="AB1682" s="4">
        <f>G1682-R1682</f>
        <v/>
      </c>
      <c r="AC1682" s="33" t="n"/>
    </row>
    <row r="1683" ht="18.75" customHeight="1">
      <c r="A1683" s="35">
        <f>SUBTOTAL(103,$B$24:B1683)</f>
        <v/>
      </c>
      <c r="B1683" s="36" t="inlineStr">
        <is>
          <t>Мультиварка Moulinex MK622132</t>
        </is>
      </c>
      <c r="C1683" s="37" t="inlineStr">
        <is>
          <t>к-т</t>
        </is>
      </c>
      <c r="D1683" s="33" t="n"/>
      <c r="E1683" s="33" t="n"/>
      <c r="F1683" s="33">
        <f>E1683*0.05</f>
        <v/>
      </c>
      <c r="G1683" s="33">
        <f>E1683+F1683</f>
        <v/>
      </c>
      <c r="H1683" s="33" t="n"/>
      <c r="I1683" s="33" t="n"/>
      <c r="J1683" s="33" t="n"/>
      <c r="K1683" s="33">
        <f>L1683+M1683+N1683</f>
        <v/>
      </c>
      <c r="L1683" s="33" t="n"/>
      <c r="M1683" s="33" t="n"/>
      <c r="N1683" s="33" t="n"/>
      <c r="O1683" s="33">
        <f>P1683+Q1683</f>
        <v/>
      </c>
      <c r="P1683" s="33" t="n"/>
      <c r="Q1683" s="33" t="n"/>
      <c r="R1683" s="33">
        <f>H1683+K1683-O1683</f>
        <v/>
      </c>
      <c r="S1683" s="33" t="n"/>
      <c r="T1683" s="33" t="n"/>
      <c r="U1683" s="33" t="n"/>
      <c r="V1683" s="33" t="n"/>
      <c r="W1683" s="33" t="n"/>
      <c r="X1683" s="33" t="n"/>
      <c r="Y1683" s="33" t="n"/>
      <c r="Z1683" s="33" t="n"/>
      <c r="AA1683" s="4">
        <f>R1683-G1683</f>
        <v/>
      </c>
      <c r="AB1683" s="4">
        <f>G1683-R1683</f>
        <v/>
      </c>
      <c r="AC1683" s="33" t="n"/>
    </row>
    <row r="1684" ht="18.75" customHeight="1">
      <c r="A1684" s="35">
        <f>SUBTOTAL(103,$B$24:B1684)</f>
        <v/>
      </c>
      <c r="B1684" s="36" t="inlineStr">
        <is>
          <t>Мультиварка PHILIPS</t>
        </is>
      </c>
      <c r="C1684" s="37" t="n"/>
      <c r="D1684" s="33" t="n"/>
      <c r="E1684" s="33" t="n"/>
      <c r="F1684" s="33">
        <f>E1684*0.05</f>
        <v/>
      </c>
      <c r="G1684" s="33">
        <f>E1684+F1684</f>
        <v/>
      </c>
      <c r="H1684" s="33" t="n"/>
      <c r="I1684" s="33" t="n"/>
      <c r="J1684" s="33" t="n"/>
      <c r="K1684" s="33">
        <f>L1684+M1684+N1684</f>
        <v/>
      </c>
      <c r="L1684" s="33" t="n"/>
      <c r="M1684" s="33" t="n"/>
      <c r="N1684" s="33" t="n"/>
      <c r="O1684" s="33">
        <f>P1684+Q1684</f>
        <v/>
      </c>
      <c r="P1684" s="33" t="n"/>
      <c r="Q1684" s="33" t="n"/>
      <c r="R1684" s="33">
        <f>H1684+K1684-O1684</f>
        <v/>
      </c>
      <c r="S1684" s="33" t="n"/>
      <c r="T1684" s="33" t="n"/>
      <c r="U1684" s="33" t="n"/>
      <c r="V1684" s="33" t="n"/>
      <c r="W1684" s="33" t="n"/>
      <c r="X1684" s="33" t="n"/>
      <c r="Y1684" s="33" t="n"/>
      <c r="Z1684" s="33" t="n"/>
      <c r="AA1684" s="4">
        <f>R1684-G1684</f>
        <v/>
      </c>
      <c r="AB1684" s="4">
        <f>G1684-R1684</f>
        <v/>
      </c>
      <c r="AC1684" s="33" t="n"/>
    </row>
    <row r="1685" ht="18.75" customHeight="1">
      <c r="A1685" s="35">
        <f>SUBTOTAL(103,$B$24:B1685)</f>
        <v/>
      </c>
      <c r="B1685" s="36" t="inlineStr">
        <is>
          <t>Тостер</t>
        </is>
      </c>
      <c r="C1685" s="37" t="inlineStr">
        <is>
          <t>к-т</t>
        </is>
      </c>
      <c r="D1685" s="33" t="n"/>
      <c r="E1685" s="33" t="n"/>
      <c r="F1685" s="33">
        <f>E1685*0.05</f>
        <v/>
      </c>
      <c r="G1685" s="33">
        <f>E1685+F1685</f>
        <v/>
      </c>
      <c r="H1685" s="33" t="n"/>
      <c r="I1685" s="33" t="n"/>
      <c r="J1685" s="33" t="n"/>
      <c r="K1685" s="33">
        <f>L1685+M1685+N1685</f>
        <v/>
      </c>
      <c r="L1685" s="33" t="n"/>
      <c r="M1685" s="33" t="n"/>
      <c r="N1685" s="33" t="n"/>
      <c r="O1685" s="33">
        <f>P1685+Q1685</f>
        <v/>
      </c>
      <c r="P1685" s="33" t="n"/>
      <c r="Q1685" s="33" t="n"/>
      <c r="R1685" s="33">
        <f>H1685+K1685-O1685</f>
        <v/>
      </c>
      <c r="S1685" s="33" t="n"/>
      <c r="T1685" s="33" t="n"/>
      <c r="U1685" s="33" t="n"/>
      <c r="V1685" s="33" t="n"/>
      <c r="W1685" s="33" t="n"/>
      <c r="X1685" s="33" t="n"/>
      <c r="Y1685" s="33" t="n"/>
      <c r="Z1685" s="33" t="n"/>
      <c r="AA1685" s="4">
        <f>R1685-G1685</f>
        <v/>
      </c>
      <c r="AB1685" s="4">
        <f>G1685-R1685</f>
        <v/>
      </c>
      <c r="AC1685" s="33" t="n"/>
    </row>
    <row r="1686" ht="18.75" customHeight="1">
      <c r="A1686" s="35">
        <f>SUBTOTAL(103,$B$24:B1686)</f>
        <v/>
      </c>
      <c r="B1686" s="36" t="inlineStr">
        <is>
          <t>Решітка для грилю</t>
        </is>
      </c>
      <c r="C1686" s="37" t="inlineStr">
        <is>
          <t>к-т</t>
        </is>
      </c>
      <c r="D1686" s="33" t="n"/>
      <c r="E1686" s="33" t="n"/>
      <c r="F1686" s="33">
        <f>E1686*0.05</f>
        <v/>
      </c>
      <c r="G1686" s="33">
        <f>E1686+F1686</f>
        <v/>
      </c>
      <c r="H1686" s="33" t="n"/>
      <c r="I1686" s="33" t="n"/>
      <c r="J1686" s="33" t="n"/>
      <c r="K1686" s="33">
        <f>L1686+M1686+N1686</f>
        <v/>
      </c>
      <c r="L1686" s="33" t="n"/>
      <c r="M1686" s="33" t="n"/>
      <c r="N1686" s="33" t="n"/>
      <c r="O1686" s="33">
        <f>P1686+Q1686</f>
        <v/>
      </c>
      <c r="P1686" s="33" t="n"/>
      <c r="Q1686" s="33" t="n"/>
      <c r="R1686" s="33">
        <f>H1686+K1686-O1686</f>
        <v/>
      </c>
      <c r="S1686" s="33" t="n"/>
      <c r="T1686" s="33" t="n"/>
      <c r="U1686" s="33" t="n"/>
      <c r="V1686" s="33" t="n"/>
      <c r="W1686" s="33" t="n"/>
      <c r="X1686" s="33" t="n"/>
      <c r="Y1686" s="33" t="n"/>
      <c r="Z1686" s="33" t="n"/>
      <c r="AA1686" s="4">
        <f>R1686-G1686</f>
        <v/>
      </c>
      <c r="AB1686" s="4">
        <f>G1686-R1686</f>
        <v/>
      </c>
      <c r="AC1686" s="33" t="n"/>
    </row>
    <row r="1687" ht="18.75" customHeight="1">
      <c r="A1687" s="35">
        <f>SUBTOTAL(103,$B$24:B1687)</f>
        <v/>
      </c>
      <c r="B1687" s="36" t="inlineStr">
        <is>
          <t>Гриль</t>
        </is>
      </c>
      <c r="C1687" s="37" t="inlineStr">
        <is>
          <t>к-т</t>
        </is>
      </c>
      <c r="D1687" s="33" t="n"/>
      <c r="E1687" s="33" t="n"/>
      <c r="F1687" s="33">
        <f>E1687*0.05</f>
        <v/>
      </c>
      <c r="G1687" s="33">
        <f>E1687+F1687</f>
        <v/>
      </c>
      <c r="H1687" s="33" t="n"/>
      <c r="I1687" s="33" t="n"/>
      <c r="J1687" s="33" t="n"/>
      <c r="K1687" s="33">
        <f>L1687+M1687+N1687</f>
        <v/>
      </c>
      <c r="L1687" s="33" t="n"/>
      <c r="M1687" s="33" t="n"/>
      <c r="N1687" s="33" t="n"/>
      <c r="O1687" s="33">
        <f>P1687+Q1687</f>
        <v/>
      </c>
      <c r="P1687" s="33" t="n"/>
      <c r="Q1687" s="33" t="n"/>
      <c r="R1687" s="33">
        <f>H1687+K1687-O1687</f>
        <v/>
      </c>
      <c r="S1687" s="33" t="n"/>
      <c r="T1687" s="33" t="n"/>
      <c r="U1687" s="33" t="n"/>
      <c r="V1687" s="33" t="n"/>
      <c r="W1687" s="33" t="n"/>
      <c r="X1687" s="33" t="n"/>
      <c r="Y1687" s="33" t="n"/>
      <c r="Z1687" s="33" t="n"/>
      <c r="AA1687" s="4">
        <f>R1687-G1687</f>
        <v/>
      </c>
      <c r="AB1687" s="4">
        <f>G1687-R1687</f>
        <v/>
      </c>
      <c r="AC1687" s="33" t="n"/>
    </row>
    <row r="1688" ht="18.75" customHeight="1">
      <c r="A1688" s="35">
        <f>SUBTOTAL(103,$B$24:B1688)</f>
        <v/>
      </c>
      <c r="B1688" s="36" t="inlineStr">
        <is>
          <t>Вапо гриль GV-0,8</t>
        </is>
      </c>
      <c r="C1688" s="37" t="inlineStr">
        <is>
          <t>к-т</t>
        </is>
      </c>
      <c r="D1688" s="33" t="n"/>
      <c r="E1688" s="33" t="n"/>
      <c r="F1688" s="33">
        <f>E1688*0.05</f>
        <v/>
      </c>
      <c r="G1688" s="33">
        <f>E1688+F1688</f>
        <v/>
      </c>
      <c r="H1688" s="33" t="n"/>
      <c r="I1688" s="33" t="n"/>
      <c r="J1688" s="33" t="n"/>
      <c r="K1688" s="33">
        <f>L1688+M1688+N1688</f>
        <v/>
      </c>
      <c r="L1688" s="33" t="n"/>
      <c r="M1688" s="33" t="n"/>
      <c r="N1688" s="33" t="n"/>
      <c r="O1688" s="33">
        <f>P1688+Q1688</f>
        <v/>
      </c>
      <c r="P1688" s="33" t="n"/>
      <c r="Q1688" s="33" t="n"/>
      <c r="R1688" s="33">
        <f>H1688+K1688-O1688</f>
        <v/>
      </c>
      <c r="S1688" s="33" t="n"/>
      <c r="T1688" s="33" t="n"/>
      <c r="U1688" s="33" t="n"/>
      <c r="V1688" s="33" t="n"/>
      <c r="W1688" s="33" t="n"/>
      <c r="X1688" s="33" t="n"/>
      <c r="Y1688" s="33" t="n"/>
      <c r="Z1688" s="33" t="n"/>
      <c r="AA1688" s="4">
        <f>R1688-G1688</f>
        <v/>
      </c>
      <c r="AB1688" s="4">
        <f>G1688-R1688</f>
        <v/>
      </c>
      <c r="AC1688" s="33" t="n"/>
    </row>
    <row r="1689" ht="18.75" customHeight="1">
      <c r="A1689" s="35">
        <f>SUBTOTAL(103,$B$24:B1689)</f>
        <v/>
      </c>
      <c r="B1689" s="36" t="inlineStr">
        <is>
          <t>Гриль "Тефаль" СВ-6010</t>
        </is>
      </c>
      <c r="C1689" s="37" t="inlineStr">
        <is>
          <t>к-т</t>
        </is>
      </c>
      <c r="D1689" s="33" t="n"/>
      <c r="E1689" s="33" t="n"/>
      <c r="F1689" s="33">
        <f>E1689*0.05</f>
        <v/>
      </c>
      <c r="G1689" s="33">
        <f>E1689+F1689</f>
        <v/>
      </c>
      <c r="H1689" s="33" t="n"/>
      <c r="I1689" s="33" t="n"/>
      <c r="J1689" s="33" t="n"/>
      <c r="K1689" s="33">
        <f>L1689+M1689+N1689</f>
        <v/>
      </c>
      <c r="L1689" s="33" t="n"/>
      <c r="M1689" s="33" t="n"/>
      <c r="N1689" s="33" t="n"/>
      <c r="O1689" s="33">
        <f>P1689+Q1689</f>
        <v/>
      </c>
      <c r="P1689" s="33" t="n"/>
      <c r="Q1689" s="33" t="n"/>
      <c r="R1689" s="33">
        <f>H1689+K1689-O1689</f>
        <v/>
      </c>
      <c r="S1689" s="33" t="n"/>
      <c r="T1689" s="33" t="n"/>
      <c r="U1689" s="33" t="n"/>
      <c r="V1689" s="33" t="n"/>
      <c r="W1689" s="33" t="n"/>
      <c r="X1689" s="33" t="n"/>
      <c r="Y1689" s="33" t="n"/>
      <c r="Z1689" s="33" t="n"/>
      <c r="AA1689" s="4">
        <f>R1689-G1689</f>
        <v/>
      </c>
      <c r="AB1689" s="4">
        <f>G1689-R1689</f>
        <v/>
      </c>
      <c r="AC1689" s="33" t="n"/>
    </row>
    <row r="1690" ht="18.75" customHeight="1">
      <c r="A1690" s="35">
        <f>SUBTOTAL(103,$B$24:B1690)</f>
        <v/>
      </c>
      <c r="B1690" s="36" t="inlineStr">
        <is>
          <t>Електрошашличніца</t>
        </is>
      </c>
      <c r="C1690" s="37" t="n"/>
      <c r="D1690" s="33" t="n"/>
      <c r="E1690" s="33" t="n"/>
      <c r="F1690" s="33">
        <f>E1690*0.05</f>
        <v/>
      </c>
      <c r="G1690" s="33">
        <f>E1690+F1690</f>
        <v/>
      </c>
      <c r="H1690" s="33" t="n"/>
      <c r="I1690" s="33" t="n"/>
      <c r="J1690" s="33" t="n"/>
      <c r="K1690" s="33">
        <f>L1690+M1690+N1690</f>
        <v/>
      </c>
      <c r="L1690" s="33" t="n"/>
      <c r="M1690" s="33" t="n"/>
      <c r="N1690" s="33" t="n"/>
      <c r="O1690" s="33">
        <f>P1690+Q1690</f>
        <v/>
      </c>
      <c r="P1690" s="33" t="n"/>
      <c r="Q1690" s="33" t="n"/>
      <c r="R1690" s="33">
        <f>H1690+K1690-O1690</f>
        <v/>
      </c>
      <c r="S1690" s="33" t="n"/>
      <c r="T1690" s="33" t="n"/>
      <c r="U1690" s="33" t="n"/>
      <c r="V1690" s="33" t="n"/>
      <c r="W1690" s="33" t="n"/>
      <c r="X1690" s="33" t="n"/>
      <c r="Y1690" s="33" t="n"/>
      <c r="Z1690" s="33" t="n"/>
      <c r="AA1690" s="4">
        <f>R1690-G1690</f>
        <v/>
      </c>
      <c r="AB1690" s="4">
        <f>G1690-R1690</f>
        <v/>
      </c>
      <c r="AC1690" s="33" t="n"/>
    </row>
    <row r="1691" ht="18.75" customHeight="1">
      <c r="A1691" s="35">
        <f>SUBTOTAL(103,$B$24:B1691)</f>
        <v/>
      </c>
      <c r="B1691" s="36" t="inlineStr">
        <is>
          <t>Електрична коптильня</t>
        </is>
      </c>
      <c r="C1691" s="37" t="inlineStr">
        <is>
          <t>шт.</t>
        </is>
      </c>
      <c r="D1691" s="33" t="n"/>
      <c r="E1691" s="33" t="n"/>
      <c r="F1691" s="33">
        <f>E1691*0.05</f>
        <v/>
      </c>
      <c r="G1691" s="33">
        <f>E1691+F1691</f>
        <v/>
      </c>
      <c r="H1691" s="33" t="n"/>
      <c r="I1691" s="33" t="n"/>
      <c r="J1691" s="33" t="n"/>
      <c r="K1691" s="33">
        <f>L1691+M1691+N1691</f>
        <v/>
      </c>
      <c r="L1691" s="33" t="n"/>
      <c r="M1691" s="33" t="n"/>
      <c r="N1691" s="33" t="n"/>
      <c r="O1691" s="33">
        <f>P1691+Q1691</f>
        <v/>
      </c>
      <c r="P1691" s="33" t="n"/>
      <c r="Q1691" s="33" t="n"/>
      <c r="R1691" s="33">
        <f>H1691+K1691-O1691</f>
        <v/>
      </c>
      <c r="S1691" s="33" t="n"/>
      <c r="T1691" s="33" t="n"/>
      <c r="U1691" s="33" t="n"/>
      <c r="V1691" s="33" t="n"/>
      <c r="W1691" s="33" t="n"/>
      <c r="X1691" s="33" t="n"/>
      <c r="Y1691" s="33" t="n"/>
      <c r="Z1691" s="33" t="n"/>
      <c r="AA1691" s="4">
        <f>R1691-G1691</f>
        <v/>
      </c>
      <c r="AB1691" s="4">
        <f>G1691-R1691</f>
        <v/>
      </c>
      <c r="AC1691" s="33" t="n"/>
    </row>
    <row r="1692" ht="18.75" customHeight="1">
      <c r="A1692" s="35">
        <f>SUBTOTAL(103,$B$24:B1692)</f>
        <v/>
      </c>
      <c r="B1692" s="36" t="inlineStr">
        <is>
          <t xml:space="preserve">Піч металева на твердому паливі </t>
        </is>
      </c>
      <c r="C1692" s="37" t="n"/>
      <c r="D1692" s="33" t="n"/>
      <c r="E1692" s="33" t="n"/>
      <c r="F1692" s="33">
        <f>E1692*0.05</f>
        <v/>
      </c>
      <c r="G1692" s="33">
        <f>E1692+F1692</f>
        <v/>
      </c>
      <c r="H1692" s="33" t="n"/>
      <c r="I1692" s="33" t="n"/>
      <c r="J1692" s="33" t="n"/>
      <c r="K1692" s="33">
        <f>L1692+M1692+N1692</f>
        <v/>
      </c>
      <c r="L1692" s="33" t="n"/>
      <c r="M1692" s="33" t="n"/>
      <c r="N1692" s="33" t="n"/>
      <c r="O1692" s="33">
        <f>P1692+Q1692</f>
        <v/>
      </c>
      <c r="P1692" s="33" t="n"/>
      <c r="Q1692" s="33" t="n"/>
      <c r="R1692" s="33">
        <f>H1692+K1692-O1692</f>
        <v/>
      </c>
      <c r="S1692" s="33" t="n"/>
      <c r="T1692" s="33" t="n"/>
      <c r="U1692" s="33" t="n"/>
      <c r="V1692" s="33" t="n"/>
      <c r="W1692" s="33" t="n"/>
      <c r="X1692" s="33" t="n"/>
      <c r="Y1692" s="33" t="n"/>
      <c r="Z1692" s="33" t="n"/>
      <c r="AA1692" s="4">
        <f>R1692-G1692</f>
        <v/>
      </c>
      <c r="AB1692" s="4">
        <f>G1692-R1692</f>
        <v/>
      </c>
      <c r="AC1692" s="33" t="n"/>
    </row>
    <row r="1693" ht="18.75" customHeight="1">
      <c r="A1693" s="35">
        <f>SUBTOTAL(103,$B$24:B1693)</f>
        <v/>
      </c>
      <c r="B1693" s="36" t="inlineStr">
        <is>
          <t xml:space="preserve">Плити на твердому паливі </t>
        </is>
      </c>
      <c r="C1693" s="37" t="n"/>
      <c r="D1693" s="33" t="n"/>
      <c r="E1693" s="33" t="n"/>
      <c r="F1693" s="33">
        <f>E1693*0.05</f>
        <v/>
      </c>
      <c r="G1693" s="33">
        <f>E1693+F1693</f>
        <v/>
      </c>
      <c r="H1693" s="33" t="n"/>
      <c r="I1693" s="33" t="n"/>
      <c r="J1693" s="33" t="n"/>
      <c r="K1693" s="33">
        <f>L1693+M1693+N1693</f>
        <v/>
      </c>
      <c r="L1693" s="33" t="n"/>
      <c r="M1693" s="33" t="n"/>
      <c r="N1693" s="33" t="n"/>
      <c r="O1693" s="33">
        <f>P1693+Q1693</f>
        <v/>
      </c>
      <c r="P1693" s="33" t="n"/>
      <c r="Q1693" s="33" t="n"/>
      <c r="R1693" s="33">
        <f>H1693+K1693-O1693</f>
        <v/>
      </c>
      <c r="S1693" s="33" t="n"/>
      <c r="T1693" s="33" t="n"/>
      <c r="U1693" s="33" t="n"/>
      <c r="V1693" s="33" t="n"/>
      <c r="W1693" s="33" t="n"/>
      <c r="X1693" s="33" t="n"/>
      <c r="Y1693" s="33" t="n"/>
      <c r="Z1693" s="33" t="n"/>
      <c r="AA1693" s="4">
        <f>R1693-G1693</f>
        <v/>
      </c>
      <c r="AB1693" s="4">
        <f>G1693-R1693</f>
        <v/>
      </c>
      <c r="AC1693" s="33" t="n"/>
    </row>
    <row r="1694" ht="18.75" customHeight="1">
      <c r="A1694" s="35">
        <f>SUBTOTAL(103,$B$24:B1694)</f>
        <v/>
      </c>
      <c r="B1694" s="36" t="inlineStr">
        <is>
          <t>Машина для обтягування тари</t>
        </is>
      </c>
      <c r="C1694" s="37" t="inlineStr">
        <is>
          <t>к-т</t>
        </is>
      </c>
      <c r="D1694" s="33" t="n"/>
      <c r="E1694" s="33" t="n"/>
      <c r="F1694" s="33">
        <f>E1694*0.05</f>
        <v/>
      </c>
      <c r="G1694" s="33">
        <f>E1694+F1694</f>
        <v/>
      </c>
      <c r="H1694" s="33" t="n"/>
      <c r="I1694" s="33" t="n"/>
      <c r="J1694" s="33" t="n"/>
      <c r="K1694" s="33">
        <f>L1694+M1694+N1694</f>
        <v/>
      </c>
      <c r="L1694" s="33" t="n"/>
      <c r="M1694" s="33" t="n"/>
      <c r="N1694" s="33" t="n"/>
      <c r="O1694" s="33">
        <f>P1694+Q1694</f>
        <v/>
      </c>
      <c r="P1694" s="33" t="n"/>
      <c r="Q1694" s="33" t="n"/>
      <c r="R1694" s="33">
        <f>H1694+K1694-O1694</f>
        <v/>
      </c>
      <c r="S1694" s="33" t="n"/>
      <c r="T1694" s="33" t="n"/>
      <c r="U1694" s="33" t="n"/>
      <c r="V1694" s="33" t="n"/>
      <c r="W1694" s="33" t="n"/>
      <c r="X1694" s="33" t="n"/>
      <c r="Y1694" s="33" t="n"/>
      <c r="Z1694" s="33" t="n"/>
      <c r="AA1694" s="4">
        <f>R1694-G1694</f>
        <v/>
      </c>
      <c r="AB1694" s="4">
        <f>G1694-R1694</f>
        <v/>
      </c>
      <c r="AC1694" s="33" t="n"/>
    </row>
    <row r="1695" ht="18.75" customHeight="1">
      <c r="A1695" s="35">
        <f>SUBTOTAL(103,$B$24:B1695)</f>
        <v/>
      </c>
      <c r="B1695" s="36" t="inlineStr">
        <is>
          <t>Насос ручний для перекачування олії</t>
        </is>
      </c>
      <c r="C1695" s="37" t="n"/>
      <c r="D1695" s="33" t="n"/>
      <c r="E1695" s="33" t="n"/>
      <c r="F1695" s="33">
        <f>E1695*0.05</f>
        <v/>
      </c>
      <c r="G1695" s="33">
        <f>E1695+F1695</f>
        <v/>
      </c>
      <c r="H1695" s="33" t="n"/>
      <c r="I1695" s="33" t="n"/>
      <c r="J1695" s="33" t="n"/>
      <c r="K1695" s="33">
        <f>L1695+M1695+N1695</f>
        <v/>
      </c>
      <c r="L1695" s="33" t="n"/>
      <c r="M1695" s="33" t="n"/>
      <c r="N1695" s="33" t="n"/>
      <c r="O1695" s="33">
        <f>P1695+Q1695</f>
        <v/>
      </c>
      <c r="P1695" s="33" t="n"/>
      <c r="Q1695" s="33" t="n"/>
      <c r="R1695" s="33">
        <f>H1695+K1695-O1695</f>
        <v/>
      </c>
      <c r="S1695" s="33" t="n"/>
      <c r="T1695" s="33" t="n"/>
      <c r="U1695" s="33" t="n"/>
      <c r="V1695" s="33" t="n"/>
      <c r="W1695" s="33" t="n"/>
      <c r="X1695" s="33" t="n"/>
      <c r="Y1695" s="33" t="n"/>
      <c r="Z1695" s="33" t="n"/>
      <c r="AA1695" s="4">
        <f>R1695-G1695</f>
        <v/>
      </c>
      <c r="AB1695" s="4">
        <f>G1695-R1695</f>
        <v/>
      </c>
      <c r="AC1695" s="33" t="n"/>
    </row>
    <row r="1696" ht="18.75" customHeight="1">
      <c r="A1696" s="35">
        <f>SUBTOTAL(103,$B$24:B1696)</f>
        <v/>
      </c>
      <c r="B1696" s="36" t="inlineStr">
        <is>
          <t>Термос з помпою 3500 мл., з н-сталь</t>
        </is>
      </c>
      <c r="C1696" s="37" t="n"/>
      <c r="D1696" s="33" t="n"/>
      <c r="E1696" s="33" t="n"/>
      <c r="F1696" s="33">
        <f>E1696*0.05</f>
        <v/>
      </c>
      <c r="G1696" s="33">
        <f>E1696+F1696</f>
        <v/>
      </c>
      <c r="H1696" s="33" t="n"/>
      <c r="I1696" s="33" t="n"/>
      <c r="J1696" s="33" t="n"/>
      <c r="K1696" s="33">
        <f>L1696+M1696+N1696</f>
        <v/>
      </c>
      <c r="L1696" s="33" t="n"/>
      <c r="M1696" s="33" t="n"/>
      <c r="N1696" s="33" t="n"/>
      <c r="O1696" s="33">
        <f>P1696+Q1696</f>
        <v/>
      </c>
      <c r="P1696" s="33" t="n"/>
      <c r="Q1696" s="33" t="n"/>
      <c r="R1696" s="33">
        <f>H1696+K1696-O1696</f>
        <v/>
      </c>
      <c r="S1696" s="33" t="n"/>
      <c r="T1696" s="33" t="n"/>
      <c r="U1696" s="33" t="n"/>
      <c r="V1696" s="33" t="n"/>
      <c r="W1696" s="33" t="n"/>
      <c r="X1696" s="33" t="n"/>
      <c r="Y1696" s="33" t="n"/>
      <c r="Z1696" s="33" t="n"/>
      <c r="AA1696" s="4">
        <f>R1696-G1696</f>
        <v/>
      </c>
      <c r="AB1696" s="4">
        <f>G1696-R1696</f>
        <v/>
      </c>
      <c r="AC1696" s="33" t="n"/>
    </row>
    <row r="1697" ht="75" customHeight="1">
      <c r="A1697" s="35">
        <f>SUBTOTAL(103,$B$24:B1697)</f>
        <v/>
      </c>
      <c r="B1697" s="36" t="inlineStr">
        <is>
          <t>Система охолодження повітря на базі агрегату Aspera UNJ2212GS та повітроохолоджувача Hispania HEJ PLUS-2D</t>
        </is>
      </c>
      <c r="C1697" s="37" t="n"/>
      <c r="D1697" s="33" t="n"/>
      <c r="E1697" s="33" t="n"/>
      <c r="F1697" s="33">
        <f>E1697*0.05</f>
        <v/>
      </c>
      <c r="G1697" s="33">
        <f>E1697+F1697</f>
        <v/>
      </c>
      <c r="H1697" s="33" t="n"/>
      <c r="I1697" s="33" t="n"/>
      <c r="J1697" s="33" t="n"/>
      <c r="K1697" s="33">
        <f>L1697+M1697+N1697</f>
        <v/>
      </c>
      <c r="L1697" s="33" t="n"/>
      <c r="M1697" s="33" t="n"/>
      <c r="N1697" s="33" t="n"/>
      <c r="O1697" s="33">
        <f>P1697+Q1697</f>
        <v/>
      </c>
      <c r="P1697" s="33" t="n"/>
      <c r="Q1697" s="33" t="n"/>
      <c r="R1697" s="33">
        <f>H1697+K1697-O1697</f>
        <v/>
      </c>
      <c r="S1697" s="33" t="n"/>
      <c r="T1697" s="33" t="n"/>
      <c r="U1697" s="33" t="n"/>
      <c r="V1697" s="33" t="n"/>
      <c r="W1697" s="33" t="n"/>
      <c r="X1697" s="33" t="n"/>
      <c r="Y1697" s="33" t="n"/>
      <c r="Z1697" s="33" t="n"/>
      <c r="AA1697" s="4">
        <f>R1697-G1697</f>
        <v/>
      </c>
      <c r="AB1697" s="4">
        <f>G1697-R1697</f>
        <v/>
      </c>
      <c r="AC1697" s="33" t="n"/>
    </row>
    <row r="1698" ht="75" customHeight="1">
      <c r="A1698" s="35">
        <f>SUBTOTAL(103,$B$24:B1698)</f>
        <v/>
      </c>
      <c r="B1698" s="36" t="inlineStr">
        <is>
          <t>Система охолодження повітря на базі агрегату Tecumseh TFH2511Z (FNH-7,9/PKC-433) та повітроохолоджувача Hispania HEJ PLUS-2D</t>
        </is>
      </c>
      <c r="C1698" s="37" t="n"/>
      <c r="D1698" s="33" t="n"/>
      <c r="E1698" s="33" t="n"/>
      <c r="F1698" s="33">
        <f>E1698*0.05</f>
        <v/>
      </c>
      <c r="G1698" s="33">
        <f>E1698+F1698</f>
        <v/>
      </c>
      <c r="H1698" s="33" t="n"/>
      <c r="I1698" s="33" t="n"/>
      <c r="J1698" s="33" t="n"/>
      <c r="K1698" s="33">
        <f>L1698+M1698+N1698</f>
        <v/>
      </c>
      <c r="L1698" s="33" t="n"/>
      <c r="M1698" s="33" t="n"/>
      <c r="N1698" s="33" t="n"/>
      <c r="O1698" s="33">
        <f>P1698+Q1698</f>
        <v/>
      </c>
      <c r="P1698" s="33" t="n"/>
      <c r="Q1698" s="33" t="n"/>
      <c r="R1698" s="33">
        <f>H1698+K1698-O1698</f>
        <v/>
      </c>
      <c r="S1698" s="33" t="n"/>
      <c r="T1698" s="33" t="n"/>
      <c r="U1698" s="33" t="n"/>
      <c r="V1698" s="33" t="n"/>
      <c r="W1698" s="33" t="n"/>
      <c r="X1698" s="33" t="n"/>
      <c r="Y1698" s="33" t="n"/>
      <c r="Z1698" s="33" t="n"/>
      <c r="AA1698" s="4">
        <f>R1698-G1698</f>
        <v/>
      </c>
      <c r="AB1698" s="4">
        <f>G1698-R1698</f>
        <v/>
      </c>
      <c r="AC1698" s="33" t="n"/>
    </row>
    <row r="1699" ht="18.75" customHeight="1">
      <c r="A1699" s="35">
        <f>SUBTOTAL(103,$B$24:B1699)</f>
        <v/>
      </c>
      <c r="B1699" s="36" t="inlineStr">
        <is>
          <t>Ніж до овочерізки D10 HKN-FNT_M</t>
        </is>
      </c>
      <c r="C1699" s="37" t="n"/>
      <c r="D1699" s="33" t="n"/>
      <c r="E1699" s="33" t="n"/>
      <c r="F1699" s="33">
        <f>E1699*0.05</f>
        <v/>
      </c>
      <c r="G1699" s="33">
        <f>E1699+F1699</f>
        <v/>
      </c>
      <c r="H1699" s="33" t="n"/>
      <c r="I1699" s="33" t="n"/>
      <c r="J1699" s="33" t="n"/>
      <c r="K1699" s="33">
        <f>L1699+M1699+N1699</f>
        <v/>
      </c>
      <c r="L1699" s="33" t="n"/>
      <c r="M1699" s="33" t="n"/>
      <c r="N1699" s="33" t="n"/>
      <c r="O1699" s="33">
        <f>P1699+Q1699</f>
        <v/>
      </c>
      <c r="P1699" s="33" t="n"/>
      <c r="Q1699" s="33" t="n"/>
      <c r="R1699" s="33">
        <f>H1699+K1699-O1699</f>
        <v/>
      </c>
      <c r="S1699" s="33" t="n"/>
      <c r="T1699" s="33" t="n"/>
      <c r="U1699" s="33" t="n"/>
      <c r="V1699" s="33" t="n"/>
      <c r="W1699" s="33" t="n"/>
      <c r="X1699" s="33" t="n"/>
      <c r="Y1699" s="33" t="n"/>
      <c r="Z1699" s="33" t="n"/>
      <c r="AA1699" s="4">
        <f>R1699-G1699</f>
        <v/>
      </c>
      <c r="AB1699" s="4">
        <f>G1699-R1699</f>
        <v/>
      </c>
      <c r="AC1699" s="33" t="n"/>
    </row>
    <row r="1700" ht="18.75" customHeight="1">
      <c r="A1700" s="35">
        <f>SUBTOTAL(103,$B$24:B1700)</f>
        <v/>
      </c>
      <c r="B1700" s="36" t="inlineStr">
        <is>
          <t>Ніж до овочерізки H10 HKN-FNT_M</t>
        </is>
      </c>
      <c r="C1700" s="37" t="n"/>
      <c r="D1700" s="33" t="n"/>
      <c r="E1700" s="33" t="n"/>
      <c r="F1700" s="33">
        <f>E1700*0.05</f>
        <v/>
      </c>
      <c r="G1700" s="33">
        <f>E1700+F1700</f>
        <v/>
      </c>
      <c r="H1700" s="33" t="n"/>
      <c r="I1700" s="33" t="n"/>
      <c r="J1700" s="33" t="n"/>
      <c r="K1700" s="33">
        <f>L1700+M1700+N1700</f>
        <v/>
      </c>
      <c r="L1700" s="33" t="n"/>
      <c r="M1700" s="33" t="n"/>
      <c r="N1700" s="33" t="n"/>
      <c r="O1700" s="33">
        <f>P1700+Q1700</f>
        <v/>
      </c>
      <c r="P1700" s="33" t="n"/>
      <c r="Q1700" s="33" t="n"/>
      <c r="R1700" s="33">
        <f>H1700+K1700-O1700</f>
        <v/>
      </c>
      <c r="S1700" s="33" t="n"/>
      <c r="T1700" s="33" t="n"/>
      <c r="U1700" s="33" t="n"/>
      <c r="V1700" s="33" t="n"/>
      <c r="W1700" s="33" t="n"/>
      <c r="X1700" s="33" t="n"/>
      <c r="Y1700" s="33" t="n"/>
      <c r="Z1700" s="33" t="n"/>
      <c r="AA1700" s="4">
        <f>R1700-G1700</f>
        <v/>
      </c>
      <c r="AB1700" s="4">
        <f>G1700-R1700</f>
        <v/>
      </c>
      <c r="AC1700" s="33" t="n"/>
    </row>
    <row r="1701" ht="18.75" customHeight="1">
      <c r="A1701" s="35">
        <f>SUBTOTAL(103,$B$24:B1701)</f>
        <v/>
      </c>
      <c r="B1701" s="36" t="inlineStr">
        <is>
          <t>Елемент нейтральний ЕН1400</t>
        </is>
      </c>
      <c r="C1701" s="37" t="n"/>
      <c r="D1701" s="33" t="n"/>
      <c r="E1701" s="33" t="n"/>
      <c r="F1701" s="33">
        <f>E1701*0.05</f>
        <v/>
      </c>
      <c r="G1701" s="33">
        <f>E1701+F1701</f>
        <v/>
      </c>
      <c r="H1701" s="33" t="n"/>
      <c r="I1701" s="33" t="n"/>
      <c r="J1701" s="33" t="n"/>
      <c r="K1701" s="33">
        <f>L1701+M1701+N1701</f>
        <v/>
      </c>
      <c r="L1701" s="33" t="n"/>
      <c r="M1701" s="33" t="n"/>
      <c r="N1701" s="33" t="n"/>
      <c r="O1701" s="33">
        <f>P1701+Q1701</f>
        <v/>
      </c>
      <c r="P1701" s="33" t="n"/>
      <c r="Q1701" s="33" t="n"/>
      <c r="R1701" s="33">
        <f>H1701+K1701-O1701</f>
        <v/>
      </c>
      <c r="S1701" s="33" t="n"/>
      <c r="T1701" s="33" t="n"/>
      <c r="U1701" s="33" t="n"/>
      <c r="V1701" s="33" t="n"/>
      <c r="W1701" s="33" t="n"/>
      <c r="X1701" s="33" t="n"/>
      <c r="Y1701" s="33" t="n"/>
      <c r="Z1701" s="33" t="n"/>
      <c r="AA1701" s="4">
        <f>R1701-G1701</f>
        <v/>
      </c>
      <c r="AB1701" s="4">
        <f>G1701-R1701</f>
        <v/>
      </c>
      <c r="AC1701" s="33" t="n"/>
    </row>
    <row r="1702" ht="18.75" customHeight="1">
      <c r="A1702" s="35">
        <f>SUBTOTAL(103,$B$24:B1702)</f>
        <v/>
      </c>
      <c r="B1702" s="44" t="inlineStr">
        <is>
          <t xml:space="preserve">ВАГОВИМІРЮВАЛЬНІ ПРИЛАДИ </t>
        </is>
      </c>
      <c r="C1702" s="37" t="n"/>
      <c r="D1702" s="33" t="n"/>
      <c r="E1702" s="33" t="n"/>
      <c r="F1702" s="33">
        <f>E1702*0.05</f>
        <v/>
      </c>
      <c r="G1702" s="33">
        <f>E1702+F1702</f>
        <v/>
      </c>
      <c r="H1702" s="33" t="n"/>
      <c r="I1702" s="33" t="n"/>
      <c r="J1702" s="33" t="n"/>
      <c r="K1702" s="33">
        <f>L1702+M1702+N1702</f>
        <v/>
      </c>
      <c r="L1702" s="33" t="n"/>
      <c r="M1702" s="33" t="n"/>
      <c r="N1702" s="33" t="n"/>
      <c r="O1702" s="33">
        <f>P1702+Q1702</f>
        <v/>
      </c>
      <c r="P1702" s="33" t="n"/>
      <c r="Q1702" s="33" t="n"/>
      <c r="R1702" s="33">
        <f>H1702+K1702-O1702</f>
        <v/>
      </c>
      <c r="S1702" s="33" t="n"/>
      <c r="T1702" s="33" t="n"/>
      <c r="U1702" s="33" t="n"/>
      <c r="V1702" s="33" t="n"/>
      <c r="W1702" s="33" t="n"/>
      <c r="X1702" s="33" t="n"/>
      <c r="Y1702" s="33" t="n"/>
      <c r="Z1702" s="33" t="n"/>
      <c r="AA1702" s="4">
        <f>R1702-G1702</f>
        <v/>
      </c>
      <c r="AB1702" s="4">
        <f>G1702-R1702</f>
        <v/>
      </c>
      <c r="AC1702" s="33" t="n"/>
    </row>
    <row r="1703" ht="18.75" customHeight="1">
      <c r="A1703" s="35">
        <f>SUBTOTAL(103,$B$24:B1703)</f>
        <v/>
      </c>
      <c r="B1703" s="39" t="inlineStr">
        <is>
          <t>ВАГИ ЕЛЕКТРОННІ</t>
        </is>
      </c>
      <c r="C1703" s="37" t="n"/>
      <c r="D1703" s="33" t="n"/>
      <c r="E1703" s="33" t="n"/>
      <c r="F1703" s="33">
        <f>E1703*0.05</f>
        <v/>
      </c>
      <c r="G1703" s="33">
        <f>E1703+F1703</f>
        <v/>
      </c>
      <c r="H1703" s="33" t="n"/>
      <c r="I1703" s="33" t="n"/>
      <c r="J1703" s="33" t="n"/>
      <c r="K1703" s="33">
        <f>L1703+M1703+N1703</f>
        <v/>
      </c>
      <c r="L1703" s="33" t="n"/>
      <c r="M1703" s="33" t="n"/>
      <c r="N1703" s="33" t="n"/>
      <c r="O1703" s="33">
        <f>P1703+Q1703</f>
        <v/>
      </c>
      <c r="P1703" s="33" t="n"/>
      <c r="Q1703" s="33" t="n"/>
      <c r="R1703" s="33">
        <f>H1703+K1703-O1703</f>
        <v/>
      </c>
      <c r="S1703" s="33" t="n"/>
      <c r="T1703" s="33" t="n"/>
      <c r="U1703" s="33" t="n"/>
      <c r="V1703" s="33" t="n"/>
      <c r="W1703" s="33" t="n"/>
      <c r="X1703" s="33" t="n"/>
      <c r="Y1703" s="33" t="n"/>
      <c r="Z1703" s="33" t="n"/>
      <c r="AA1703" s="4">
        <f>R1703-G1703</f>
        <v/>
      </c>
      <c r="AB1703" s="4">
        <f>G1703-R1703</f>
        <v/>
      </c>
      <c r="AC1703" s="33" t="n"/>
    </row>
    <row r="1704" ht="18.75" customHeight="1">
      <c r="A1704" s="35">
        <f>SUBTOTAL(103,$B$24:B1704)</f>
        <v/>
      </c>
      <c r="B1704" s="36" t="inlineStr">
        <is>
          <t>Електронні ваги ВІТЕК TCS-R2-600</t>
        </is>
      </c>
      <c r="C1704" s="37" t="n"/>
      <c r="D1704" s="33" t="n"/>
      <c r="E1704" s="33" t="n"/>
      <c r="F1704" s="33">
        <f>E1704*0.05</f>
        <v/>
      </c>
      <c r="G1704" s="33">
        <f>E1704+F1704</f>
        <v/>
      </c>
      <c r="H1704" s="33" t="n"/>
      <c r="I1704" s="33" t="n"/>
      <c r="J1704" s="33" t="n"/>
      <c r="K1704" s="33">
        <f>L1704+M1704+N1704</f>
        <v/>
      </c>
      <c r="L1704" s="33" t="n"/>
      <c r="M1704" s="33" t="n"/>
      <c r="N1704" s="33" t="n"/>
      <c r="O1704" s="33">
        <f>P1704+Q1704</f>
        <v/>
      </c>
      <c r="P1704" s="33" t="n"/>
      <c r="Q1704" s="33" t="n"/>
      <c r="R1704" s="33">
        <f>H1704+K1704-O1704</f>
        <v/>
      </c>
      <c r="S1704" s="33" t="n"/>
      <c r="T1704" s="33" t="n"/>
      <c r="U1704" s="33" t="n"/>
      <c r="V1704" s="33" t="n"/>
      <c r="W1704" s="33" t="n"/>
      <c r="X1704" s="33" t="n"/>
      <c r="Y1704" s="33" t="n"/>
      <c r="Z1704" s="33" t="n"/>
      <c r="AA1704" s="4">
        <f>R1704-G1704</f>
        <v/>
      </c>
      <c r="AB1704" s="4">
        <f>G1704-R1704</f>
        <v/>
      </c>
      <c r="AC1704" s="33" t="n"/>
    </row>
    <row r="1705" ht="18.75" customHeight="1">
      <c r="A1705" s="35">
        <f>SUBTOTAL(103,$B$24:B1705)</f>
        <v/>
      </c>
      <c r="B1705" s="36" t="inlineStr">
        <is>
          <t>Ваги електронні Camry BT-40</t>
        </is>
      </c>
      <c r="C1705" s="37" t="inlineStr">
        <is>
          <t>к-т</t>
        </is>
      </c>
      <c r="D1705" s="33" t="n"/>
      <c r="E1705" s="33" t="n"/>
      <c r="F1705" s="33">
        <f>E1705*0.05</f>
        <v/>
      </c>
      <c r="G1705" s="33">
        <f>E1705+F1705</f>
        <v/>
      </c>
      <c r="H1705" s="33" t="n"/>
      <c r="I1705" s="33" t="n"/>
      <c r="J1705" s="33" t="n"/>
      <c r="K1705" s="33">
        <f>L1705+M1705+N1705</f>
        <v/>
      </c>
      <c r="L1705" s="33" t="n"/>
      <c r="M1705" s="33" t="n"/>
      <c r="N1705" s="33" t="n"/>
      <c r="O1705" s="33">
        <f>P1705+Q1705</f>
        <v/>
      </c>
      <c r="P1705" s="33" t="n"/>
      <c r="Q1705" s="33" t="n"/>
      <c r="R1705" s="33">
        <f>H1705+K1705-O1705</f>
        <v/>
      </c>
      <c r="S1705" s="33" t="n"/>
      <c r="T1705" s="33" t="n"/>
      <c r="U1705" s="33" t="n"/>
      <c r="V1705" s="33" t="n"/>
      <c r="W1705" s="33" t="n"/>
      <c r="X1705" s="33" t="n"/>
      <c r="Y1705" s="33" t="n"/>
      <c r="Z1705" s="33" t="n"/>
      <c r="AA1705" s="4">
        <f>R1705-G1705</f>
        <v/>
      </c>
      <c r="AB1705" s="4">
        <f>G1705-R1705</f>
        <v/>
      </c>
      <c r="AC1705" s="33" t="n"/>
    </row>
    <row r="1706" ht="18.75" customHeight="1">
      <c r="A1706" s="35">
        <f>SUBTOTAL(103,$B$24:B1706)</f>
        <v/>
      </c>
      <c r="B1706" s="36" t="inlineStr">
        <is>
          <t>Ваги електронні 50 кг. CROWNBERG</t>
        </is>
      </c>
      <c r="C1706" s="37" t="inlineStr">
        <is>
          <t>к-т</t>
        </is>
      </c>
      <c r="D1706" s="33" t="n"/>
      <c r="E1706" s="33" t="n"/>
      <c r="F1706" s="33">
        <f>E1706*0.05</f>
        <v/>
      </c>
      <c r="G1706" s="33">
        <f>E1706+F1706</f>
        <v/>
      </c>
      <c r="H1706" s="33" t="n"/>
      <c r="I1706" s="33" t="n"/>
      <c r="J1706" s="33" t="n"/>
      <c r="K1706" s="33">
        <f>L1706+M1706+N1706</f>
        <v/>
      </c>
      <c r="L1706" s="33" t="n"/>
      <c r="M1706" s="33" t="n"/>
      <c r="N1706" s="33" t="n"/>
      <c r="O1706" s="33">
        <f>P1706+Q1706</f>
        <v/>
      </c>
      <c r="P1706" s="33" t="n"/>
      <c r="Q1706" s="33" t="n"/>
      <c r="R1706" s="33">
        <f>H1706+K1706-O1706</f>
        <v/>
      </c>
      <c r="S1706" s="33" t="n"/>
      <c r="T1706" s="33" t="n"/>
      <c r="U1706" s="33" t="n"/>
      <c r="V1706" s="33" t="n"/>
      <c r="W1706" s="33" t="n"/>
      <c r="X1706" s="33" t="n"/>
      <c r="Y1706" s="33" t="n"/>
      <c r="Z1706" s="33" t="n"/>
      <c r="AA1706" s="4">
        <f>R1706-G1706</f>
        <v/>
      </c>
      <c r="AB1706" s="4">
        <f>G1706-R1706</f>
        <v/>
      </c>
      <c r="AC1706" s="33" t="n"/>
    </row>
    <row r="1707" ht="18.75" customHeight="1">
      <c r="A1707" s="35">
        <f>SUBTOTAL(103,$B$24:B1707)</f>
        <v/>
      </c>
      <c r="B1707" s="36" t="inlineStr">
        <is>
          <t>Ваги електронні ВР-02МСУ-2/5-1Б</t>
        </is>
      </c>
      <c r="C1707" s="37" t="inlineStr">
        <is>
          <t>к-т</t>
        </is>
      </c>
      <c r="D1707" s="33" t="n"/>
      <c r="E1707" s="33" t="n"/>
      <c r="F1707" s="33">
        <f>E1707*0.05</f>
        <v/>
      </c>
      <c r="G1707" s="33">
        <f>E1707+F1707</f>
        <v/>
      </c>
      <c r="H1707" s="33" t="n"/>
      <c r="I1707" s="33" t="n"/>
      <c r="J1707" s="33" t="n"/>
      <c r="K1707" s="33">
        <f>L1707+M1707+N1707</f>
        <v/>
      </c>
      <c r="L1707" s="33" t="n"/>
      <c r="M1707" s="33" t="n"/>
      <c r="N1707" s="33" t="n"/>
      <c r="O1707" s="33">
        <f>P1707+Q1707</f>
        <v/>
      </c>
      <c r="P1707" s="33" t="n"/>
      <c r="Q1707" s="33" t="n"/>
      <c r="R1707" s="33">
        <f>H1707+K1707-O1707</f>
        <v/>
      </c>
      <c r="S1707" s="33" t="n"/>
      <c r="T1707" s="33" t="n"/>
      <c r="U1707" s="33" t="n"/>
      <c r="V1707" s="33" t="n"/>
      <c r="W1707" s="33" t="n"/>
      <c r="X1707" s="33" t="n"/>
      <c r="Y1707" s="33" t="n"/>
      <c r="Z1707" s="33" t="n"/>
      <c r="AA1707" s="4">
        <f>R1707-G1707</f>
        <v/>
      </c>
      <c r="AB1707" s="4">
        <f>G1707-R1707</f>
        <v/>
      </c>
      <c r="AC1707" s="33" t="n"/>
    </row>
    <row r="1708" ht="37.5" customHeight="1">
      <c r="A1708" s="35">
        <f>SUBTOTAL(103,$B$24:B1708)</f>
        <v/>
      </c>
      <c r="B1708" s="36" t="inlineStr">
        <is>
          <t>Ваги електронні "Маса-К" ТВ-М300.2-А3</t>
        </is>
      </c>
      <c r="C1708" s="37" t="inlineStr">
        <is>
          <t>к-т</t>
        </is>
      </c>
      <c r="D1708" s="33" t="n"/>
      <c r="E1708" s="33" t="n"/>
      <c r="F1708" s="33">
        <f>E1708*0.05</f>
        <v/>
      </c>
      <c r="G1708" s="33">
        <f>E1708+F1708</f>
        <v/>
      </c>
      <c r="H1708" s="33" t="n"/>
      <c r="I1708" s="33" t="n"/>
      <c r="J1708" s="33" t="n"/>
      <c r="K1708" s="33">
        <f>L1708+M1708+N1708</f>
        <v/>
      </c>
      <c r="L1708" s="33" t="n"/>
      <c r="M1708" s="33" t="n"/>
      <c r="N1708" s="33" t="n"/>
      <c r="O1708" s="33">
        <f>P1708+Q1708</f>
        <v/>
      </c>
      <c r="P1708" s="33" t="n"/>
      <c r="Q1708" s="33" t="n"/>
      <c r="R1708" s="33">
        <f>H1708+K1708-O1708</f>
        <v/>
      </c>
      <c r="S1708" s="33" t="n"/>
      <c r="T1708" s="33" t="n"/>
      <c r="U1708" s="33" t="n"/>
      <c r="V1708" s="33" t="n"/>
      <c r="W1708" s="33" t="n"/>
      <c r="X1708" s="33" t="n"/>
      <c r="Y1708" s="33" t="n"/>
      <c r="Z1708" s="33" t="n"/>
      <c r="AA1708" s="4">
        <f>R1708-G1708</f>
        <v/>
      </c>
      <c r="AB1708" s="4">
        <f>G1708-R1708</f>
        <v/>
      </c>
      <c r="AC1708" s="33" t="n"/>
    </row>
    <row r="1709" ht="18.75" customHeight="1">
      <c r="A1709" s="35">
        <f>SUBTOTAL(103,$B$24:B1709)</f>
        <v/>
      </c>
      <c r="B1709" s="36" t="inlineStr">
        <is>
          <t>Ваги електронні ВР-02МСУ-2/5-2Р2Б</t>
        </is>
      </c>
      <c r="C1709" s="37" t="inlineStr">
        <is>
          <t>к-т</t>
        </is>
      </c>
      <c r="D1709" s="33" t="n"/>
      <c r="E1709" s="33" t="n"/>
      <c r="F1709" s="33">
        <f>E1709*0.05</f>
        <v/>
      </c>
      <c r="G1709" s="33">
        <f>E1709+F1709</f>
        <v/>
      </c>
      <c r="H1709" s="33" t="n"/>
      <c r="I1709" s="33" t="n"/>
      <c r="J1709" s="33" t="n"/>
      <c r="K1709" s="33">
        <f>L1709+M1709+N1709</f>
        <v/>
      </c>
      <c r="L1709" s="33" t="n"/>
      <c r="M1709" s="33" t="n"/>
      <c r="N1709" s="33" t="n"/>
      <c r="O1709" s="33">
        <f>P1709+Q1709</f>
        <v/>
      </c>
      <c r="P1709" s="33" t="n"/>
      <c r="Q1709" s="33" t="n"/>
      <c r="R1709" s="33">
        <f>H1709+K1709-O1709</f>
        <v/>
      </c>
      <c r="S1709" s="33" t="n"/>
      <c r="T1709" s="33" t="n"/>
      <c r="U1709" s="33" t="n"/>
      <c r="V1709" s="33" t="n"/>
      <c r="W1709" s="33" t="n"/>
      <c r="X1709" s="33" t="n"/>
      <c r="Y1709" s="33" t="n"/>
      <c r="Z1709" s="33" t="n"/>
      <c r="AA1709" s="4">
        <f>R1709-G1709</f>
        <v/>
      </c>
      <c r="AB1709" s="4">
        <f>G1709-R1709</f>
        <v/>
      </c>
      <c r="AC1709" s="33" t="n"/>
    </row>
    <row r="1710" ht="18.75" customHeight="1">
      <c r="A1710" s="35">
        <f>SUBTOTAL(103,$B$24:B1710)</f>
        <v/>
      </c>
      <c r="B1710" s="36" t="inlineStr">
        <is>
          <t>Ваги електричні 80-100 кг</t>
        </is>
      </c>
      <c r="C1710" s="37" t="inlineStr">
        <is>
          <t>кг</t>
        </is>
      </c>
      <c r="D1710" s="33" t="n"/>
      <c r="E1710" s="33" t="n"/>
      <c r="F1710" s="33">
        <f>E1710*0.05</f>
        <v/>
      </c>
      <c r="G1710" s="33">
        <f>E1710+F1710</f>
        <v/>
      </c>
      <c r="H1710" s="33" t="n"/>
      <c r="I1710" s="33" t="n"/>
      <c r="J1710" s="33" t="n"/>
      <c r="K1710" s="33">
        <f>L1710+M1710+N1710</f>
        <v/>
      </c>
      <c r="L1710" s="33" t="n"/>
      <c r="M1710" s="33" t="n"/>
      <c r="N1710" s="33" t="n"/>
      <c r="O1710" s="33">
        <f>P1710+Q1710</f>
        <v/>
      </c>
      <c r="P1710" s="33" t="n"/>
      <c r="Q1710" s="33" t="n"/>
      <c r="R1710" s="33">
        <f>H1710+K1710-O1710</f>
        <v/>
      </c>
      <c r="S1710" s="33" t="n"/>
      <c r="T1710" s="33" t="n"/>
      <c r="U1710" s="33" t="n"/>
      <c r="V1710" s="33" t="n"/>
      <c r="W1710" s="33" t="n"/>
      <c r="X1710" s="33" t="n"/>
      <c r="Y1710" s="33" t="n"/>
      <c r="Z1710" s="33" t="n"/>
      <c r="AA1710" s="4">
        <f>R1710-G1710</f>
        <v/>
      </c>
      <c r="AB1710" s="4">
        <f>G1710-R1710</f>
        <v/>
      </c>
      <c r="AC1710" s="33" t="n"/>
    </row>
    <row r="1711" ht="18.75" customHeight="1">
      <c r="A1711" s="35">
        <f>SUBTOTAL(103,$B$24:B1711)</f>
        <v/>
      </c>
      <c r="B1711" s="36" t="inlineStr">
        <is>
          <t>Ваги електричні 101-200 кг</t>
        </is>
      </c>
      <c r="C1711" s="37" t="inlineStr">
        <is>
          <t>к-т</t>
        </is>
      </c>
      <c r="D1711" s="33" t="n"/>
      <c r="E1711" s="33" t="n"/>
      <c r="F1711" s="33">
        <f>E1711*0.05</f>
        <v/>
      </c>
      <c r="G1711" s="33">
        <f>E1711+F1711</f>
        <v/>
      </c>
      <c r="H1711" s="33" t="n"/>
      <c r="I1711" s="33" t="n"/>
      <c r="J1711" s="33" t="n"/>
      <c r="K1711" s="33">
        <f>L1711+M1711+N1711</f>
        <v/>
      </c>
      <c r="L1711" s="33" t="n"/>
      <c r="M1711" s="33" t="n"/>
      <c r="N1711" s="33" t="n"/>
      <c r="O1711" s="33">
        <f>P1711+Q1711</f>
        <v/>
      </c>
      <c r="P1711" s="33" t="n"/>
      <c r="Q1711" s="33" t="n"/>
      <c r="R1711" s="33">
        <f>H1711+K1711-O1711</f>
        <v/>
      </c>
      <c r="S1711" s="33" t="n"/>
      <c r="T1711" s="33" t="n"/>
      <c r="U1711" s="33" t="n"/>
      <c r="V1711" s="33" t="n"/>
      <c r="W1711" s="33" t="n"/>
      <c r="X1711" s="33" t="n"/>
      <c r="Y1711" s="33" t="n"/>
      <c r="Z1711" s="33" t="n"/>
      <c r="AA1711" s="4">
        <f>R1711-G1711</f>
        <v/>
      </c>
      <c r="AB1711" s="4">
        <f>G1711-R1711</f>
        <v/>
      </c>
      <c r="AC1711" s="33" t="n"/>
    </row>
    <row r="1712" ht="18.75" customHeight="1">
      <c r="A1712" s="35">
        <f>SUBTOTAL(103,$B$24:B1712)</f>
        <v/>
      </c>
      <c r="B1712" s="36" t="inlineStr">
        <is>
          <t>Ваги електричні 201-300 кг</t>
        </is>
      </c>
      <c r="C1712" s="37" t="inlineStr">
        <is>
          <t>к-т</t>
        </is>
      </c>
      <c r="D1712" s="33" t="n"/>
      <c r="E1712" s="33" t="n"/>
      <c r="F1712" s="33">
        <f>E1712*0.05</f>
        <v/>
      </c>
      <c r="G1712" s="33">
        <f>E1712+F1712</f>
        <v/>
      </c>
      <c r="H1712" s="33" t="n"/>
      <c r="I1712" s="33" t="n"/>
      <c r="J1712" s="33" t="n"/>
      <c r="K1712" s="33">
        <f>L1712+M1712+N1712</f>
        <v/>
      </c>
      <c r="L1712" s="33" t="n"/>
      <c r="M1712" s="33" t="n"/>
      <c r="N1712" s="33" t="n"/>
      <c r="O1712" s="33">
        <f>P1712+Q1712</f>
        <v/>
      </c>
      <c r="P1712" s="33" t="n"/>
      <c r="Q1712" s="33" t="n"/>
      <c r="R1712" s="33">
        <f>H1712+K1712-O1712</f>
        <v/>
      </c>
      <c r="S1712" s="33" t="n"/>
      <c r="T1712" s="33" t="n"/>
      <c r="U1712" s="33" t="n"/>
      <c r="V1712" s="33" t="n"/>
      <c r="W1712" s="33" t="n"/>
      <c r="X1712" s="33" t="n"/>
      <c r="Y1712" s="33" t="n"/>
      <c r="Z1712" s="33" t="n"/>
      <c r="AA1712" s="4">
        <f>R1712-G1712</f>
        <v/>
      </c>
      <c r="AB1712" s="4">
        <f>G1712-R1712</f>
        <v/>
      </c>
      <c r="AC1712" s="33" t="n"/>
    </row>
    <row r="1713" ht="18.75" customHeight="1">
      <c r="A1713" s="35">
        <f>SUBTOTAL(103,$B$24:B1713)</f>
        <v/>
      </c>
      <c r="B1713" s="36" t="inlineStr">
        <is>
          <t>Ваги настільні циферблаині інші</t>
        </is>
      </c>
      <c r="C1713" s="37" t="inlineStr">
        <is>
          <t>к-т</t>
        </is>
      </c>
      <c r="D1713" s="33" t="n"/>
      <c r="E1713" s="33" t="n"/>
      <c r="F1713" s="33">
        <f>E1713*0.05</f>
        <v/>
      </c>
      <c r="G1713" s="33">
        <f>E1713+F1713</f>
        <v/>
      </c>
      <c r="H1713" s="33" t="n"/>
      <c r="I1713" s="33" t="n"/>
      <c r="J1713" s="33" t="n"/>
      <c r="K1713" s="33">
        <f>L1713+M1713+N1713</f>
        <v/>
      </c>
      <c r="L1713" s="33" t="n"/>
      <c r="M1713" s="33" t="n"/>
      <c r="N1713" s="33" t="n"/>
      <c r="O1713" s="33">
        <f>P1713+Q1713</f>
        <v/>
      </c>
      <c r="P1713" s="33" t="n"/>
      <c r="Q1713" s="33" t="n"/>
      <c r="R1713" s="33">
        <f>H1713+K1713-O1713</f>
        <v/>
      </c>
      <c r="S1713" s="33" t="n"/>
      <c r="T1713" s="33" t="n"/>
      <c r="U1713" s="33" t="n"/>
      <c r="V1713" s="33" t="n"/>
      <c r="W1713" s="33" t="n"/>
      <c r="X1713" s="33" t="n"/>
      <c r="Y1713" s="33" t="n"/>
      <c r="Z1713" s="33" t="n"/>
      <c r="AA1713" s="4">
        <f>R1713-G1713</f>
        <v/>
      </c>
      <c r="AB1713" s="4">
        <f>G1713-R1713</f>
        <v/>
      </c>
      <c r="AC1713" s="33" t="n"/>
    </row>
    <row r="1714" ht="18.75" customHeight="1">
      <c r="A1714" s="35">
        <f>SUBTOTAL(103,$B$24:B1714)</f>
        <v/>
      </c>
      <c r="B1714" s="39" t="inlineStr">
        <is>
          <t>ВАГИ НАСТІЛЬНІ</t>
        </is>
      </c>
      <c r="C1714" s="37" t="inlineStr">
        <is>
          <t>к-т</t>
        </is>
      </c>
      <c r="D1714" s="33" t="n"/>
      <c r="E1714" s="33" t="n"/>
      <c r="F1714" s="33">
        <f>E1714*0.05</f>
        <v/>
      </c>
      <c r="G1714" s="33">
        <f>E1714+F1714</f>
        <v/>
      </c>
      <c r="H1714" s="33" t="n"/>
      <c r="I1714" s="33" t="n"/>
      <c r="J1714" s="33" t="n"/>
      <c r="K1714" s="33">
        <f>L1714+M1714+N1714</f>
        <v/>
      </c>
      <c r="L1714" s="33" t="n"/>
      <c r="M1714" s="33" t="n"/>
      <c r="N1714" s="33" t="n"/>
      <c r="O1714" s="33">
        <f>P1714+Q1714</f>
        <v/>
      </c>
      <c r="P1714" s="33" t="n"/>
      <c r="Q1714" s="33" t="n"/>
      <c r="R1714" s="33">
        <f>H1714+K1714-O1714</f>
        <v/>
      </c>
      <c r="S1714" s="33" t="n"/>
      <c r="T1714" s="33" t="n"/>
      <c r="U1714" s="33" t="n"/>
      <c r="V1714" s="33" t="n"/>
      <c r="W1714" s="33" t="n"/>
      <c r="X1714" s="33" t="n"/>
      <c r="Y1714" s="33" t="n"/>
      <c r="Z1714" s="33" t="n"/>
      <c r="AA1714" s="4">
        <f>R1714-G1714</f>
        <v/>
      </c>
      <c r="AB1714" s="4">
        <f>G1714-R1714</f>
        <v/>
      </c>
      <c r="AC1714" s="33" t="n"/>
    </row>
    <row r="1715" ht="18.75" customHeight="1">
      <c r="A1715" s="35">
        <f>SUBTOTAL(103,$B$24:B1715)</f>
        <v/>
      </c>
      <c r="B1715" s="36" t="inlineStr">
        <is>
          <t>Ваги настільні ВНЦ-2</t>
        </is>
      </c>
      <c r="C1715" s="37" t="inlineStr">
        <is>
          <t>к-т</t>
        </is>
      </c>
      <c r="D1715" s="33" t="n"/>
      <c r="E1715" s="33" t="n"/>
      <c r="F1715" s="33">
        <f>E1715*0.05</f>
        <v/>
      </c>
      <c r="G1715" s="33">
        <f>E1715+F1715</f>
        <v/>
      </c>
      <c r="H1715" s="33" t="n"/>
      <c r="I1715" s="33" t="n"/>
      <c r="J1715" s="33" t="n"/>
      <c r="K1715" s="33">
        <f>L1715+M1715+N1715</f>
        <v/>
      </c>
      <c r="L1715" s="33" t="n"/>
      <c r="M1715" s="33" t="n"/>
      <c r="N1715" s="33" t="n"/>
      <c r="O1715" s="33">
        <f>P1715+Q1715</f>
        <v/>
      </c>
      <c r="P1715" s="33" t="n"/>
      <c r="Q1715" s="33" t="n"/>
      <c r="R1715" s="33">
        <f>H1715+K1715-O1715</f>
        <v/>
      </c>
      <c r="S1715" s="33" t="n"/>
      <c r="T1715" s="33" t="n"/>
      <c r="U1715" s="33" t="n"/>
      <c r="V1715" s="33" t="n"/>
      <c r="W1715" s="33" t="n"/>
      <c r="X1715" s="33" t="n"/>
      <c r="Y1715" s="33" t="n"/>
      <c r="Z1715" s="33" t="n"/>
      <c r="AA1715" s="4">
        <f>R1715-G1715</f>
        <v/>
      </c>
      <c r="AB1715" s="4">
        <f>G1715-R1715</f>
        <v/>
      </c>
      <c r="AC1715" s="33" t="n"/>
    </row>
    <row r="1716" ht="18.75" customHeight="1">
      <c r="A1716" s="35">
        <f>SUBTOTAL(103,$B$24:B1716)</f>
        <v/>
      </c>
      <c r="B1716" s="36" t="inlineStr">
        <is>
          <t>Ваги настільні РН-10Ц-13У</t>
        </is>
      </c>
      <c r="C1716" s="37" t="inlineStr">
        <is>
          <t>к-т</t>
        </is>
      </c>
      <c r="D1716" s="33" t="n"/>
      <c r="E1716" s="33" t="n"/>
      <c r="F1716" s="33">
        <f>E1716*0.05</f>
        <v/>
      </c>
      <c r="G1716" s="33">
        <f>E1716+F1716</f>
        <v/>
      </c>
      <c r="H1716" s="33" t="n"/>
      <c r="I1716" s="33" t="n"/>
      <c r="J1716" s="33" t="n"/>
      <c r="K1716" s="33">
        <f>L1716+M1716+N1716</f>
        <v/>
      </c>
      <c r="L1716" s="33" t="n"/>
      <c r="M1716" s="33" t="n"/>
      <c r="N1716" s="33" t="n"/>
      <c r="O1716" s="33">
        <f>P1716+Q1716</f>
        <v/>
      </c>
      <c r="P1716" s="33" t="n"/>
      <c r="Q1716" s="33" t="n"/>
      <c r="R1716" s="33">
        <f>H1716+K1716-O1716</f>
        <v/>
      </c>
      <c r="S1716" s="33" t="n"/>
      <c r="T1716" s="33" t="n"/>
      <c r="U1716" s="33" t="n"/>
      <c r="V1716" s="33" t="n"/>
      <c r="W1716" s="33" t="n"/>
      <c r="X1716" s="33" t="n"/>
      <c r="Y1716" s="33" t="n"/>
      <c r="Z1716" s="33" t="n"/>
      <c r="AA1716" s="4">
        <f>R1716-G1716</f>
        <v/>
      </c>
      <c r="AB1716" s="4">
        <f>G1716-R1716</f>
        <v/>
      </c>
      <c r="AC1716" s="33" t="n"/>
    </row>
    <row r="1717" ht="18.75" customHeight="1">
      <c r="A1717" s="35">
        <f>SUBTOTAL(103,$B$24:B1717)</f>
        <v/>
      </c>
      <c r="B1717" s="36" t="inlineStr">
        <is>
          <t>Ваги настільні VAGAR VP-N "15кг"</t>
        </is>
      </c>
      <c r="C1717" s="37" t="n"/>
      <c r="D1717" s="33" t="n"/>
      <c r="E1717" s="33" t="n"/>
      <c r="F1717" s="33">
        <f>E1717*0.05</f>
        <v/>
      </c>
      <c r="G1717" s="33">
        <f>E1717+F1717</f>
        <v/>
      </c>
      <c r="H1717" s="33" t="n"/>
      <c r="I1717" s="33" t="n"/>
      <c r="J1717" s="33" t="n"/>
      <c r="K1717" s="33">
        <f>L1717+M1717+N1717</f>
        <v/>
      </c>
      <c r="L1717" s="33" t="n"/>
      <c r="M1717" s="33" t="n"/>
      <c r="N1717" s="33" t="n"/>
      <c r="O1717" s="33">
        <f>P1717+Q1717</f>
        <v/>
      </c>
      <c r="P1717" s="33" t="n"/>
      <c r="Q1717" s="33" t="n"/>
      <c r="R1717" s="33">
        <f>H1717+K1717-O1717</f>
        <v/>
      </c>
      <c r="S1717" s="33" t="n"/>
      <c r="T1717" s="33" t="n"/>
      <c r="U1717" s="33" t="n"/>
      <c r="V1717" s="33" t="n"/>
      <c r="W1717" s="33" t="n"/>
      <c r="X1717" s="33" t="n"/>
      <c r="Y1717" s="33" t="n"/>
      <c r="Z1717" s="33" t="n"/>
      <c r="AA1717" s="4">
        <f>R1717-G1717</f>
        <v/>
      </c>
      <c r="AB1717" s="4">
        <f>G1717-R1717</f>
        <v/>
      </c>
      <c r="AC1717" s="33" t="n"/>
    </row>
    <row r="1718" ht="18.75" customHeight="1">
      <c r="A1718" s="35">
        <f>SUBTOTAL(103,$B$24:B1718)</f>
        <v/>
      </c>
      <c r="B1718" s="36" t="inlineStr">
        <is>
          <t>Ваги настільні РН-3Ц-13У</t>
        </is>
      </c>
      <c r="C1718" s="37" t="inlineStr">
        <is>
          <t>к-т</t>
        </is>
      </c>
      <c r="D1718" s="33" t="n"/>
      <c r="E1718" s="33" t="n"/>
      <c r="F1718" s="33">
        <f>E1718*0.05</f>
        <v/>
      </c>
      <c r="G1718" s="33">
        <f>E1718+F1718</f>
        <v/>
      </c>
      <c r="H1718" s="33" t="n"/>
      <c r="I1718" s="33" t="n"/>
      <c r="J1718" s="33" t="n"/>
      <c r="K1718" s="33">
        <f>L1718+M1718+N1718</f>
        <v/>
      </c>
      <c r="L1718" s="33" t="n"/>
      <c r="M1718" s="33" t="n"/>
      <c r="N1718" s="33" t="n"/>
      <c r="O1718" s="33">
        <f>P1718+Q1718</f>
        <v/>
      </c>
      <c r="P1718" s="33" t="n"/>
      <c r="Q1718" s="33" t="n"/>
      <c r="R1718" s="33">
        <f>H1718+K1718-O1718</f>
        <v/>
      </c>
      <c r="S1718" s="33" t="n"/>
      <c r="T1718" s="33" t="n"/>
      <c r="U1718" s="33" t="n"/>
      <c r="V1718" s="33" t="n"/>
      <c r="W1718" s="33" t="n"/>
      <c r="X1718" s="33" t="n"/>
      <c r="Y1718" s="33" t="n"/>
      <c r="Z1718" s="33" t="n"/>
      <c r="AA1718" s="4">
        <f>R1718-G1718</f>
        <v/>
      </c>
      <c r="AB1718" s="4">
        <f>G1718-R1718</f>
        <v/>
      </c>
      <c r="AC1718" s="33" t="n"/>
    </row>
    <row r="1719" ht="18.75" customHeight="1">
      <c r="A1719" s="35">
        <f>SUBTOTAL(103,$B$24:B1719)</f>
        <v/>
      </c>
      <c r="B1719" s="36" t="inlineStr">
        <is>
          <t>Ваги кухонні ZELMER ZKS 1100</t>
        </is>
      </c>
      <c r="C1719" s="37" t="inlineStr">
        <is>
          <t>к-т</t>
        </is>
      </c>
      <c r="D1719" s="33" t="n"/>
      <c r="E1719" s="33" t="n"/>
      <c r="F1719" s="33">
        <f>E1719*0.05</f>
        <v/>
      </c>
      <c r="G1719" s="33">
        <f>E1719+F1719</f>
        <v/>
      </c>
      <c r="H1719" s="33" t="n"/>
      <c r="I1719" s="33" t="n"/>
      <c r="J1719" s="33" t="n"/>
      <c r="K1719" s="33">
        <f>L1719+M1719+N1719</f>
        <v/>
      </c>
      <c r="L1719" s="33" t="n"/>
      <c r="M1719" s="33" t="n"/>
      <c r="N1719" s="33" t="n"/>
      <c r="O1719" s="33">
        <f>P1719+Q1719</f>
        <v/>
      </c>
      <c r="P1719" s="33" t="n"/>
      <c r="Q1719" s="33" t="n"/>
      <c r="R1719" s="33">
        <f>H1719+K1719-O1719</f>
        <v/>
      </c>
      <c r="S1719" s="33" t="n"/>
      <c r="T1719" s="33" t="n"/>
      <c r="U1719" s="33" t="n"/>
      <c r="V1719" s="33" t="n"/>
      <c r="W1719" s="33" t="n"/>
      <c r="X1719" s="33" t="n"/>
      <c r="Y1719" s="33" t="n"/>
      <c r="Z1719" s="33" t="n"/>
      <c r="AA1719" s="4">
        <f>R1719-G1719</f>
        <v/>
      </c>
      <c r="AB1719" s="4">
        <f>G1719-R1719</f>
        <v/>
      </c>
      <c r="AC1719" s="33" t="n"/>
    </row>
    <row r="1720" ht="18.75" customHeight="1">
      <c r="A1720" s="35">
        <f>SUBTOTAL(103,$B$24:B1720)</f>
        <v/>
      </c>
      <c r="B1720" s="36" t="inlineStr">
        <is>
          <t>Ваги настільні РН-20</t>
        </is>
      </c>
      <c r="C1720" s="37" t="inlineStr">
        <is>
          <t>к-т</t>
        </is>
      </c>
      <c r="D1720" s="33" t="n"/>
      <c r="E1720" s="33" t="n"/>
      <c r="F1720" s="33">
        <f>E1720*0.05</f>
        <v/>
      </c>
      <c r="G1720" s="33">
        <f>E1720+F1720</f>
        <v/>
      </c>
      <c r="H1720" s="33" t="n"/>
      <c r="I1720" s="33" t="n"/>
      <c r="J1720" s="33" t="n"/>
      <c r="K1720" s="33">
        <f>L1720+M1720+N1720</f>
        <v/>
      </c>
      <c r="L1720" s="33" t="n"/>
      <c r="M1720" s="33" t="n"/>
      <c r="N1720" s="33" t="n"/>
      <c r="O1720" s="33">
        <f>P1720+Q1720</f>
        <v/>
      </c>
      <c r="P1720" s="33" t="n"/>
      <c r="Q1720" s="33" t="n"/>
      <c r="R1720" s="33">
        <f>H1720+K1720-O1720</f>
        <v/>
      </c>
      <c r="S1720" s="33" t="n"/>
      <c r="T1720" s="33" t="n"/>
      <c r="U1720" s="33" t="n"/>
      <c r="V1720" s="33" t="n"/>
      <c r="W1720" s="33" t="n"/>
      <c r="X1720" s="33" t="n"/>
      <c r="Y1720" s="33" t="n"/>
      <c r="Z1720" s="33" t="n"/>
      <c r="AA1720" s="4">
        <f>R1720-G1720</f>
        <v/>
      </c>
      <c r="AB1720" s="4">
        <f>G1720-R1720</f>
        <v/>
      </c>
      <c r="AC1720" s="33" t="n"/>
    </row>
    <row r="1721" ht="18.75" customHeight="1">
      <c r="A1721" s="35">
        <f>SUBTOTAL(103,$B$24:B1721)</f>
        <v/>
      </c>
      <c r="B1721" s="36" t="inlineStr">
        <is>
          <t>Ваги настільні СІ-15</t>
        </is>
      </c>
      <c r="C1721" s="37" t="inlineStr">
        <is>
          <t>к-т</t>
        </is>
      </c>
      <c r="D1721" s="33" t="n"/>
      <c r="E1721" s="33" t="n"/>
      <c r="F1721" s="33">
        <f>E1721*0.05</f>
        <v/>
      </c>
      <c r="G1721" s="33">
        <f>E1721+F1721</f>
        <v/>
      </c>
      <c r="H1721" s="33" t="n"/>
      <c r="I1721" s="33" t="n"/>
      <c r="J1721" s="33" t="n"/>
      <c r="K1721" s="33">
        <f>L1721+M1721+N1721</f>
        <v/>
      </c>
      <c r="L1721" s="33" t="n"/>
      <c r="M1721" s="33" t="n"/>
      <c r="N1721" s="33" t="n"/>
      <c r="O1721" s="33">
        <f>P1721+Q1721</f>
        <v/>
      </c>
      <c r="P1721" s="33" t="n"/>
      <c r="Q1721" s="33" t="n"/>
      <c r="R1721" s="33">
        <f>H1721+K1721-O1721</f>
        <v/>
      </c>
      <c r="S1721" s="33" t="n"/>
      <c r="T1721" s="33" t="n"/>
      <c r="U1721" s="33" t="n"/>
      <c r="V1721" s="33" t="n"/>
      <c r="W1721" s="33" t="n"/>
      <c r="X1721" s="33" t="n"/>
      <c r="Y1721" s="33" t="n"/>
      <c r="Z1721" s="33" t="n"/>
      <c r="AA1721" s="4">
        <f>R1721-G1721</f>
        <v/>
      </c>
      <c r="AB1721" s="4">
        <f>G1721-R1721</f>
        <v/>
      </c>
      <c r="AC1721" s="33" t="n"/>
    </row>
    <row r="1722" ht="37.5" customHeight="1">
      <c r="A1722" s="35">
        <f>SUBTOTAL(103,$B$24:B1722)</f>
        <v/>
      </c>
      <c r="B1722" s="36" t="inlineStr">
        <is>
          <t>Платформа для вагів товаринх TBS-200.2P3</t>
        </is>
      </c>
      <c r="C1722" s="37" t="inlineStr">
        <is>
          <t>к-т</t>
        </is>
      </c>
      <c r="D1722" s="33" t="n"/>
      <c r="E1722" s="33" t="n"/>
      <c r="F1722" s="33">
        <f>E1722*0.05</f>
        <v/>
      </c>
      <c r="G1722" s="33">
        <f>E1722+F1722</f>
        <v/>
      </c>
      <c r="H1722" s="33" t="n"/>
      <c r="I1722" s="33" t="n"/>
      <c r="J1722" s="33" t="n"/>
      <c r="K1722" s="33">
        <f>L1722+M1722+N1722</f>
        <v/>
      </c>
      <c r="L1722" s="33" t="n"/>
      <c r="M1722" s="33" t="n"/>
      <c r="N1722" s="33" t="n"/>
      <c r="O1722" s="33">
        <f>P1722+Q1722</f>
        <v/>
      </c>
      <c r="P1722" s="33" t="n"/>
      <c r="Q1722" s="33" t="n"/>
      <c r="R1722" s="33">
        <f>H1722+K1722-O1722</f>
        <v/>
      </c>
      <c r="S1722" s="33" t="n"/>
      <c r="T1722" s="33" t="n"/>
      <c r="U1722" s="33" t="n"/>
      <c r="V1722" s="33" t="n"/>
      <c r="W1722" s="33" t="n"/>
      <c r="X1722" s="33" t="n"/>
      <c r="Y1722" s="33" t="n"/>
      <c r="Z1722" s="33" t="n"/>
      <c r="AA1722" s="4">
        <f>R1722-G1722</f>
        <v/>
      </c>
      <c r="AB1722" s="4">
        <f>G1722-R1722</f>
        <v/>
      </c>
      <c r="AC1722" s="33" t="n"/>
    </row>
    <row r="1723" ht="18.75" customHeight="1">
      <c r="A1723" s="35">
        <f>SUBTOTAL(103,$B$24:B1723)</f>
        <v/>
      </c>
      <c r="B1723" s="36" t="inlineStr">
        <is>
          <t>Ваги настільні ВНО-2</t>
        </is>
      </c>
      <c r="C1723" s="37" t="inlineStr">
        <is>
          <t>к-т</t>
        </is>
      </c>
      <c r="D1723" s="33" t="n"/>
      <c r="E1723" s="33" t="n"/>
      <c r="F1723" s="33">
        <f>E1723*0.05</f>
        <v/>
      </c>
      <c r="G1723" s="33">
        <f>E1723+F1723</f>
        <v/>
      </c>
      <c r="H1723" s="33" t="n"/>
      <c r="I1723" s="33" t="n"/>
      <c r="J1723" s="33" t="n"/>
      <c r="K1723" s="33">
        <f>L1723+M1723+N1723</f>
        <v/>
      </c>
      <c r="L1723" s="33" t="n"/>
      <c r="M1723" s="33" t="n"/>
      <c r="N1723" s="33" t="n"/>
      <c r="O1723" s="33">
        <f>P1723+Q1723</f>
        <v/>
      </c>
      <c r="P1723" s="33" t="n"/>
      <c r="Q1723" s="33" t="n"/>
      <c r="R1723" s="33">
        <f>H1723+K1723-O1723</f>
        <v/>
      </c>
      <c r="S1723" s="33" t="n"/>
      <c r="T1723" s="33" t="n"/>
      <c r="U1723" s="33" t="n"/>
      <c r="V1723" s="33" t="n"/>
      <c r="W1723" s="33" t="n"/>
      <c r="X1723" s="33" t="n"/>
      <c r="Y1723" s="33" t="n"/>
      <c r="Z1723" s="33" t="n"/>
      <c r="AA1723" s="4">
        <f>R1723-G1723</f>
        <v/>
      </c>
      <c r="AB1723" s="4">
        <f>G1723-R1723</f>
        <v/>
      </c>
      <c r="AC1723" s="33" t="n"/>
    </row>
    <row r="1724" ht="18.75" customHeight="1">
      <c r="A1724" s="35">
        <f>SUBTOTAL(103,$B$24:B1724)</f>
        <v/>
      </c>
      <c r="B1724" s="36" t="inlineStr">
        <is>
          <t>Ваги настільні ВНЦ-2</t>
        </is>
      </c>
      <c r="C1724" s="37" t="inlineStr">
        <is>
          <t>к-т</t>
        </is>
      </c>
      <c r="D1724" s="33" t="n"/>
      <c r="E1724" s="33" t="n"/>
      <c r="F1724" s="33">
        <f>E1724*0.05</f>
        <v/>
      </c>
      <c r="G1724" s="33">
        <f>E1724+F1724</f>
        <v/>
      </c>
      <c r="H1724" s="33" t="n"/>
      <c r="I1724" s="33" t="n"/>
      <c r="J1724" s="33" t="n"/>
      <c r="K1724" s="33">
        <f>L1724+M1724+N1724</f>
        <v/>
      </c>
      <c r="L1724" s="33" t="n"/>
      <c r="M1724" s="33" t="n"/>
      <c r="N1724" s="33" t="n"/>
      <c r="O1724" s="33">
        <f>P1724+Q1724</f>
        <v/>
      </c>
      <c r="P1724" s="33" t="n"/>
      <c r="Q1724" s="33" t="n"/>
      <c r="R1724" s="33">
        <f>H1724+K1724-O1724</f>
        <v/>
      </c>
      <c r="S1724" s="33" t="n"/>
      <c r="T1724" s="33" t="n"/>
      <c r="U1724" s="33" t="n"/>
      <c r="V1724" s="33" t="n"/>
      <c r="W1724" s="33" t="n"/>
      <c r="X1724" s="33" t="n"/>
      <c r="Y1724" s="33" t="n"/>
      <c r="Z1724" s="33" t="n"/>
      <c r="AA1724" s="4">
        <f>R1724-G1724</f>
        <v/>
      </c>
      <c r="AB1724" s="4">
        <f>G1724-R1724</f>
        <v/>
      </c>
      <c r="AC1724" s="33" t="n"/>
    </row>
    <row r="1725" ht="18.75" customHeight="1">
      <c r="A1725" s="35">
        <f>SUBTOTAL(103,$B$24:B1725)</f>
        <v/>
      </c>
      <c r="B1725" s="36" t="inlineStr">
        <is>
          <t>Ваги настільні ВНЗ-2</t>
        </is>
      </c>
      <c r="C1725" s="37" t="inlineStr">
        <is>
          <t>к-т</t>
        </is>
      </c>
      <c r="D1725" s="33" t="n"/>
      <c r="E1725" s="33" t="n"/>
      <c r="F1725" s="33">
        <f>E1725*0.05</f>
        <v/>
      </c>
      <c r="G1725" s="33">
        <f>E1725+F1725</f>
        <v/>
      </c>
      <c r="H1725" s="33" t="n"/>
      <c r="I1725" s="33" t="n"/>
      <c r="J1725" s="33" t="n"/>
      <c r="K1725" s="33">
        <f>L1725+M1725+N1725</f>
        <v/>
      </c>
      <c r="L1725" s="33" t="n"/>
      <c r="M1725" s="33" t="n"/>
      <c r="N1725" s="33" t="n"/>
      <c r="O1725" s="33">
        <f>P1725+Q1725</f>
        <v/>
      </c>
      <c r="P1725" s="33" t="n"/>
      <c r="Q1725" s="33" t="n"/>
      <c r="R1725" s="33">
        <f>H1725+K1725-O1725</f>
        <v/>
      </c>
      <c r="S1725" s="33" t="n"/>
      <c r="T1725" s="33" t="n"/>
      <c r="U1725" s="33" t="n"/>
      <c r="V1725" s="33" t="n"/>
      <c r="W1725" s="33" t="n"/>
      <c r="X1725" s="33" t="n"/>
      <c r="Y1725" s="33" t="n"/>
      <c r="Z1725" s="33" t="n"/>
      <c r="AA1725" s="4">
        <f>R1725-G1725</f>
        <v/>
      </c>
      <c r="AB1725" s="4">
        <f>G1725-R1725</f>
        <v/>
      </c>
      <c r="AC1725" s="33" t="n"/>
    </row>
    <row r="1726" ht="18.75" customHeight="1">
      <c r="A1726" s="35">
        <f>SUBTOTAL(103,$B$24:B1726)</f>
        <v/>
      </c>
      <c r="B1726" s="36" t="inlineStr">
        <is>
          <t>Ваги настільні 2 кг</t>
        </is>
      </c>
      <c r="C1726" s="37" t="inlineStr">
        <is>
          <t>к-т</t>
        </is>
      </c>
      <c r="D1726" s="33" t="n"/>
      <c r="E1726" s="33" t="n"/>
      <c r="F1726" s="33">
        <f>E1726*0.05</f>
        <v/>
      </c>
      <c r="G1726" s="33">
        <f>E1726+F1726</f>
        <v/>
      </c>
      <c r="H1726" s="33" t="n"/>
      <c r="I1726" s="33" t="n"/>
      <c r="J1726" s="33" t="n"/>
      <c r="K1726" s="33">
        <f>L1726+M1726+N1726</f>
        <v/>
      </c>
      <c r="L1726" s="33" t="n"/>
      <c r="M1726" s="33" t="n"/>
      <c r="N1726" s="33" t="n"/>
      <c r="O1726" s="33">
        <f>P1726+Q1726</f>
        <v/>
      </c>
      <c r="P1726" s="33" t="n"/>
      <c r="Q1726" s="33" t="n"/>
      <c r="R1726" s="33">
        <f>H1726+K1726-O1726</f>
        <v/>
      </c>
      <c r="S1726" s="33" t="n"/>
      <c r="T1726" s="33" t="n"/>
      <c r="U1726" s="33" t="n"/>
      <c r="V1726" s="33" t="n"/>
      <c r="W1726" s="33" t="n"/>
      <c r="X1726" s="33" t="n"/>
      <c r="Y1726" s="33" t="n"/>
      <c r="Z1726" s="33" t="n"/>
      <c r="AA1726" s="4">
        <f>R1726-G1726</f>
        <v/>
      </c>
      <c r="AB1726" s="4">
        <f>G1726-R1726</f>
        <v/>
      </c>
      <c r="AC1726" s="33" t="n"/>
    </row>
    <row r="1727" ht="18.75" customHeight="1">
      <c r="A1727" s="35">
        <f>SUBTOTAL(103,$B$24:B1727)</f>
        <v/>
      </c>
      <c r="B1727" s="36" t="inlineStr">
        <is>
          <t>Ваги настільні ВНО-10</t>
        </is>
      </c>
      <c r="C1727" s="37" t="inlineStr">
        <is>
          <t>к-т</t>
        </is>
      </c>
      <c r="D1727" s="33" t="n"/>
      <c r="E1727" s="33" t="n"/>
      <c r="F1727" s="33">
        <f>E1727*0.05</f>
        <v/>
      </c>
      <c r="G1727" s="33">
        <f>E1727+F1727</f>
        <v/>
      </c>
      <c r="H1727" s="33" t="n"/>
      <c r="I1727" s="33" t="n"/>
      <c r="J1727" s="33" t="n"/>
      <c r="K1727" s="33">
        <f>L1727+M1727+N1727</f>
        <v/>
      </c>
      <c r="L1727" s="33" t="n"/>
      <c r="M1727" s="33" t="n"/>
      <c r="N1727" s="33" t="n"/>
      <c r="O1727" s="33">
        <f>P1727+Q1727</f>
        <v/>
      </c>
      <c r="P1727" s="33" t="n"/>
      <c r="Q1727" s="33" t="n"/>
      <c r="R1727" s="33">
        <f>H1727+K1727-O1727</f>
        <v/>
      </c>
      <c r="S1727" s="33" t="n"/>
      <c r="T1727" s="33" t="n"/>
      <c r="U1727" s="33" t="n"/>
      <c r="V1727" s="33" t="n"/>
      <c r="W1727" s="33" t="n"/>
      <c r="X1727" s="33" t="n"/>
      <c r="Y1727" s="33" t="n"/>
      <c r="Z1727" s="33" t="n"/>
      <c r="AA1727" s="4">
        <f>R1727-G1727</f>
        <v/>
      </c>
      <c r="AB1727" s="4">
        <f>G1727-R1727</f>
        <v/>
      </c>
      <c r="AC1727" s="33" t="n"/>
    </row>
    <row r="1728" ht="18.75" customHeight="1">
      <c r="A1728" s="35">
        <f>SUBTOTAL(103,$B$24:B1728)</f>
        <v/>
      </c>
      <c r="B1728" s="36" t="inlineStr">
        <is>
          <t>Ваги настільні ВНЦ-10</t>
        </is>
      </c>
      <c r="C1728" s="37" t="inlineStr">
        <is>
          <t>к-т</t>
        </is>
      </c>
      <c r="D1728" s="33" t="n"/>
      <c r="E1728" s="33" t="n"/>
      <c r="F1728" s="33">
        <f>E1728*0.05</f>
        <v/>
      </c>
      <c r="G1728" s="33">
        <f>E1728+F1728</f>
        <v/>
      </c>
      <c r="H1728" s="33" t="n"/>
      <c r="I1728" s="33" t="n"/>
      <c r="J1728" s="33" t="n"/>
      <c r="K1728" s="33">
        <f>L1728+M1728+N1728</f>
        <v/>
      </c>
      <c r="L1728" s="33" t="n"/>
      <c r="M1728" s="33" t="n"/>
      <c r="N1728" s="33" t="n"/>
      <c r="O1728" s="33">
        <f>P1728+Q1728</f>
        <v/>
      </c>
      <c r="P1728" s="33" t="n"/>
      <c r="Q1728" s="33" t="n"/>
      <c r="R1728" s="33">
        <f>H1728+K1728-O1728</f>
        <v/>
      </c>
      <c r="S1728" s="33" t="n"/>
      <c r="T1728" s="33" t="n"/>
      <c r="U1728" s="33" t="n"/>
      <c r="V1728" s="33" t="n"/>
      <c r="W1728" s="33" t="n"/>
      <c r="X1728" s="33" t="n"/>
      <c r="Y1728" s="33" t="n"/>
      <c r="Z1728" s="33" t="n"/>
      <c r="AA1728" s="4">
        <f>R1728-G1728</f>
        <v/>
      </c>
      <c r="AB1728" s="4">
        <f>G1728-R1728</f>
        <v/>
      </c>
      <c r="AC1728" s="33" t="n"/>
    </row>
    <row r="1729" ht="18.75" customHeight="1">
      <c r="A1729" s="35">
        <f>SUBTOTAL(103,$B$24:B1729)</f>
        <v/>
      </c>
      <c r="B1729" s="36" t="inlineStr">
        <is>
          <t>Ваги настільні ВНО-20</t>
        </is>
      </c>
      <c r="C1729" s="37" t="inlineStr">
        <is>
          <t>к-т</t>
        </is>
      </c>
      <c r="D1729" s="33" t="n"/>
      <c r="E1729" s="33" t="n"/>
      <c r="F1729" s="33">
        <f>E1729*0.05</f>
        <v/>
      </c>
      <c r="G1729" s="33">
        <f>E1729+F1729</f>
        <v/>
      </c>
      <c r="H1729" s="33" t="n"/>
      <c r="I1729" s="33" t="n"/>
      <c r="J1729" s="33" t="n"/>
      <c r="K1729" s="33">
        <f>L1729+M1729+N1729</f>
        <v/>
      </c>
      <c r="L1729" s="33" t="n"/>
      <c r="M1729" s="33" t="n"/>
      <c r="N1729" s="33" t="n"/>
      <c r="O1729" s="33">
        <f>P1729+Q1729</f>
        <v/>
      </c>
      <c r="P1729" s="33" t="n"/>
      <c r="Q1729" s="33" t="n"/>
      <c r="R1729" s="33">
        <f>H1729+K1729-O1729</f>
        <v/>
      </c>
      <c r="S1729" s="33" t="n"/>
      <c r="T1729" s="33" t="n"/>
      <c r="U1729" s="33" t="n"/>
      <c r="V1729" s="33" t="n"/>
      <c r="W1729" s="33" t="n"/>
      <c r="X1729" s="33" t="n"/>
      <c r="Y1729" s="33" t="n"/>
      <c r="Z1729" s="33" t="n"/>
      <c r="AA1729" s="4">
        <f>R1729-G1729</f>
        <v/>
      </c>
      <c r="AB1729" s="4">
        <f>G1729-R1729</f>
        <v/>
      </c>
      <c r="AC1729" s="33" t="n"/>
    </row>
    <row r="1730" ht="18.75" customHeight="1">
      <c r="A1730" s="35">
        <f>SUBTOTAL(103,$B$24:B1730)</f>
        <v/>
      </c>
      <c r="B1730" s="36" t="inlineStr">
        <is>
          <t>Ваги настільні 10-20 кг</t>
        </is>
      </c>
      <c r="C1730" s="37" t="inlineStr">
        <is>
          <t>к-т</t>
        </is>
      </c>
      <c r="D1730" s="33" t="n"/>
      <c r="E1730" s="33" t="n"/>
      <c r="F1730" s="33">
        <f>E1730*0.05</f>
        <v/>
      </c>
      <c r="G1730" s="33">
        <f>E1730+F1730</f>
        <v/>
      </c>
      <c r="H1730" s="33" t="n"/>
      <c r="I1730" s="33" t="n"/>
      <c r="J1730" s="33" t="n"/>
      <c r="K1730" s="33">
        <f>L1730+M1730+N1730</f>
        <v/>
      </c>
      <c r="L1730" s="33" t="n"/>
      <c r="M1730" s="33" t="n"/>
      <c r="N1730" s="33" t="n"/>
      <c r="O1730" s="33">
        <f>P1730+Q1730</f>
        <v/>
      </c>
      <c r="P1730" s="33" t="n"/>
      <c r="Q1730" s="33" t="n"/>
      <c r="R1730" s="33">
        <f>H1730+K1730-O1730</f>
        <v/>
      </c>
      <c r="S1730" s="33" t="n"/>
      <c r="T1730" s="33" t="n"/>
      <c r="U1730" s="33" t="n"/>
      <c r="V1730" s="33" t="n"/>
      <c r="W1730" s="33" t="n"/>
      <c r="X1730" s="33" t="n"/>
      <c r="Y1730" s="33" t="n"/>
      <c r="Z1730" s="33" t="n"/>
      <c r="AA1730" s="4">
        <f>R1730-G1730</f>
        <v/>
      </c>
      <c r="AB1730" s="4">
        <f>G1730-R1730</f>
        <v/>
      </c>
      <c r="AC1730" s="33" t="n"/>
    </row>
    <row r="1731" ht="18.75" customHeight="1">
      <c r="A1731" s="35">
        <f>SUBTOTAL(103,$B$24:B1731)</f>
        <v/>
      </c>
      <c r="B1731" s="36" t="inlineStr">
        <is>
          <t>Ваги настільні РН-10</t>
        </is>
      </c>
      <c r="C1731" s="37" t="inlineStr">
        <is>
          <t>к-т</t>
        </is>
      </c>
      <c r="D1731" s="33" t="n"/>
      <c r="E1731" s="33" t="n"/>
      <c r="F1731" s="33">
        <f>E1731*0.05</f>
        <v/>
      </c>
      <c r="G1731" s="33">
        <f>E1731+F1731</f>
        <v/>
      </c>
      <c r="H1731" s="33" t="n"/>
      <c r="I1731" s="33" t="n"/>
      <c r="J1731" s="33" t="n"/>
      <c r="K1731" s="33">
        <f>L1731+M1731+N1731</f>
        <v/>
      </c>
      <c r="L1731" s="33" t="n"/>
      <c r="M1731" s="33" t="n"/>
      <c r="N1731" s="33" t="n"/>
      <c r="O1731" s="33">
        <f>P1731+Q1731</f>
        <v/>
      </c>
      <c r="P1731" s="33" t="n"/>
      <c r="Q1731" s="33" t="n"/>
      <c r="R1731" s="33">
        <f>H1731+K1731-O1731</f>
        <v/>
      </c>
      <c r="S1731" s="33" t="n"/>
      <c r="T1731" s="33" t="n"/>
      <c r="U1731" s="33" t="n"/>
      <c r="V1731" s="33" t="n"/>
      <c r="W1731" s="33" t="n"/>
      <c r="X1731" s="33" t="n"/>
      <c r="Y1731" s="33" t="n"/>
      <c r="Z1731" s="33" t="n"/>
      <c r="AA1731" s="4">
        <f>R1731-G1731</f>
        <v/>
      </c>
      <c r="AB1731" s="4">
        <f>G1731-R1731</f>
        <v/>
      </c>
      <c r="AC1731" s="33" t="n"/>
    </row>
    <row r="1732" ht="18.75" customHeight="1">
      <c r="A1732" s="35">
        <f>SUBTOTAL(103,$B$24:B1732)</f>
        <v/>
      </c>
      <c r="B1732" s="36" t="inlineStr">
        <is>
          <t>Ваги настільні РН-20</t>
        </is>
      </c>
      <c r="C1732" s="37" t="inlineStr">
        <is>
          <t>к-т</t>
        </is>
      </c>
      <c r="D1732" s="33" t="n"/>
      <c r="E1732" s="33" t="n"/>
      <c r="F1732" s="33">
        <f>E1732*0.05</f>
        <v/>
      </c>
      <c r="G1732" s="33">
        <f>E1732+F1732</f>
        <v/>
      </c>
      <c r="H1732" s="33" t="n"/>
      <c r="I1732" s="33" t="n"/>
      <c r="J1732" s="33" t="n"/>
      <c r="K1732" s="33">
        <f>L1732+M1732+N1732</f>
        <v/>
      </c>
      <c r="L1732" s="33" t="n"/>
      <c r="M1732" s="33" t="n"/>
      <c r="N1732" s="33" t="n"/>
      <c r="O1732" s="33">
        <f>P1732+Q1732</f>
        <v/>
      </c>
      <c r="P1732" s="33" t="n"/>
      <c r="Q1732" s="33" t="n"/>
      <c r="R1732" s="33">
        <f>H1732+K1732-O1732</f>
        <v/>
      </c>
      <c r="S1732" s="33" t="n"/>
      <c r="T1732" s="33" t="n"/>
      <c r="U1732" s="33" t="n"/>
      <c r="V1732" s="33" t="n"/>
      <c r="W1732" s="33" t="n"/>
      <c r="X1732" s="33" t="n"/>
      <c r="Y1732" s="33" t="n"/>
      <c r="Z1732" s="33" t="n"/>
      <c r="AA1732" s="4">
        <f>R1732-G1732</f>
        <v/>
      </c>
      <c r="AB1732" s="4">
        <f>G1732-R1732</f>
        <v/>
      </c>
      <c r="AC1732" s="33" t="n"/>
    </row>
    <row r="1733" ht="18.75" customHeight="1">
      <c r="A1733" s="35">
        <f>SUBTOTAL(103,$B$24:B1733)</f>
        <v/>
      </c>
      <c r="B1733" s="36" t="inlineStr">
        <is>
          <t>Ваги настільні СІ-15</t>
        </is>
      </c>
      <c r="C1733" s="37" t="inlineStr">
        <is>
          <t>к-т</t>
        </is>
      </c>
      <c r="D1733" s="33" t="n"/>
      <c r="E1733" s="33" t="n"/>
      <c r="F1733" s="33">
        <f>E1733*0.05</f>
        <v/>
      </c>
      <c r="G1733" s="33">
        <f>E1733+F1733</f>
        <v/>
      </c>
      <c r="H1733" s="33" t="n"/>
      <c r="I1733" s="33" t="n"/>
      <c r="J1733" s="33" t="n"/>
      <c r="K1733" s="33">
        <f>L1733+M1733+N1733</f>
        <v/>
      </c>
      <c r="L1733" s="33" t="n"/>
      <c r="M1733" s="33" t="n"/>
      <c r="N1733" s="33" t="n"/>
      <c r="O1733" s="33">
        <f>P1733+Q1733</f>
        <v/>
      </c>
      <c r="P1733" s="33" t="n"/>
      <c r="Q1733" s="33" t="n"/>
      <c r="R1733" s="33">
        <f>H1733+K1733-O1733</f>
        <v/>
      </c>
      <c r="S1733" s="33" t="n"/>
      <c r="T1733" s="33" t="n"/>
      <c r="U1733" s="33" t="n"/>
      <c r="V1733" s="33" t="n"/>
      <c r="W1733" s="33" t="n"/>
      <c r="X1733" s="33" t="n"/>
      <c r="Y1733" s="33" t="n"/>
      <c r="Z1733" s="33" t="n"/>
      <c r="AA1733" s="4">
        <f>R1733-G1733</f>
        <v/>
      </c>
      <c r="AB1733" s="4">
        <f>G1733-R1733</f>
        <v/>
      </c>
      <c r="AC1733" s="33" t="n"/>
    </row>
    <row r="1734" ht="18.75" customHeight="1">
      <c r="A1734" s="35">
        <f>SUBTOTAL(103,$B$24:B1734)</f>
        <v/>
      </c>
      <c r="B1734" s="36" t="inlineStr">
        <is>
          <t>Ваги настільні інші</t>
        </is>
      </c>
      <c r="C1734" s="37" t="inlineStr">
        <is>
          <t>к-т</t>
        </is>
      </c>
      <c r="D1734" s="33" t="n"/>
      <c r="E1734" s="33" t="n"/>
      <c r="F1734" s="33">
        <f>E1734*0.05</f>
        <v/>
      </c>
      <c r="G1734" s="33">
        <f>E1734+F1734</f>
        <v/>
      </c>
      <c r="H1734" s="33" t="n"/>
      <c r="I1734" s="33" t="n"/>
      <c r="J1734" s="33" t="n"/>
      <c r="K1734" s="33">
        <f>L1734+M1734+N1734</f>
        <v/>
      </c>
      <c r="L1734" s="33" t="n"/>
      <c r="M1734" s="33" t="n"/>
      <c r="N1734" s="33" t="n"/>
      <c r="O1734" s="33">
        <f>P1734+Q1734</f>
        <v/>
      </c>
      <c r="P1734" s="33" t="n"/>
      <c r="Q1734" s="33" t="n"/>
      <c r="R1734" s="33">
        <f>H1734+K1734-O1734</f>
        <v/>
      </c>
      <c r="S1734" s="33" t="n"/>
      <c r="T1734" s="33" t="n"/>
      <c r="U1734" s="33" t="n"/>
      <c r="V1734" s="33" t="n"/>
      <c r="W1734" s="33" t="n"/>
      <c r="X1734" s="33" t="n"/>
      <c r="Y1734" s="33" t="n"/>
      <c r="Z1734" s="33" t="n"/>
      <c r="AA1734" s="4">
        <f>R1734-G1734</f>
        <v/>
      </c>
      <c r="AB1734" s="4">
        <f>G1734-R1734</f>
        <v/>
      </c>
      <c r="AC1734" s="33" t="n"/>
    </row>
    <row r="1735" ht="18.75" customHeight="1">
      <c r="A1735" s="35">
        <f>SUBTOTAL(103,$B$24:B1735)</f>
        <v/>
      </c>
      <c r="B1735" s="39" t="inlineStr">
        <is>
          <t>ВАГИ ТОВАРНІ</t>
        </is>
      </c>
      <c r="C1735" s="37" t="n"/>
      <c r="D1735" s="33" t="n"/>
      <c r="E1735" s="33" t="n"/>
      <c r="F1735" s="33">
        <f>E1735*0.05</f>
        <v/>
      </c>
      <c r="G1735" s="33">
        <f>E1735+F1735</f>
        <v/>
      </c>
      <c r="H1735" s="33" t="n"/>
      <c r="I1735" s="33" t="n"/>
      <c r="J1735" s="33" t="n"/>
      <c r="K1735" s="33">
        <f>L1735+M1735+N1735</f>
        <v/>
      </c>
      <c r="L1735" s="33" t="n"/>
      <c r="M1735" s="33" t="n"/>
      <c r="N1735" s="33" t="n"/>
      <c r="O1735" s="33">
        <f>P1735+Q1735</f>
        <v/>
      </c>
      <c r="P1735" s="33" t="n"/>
      <c r="Q1735" s="33" t="n"/>
      <c r="R1735" s="33">
        <f>H1735+K1735-O1735</f>
        <v/>
      </c>
      <c r="S1735" s="33" t="n"/>
      <c r="T1735" s="33" t="n"/>
      <c r="U1735" s="33" t="n"/>
      <c r="V1735" s="33" t="n"/>
      <c r="W1735" s="33" t="n"/>
      <c r="X1735" s="33" t="n"/>
      <c r="Y1735" s="33" t="n"/>
      <c r="Z1735" s="33" t="n"/>
      <c r="AA1735" s="4">
        <f>R1735-G1735</f>
        <v/>
      </c>
      <c r="AB1735" s="4">
        <f>G1735-R1735</f>
        <v/>
      </c>
      <c r="AC1735" s="33" t="n"/>
    </row>
    <row r="1736" ht="18.75" customHeight="1">
      <c r="A1736" s="35">
        <f>SUBTOTAL(103,$B$24:B1736)</f>
        <v/>
      </c>
      <c r="B1736" s="36" t="inlineStr">
        <is>
          <t xml:space="preserve">Ваги ричажні </t>
        </is>
      </c>
      <c r="C1736" s="37" t="inlineStr">
        <is>
          <t>к-т</t>
        </is>
      </c>
      <c r="D1736" s="33" t="n"/>
      <c r="E1736" s="33" t="n"/>
      <c r="F1736" s="33">
        <f>E1736*0.05</f>
        <v/>
      </c>
      <c r="G1736" s="33">
        <f>E1736+F1736</f>
        <v/>
      </c>
      <c r="H1736" s="33" t="n"/>
      <c r="I1736" s="33" t="n"/>
      <c r="J1736" s="33" t="n"/>
      <c r="K1736" s="33">
        <f>L1736+M1736+N1736</f>
        <v/>
      </c>
      <c r="L1736" s="33" t="n"/>
      <c r="M1736" s="33" t="n"/>
      <c r="N1736" s="33" t="n"/>
      <c r="O1736" s="33">
        <f>P1736+Q1736</f>
        <v/>
      </c>
      <c r="P1736" s="33" t="n"/>
      <c r="Q1736" s="33" t="n"/>
      <c r="R1736" s="33">
        <f>H1736+K1736-O1736</f>
        <v/>
      </c>
      <c r="S1736" s="33" t="n"/>
      <c r="T1736" s="33" t="n"/>
      <c r="U1736" s="33" t="n"/>
      <c r="V1736" s="33" t="n"/>
      <c r="W1736" s="33" t="n"/>
      <c r="X1736" s="33" t="n"/>
      <c r="Y1736" s="33" t="n"/>
      <c r="Z1736" s="33" t="n"/>
      <c r="AA1736" s="4">
        <f>R1736-G1736</f>
        <v/>
      </c>
      <c r="AB1736" s="4">
        <f>G1736-R1736</f>
        <v/>
      </c>
      <c r="AC1736" s="33" t="n"/>
    </row>
    <row r="1737" ht="18.75" customHeight="1">
      <c r="A1737" s="35">
        <f>SUBTOTAL(103,$B$24:B1737)</f>
        <v/>
      </c>
      <c r="B1737" s="36" t="inlineStr">
        <is>
          <t>Ваги настільні РНЗ-2</t>
        </is>
      </c>
      <c r="C1737" s="37" t="inlineStr">
        <is>
          <t>к-т</t>
        </is>
      </c>
      <c r="D1737" s="33" t="n"/>
      <c r="E1737" s="33" t="n"/>
      <c r="F1737" s="33">
        <f>E1737*0.05</f>
        <v/>
      </c>
      <c r="G1737" s="33">
        <f>E1737+F1737</f>
        <v/>
      </c>
      <c r="H1737" s="33" t="n"/>
      <c r="I1737" s="33" t="n"/>
      <c r="J1737" s="33" t="n"/>
      <c r="K1737" s="33">
        <f>L1737+M1737+N1737</f>
        <v/>
      </c>
      <c r="L1737" s="33" t="n"/>
      <c r="M1737" s="33" t="n"/>
      <c r="N1737" s="33" t="n"/>
      <c r="O1737" s="33">
        <f>P1737+Q1737</f>
        <v/>
      </c>
      <c r="P1737" s="33" t="n"/>
      <c r="Q1737" s="33" t="n"/>
      <c r="R1737" s="33">
        <f>H1737+K1737-O1737</f>
        <v/>
      </c>
      <c r="S1737" s="33" t="n"/>
      <c r="T1737" s="33" t="n"/>
      <c r="U1737" s="33" t="n"/>
      <c r="V1737" s="33" t="n"/>
      <c r="W1737" s="33" t="n"/>
      <c r="X1737" s="33" t="n"/>
      <c r="Y1737" s="33" t="n"/>
      <c r="Z1737" s="33" t="n"/>
      <c r="AA1737" s="4">
        <f>R1737-G1737</f>
        <v/>
      </c>
      <c r="AB1737" s="4">
        <f>G1737-R1737</f>
        <v/>
      </c>
      <c r="AC1737" s="33" t="n"/>
    </row>
    <row r="1738" ht="18.75" customHeight="1">
      <c r="A1738" s="35">
        <f>SUBTOTAL(103,$B$24:B1738)</f>
        <v/>
      </c>
      <c r="B1738" s="36" t="inlineStr">
        <is>
          <t>Ваги РП-15 Ш 13</t>
        </is>
      </c>
      <c r="C1738" s="37" t="inlineStr">
        <is>
          <t>к-т</t>
        </is>
      </c>
      <c r="D1738" s="33" t="n"/>
      <c r="E1738" s="33" t="n"/>
      <c r="F1738" s="33">
        <f>E1738*0.05</f>
        <v/>
      </c>
      <c r="G1738" s="33">
        <f>E1738+F1738</f>
        <v/>
      </c>
      <c r="H1738" s="33" t="n"/>
      <c r="I1738" s="33" t="n"/>
      <c r="J1738" s="33" t="n"/>
      <c r="K1738" s="33">
        <f>L1738+M1738+N1738</f>
        <v/>
      </c>
      <c r="L1738" s="33" t="n"/>
      <c r="M1738" s="33" t="n"/>
      <c r="N1738" s="33" t="n"/>
      <c r="O1738" s="33">
        <f>P1738+Q1738</f>
        <v/>
      </c>
      <c r="P1738" s="33" t="n"/>
      <c r="Q1738" s="33" t="n"/>
      <c r="R1738" s="33">
        <f>H1738+K1738-O1738</f>
        <v/>
      </c>
      <c r="S1738" s="33" t="n"/>
      <c r="T1738" s="33" t="n"/>
      <c r="U1738" s="33" t="n"/>
      <c r="V1738" s="33" t="n"/>
      <c r="W1738" s="33" t="n"/>
      <c r="X1738" s="33" t="n"/>
      <c r="Y1738" s="33" t="n"/>
      <c r="Z1738" s="33" t="n"/>
      <c r="AA1738" s="4">
        <f>R1738-G1738</f>
        <v/>
      </c>
      <c r="AB1738" s="4">
        <f>G1738-R1738</f>
        <v/>
      </c>
      <c r="AC1738" s="33" t="n"/>
    </row>
    <row r="1739" ht="18.75" customHeight="1">
      <c r="A1739" s="35">
        <f>SUBTOTAL(103,$B$24:B1739)</f>
        <v/>
      </c>
      <c r="B1739" s="36" t="inlineStr">
        <is>
          <t>Ваги підлогові</t>
        </is>
      </c>
      <c r="C1739" s="37" t="inlineStr">
        <is>
          <t>к-т</t>
        </is>
      </c>
      <c r="D1739" s="33" t="n"/>
      <c r="E1739" s="33" t="n"/>
      <c r="F1739" s="33">
        <f>E1739*0.05</f>
        <v/>
      </c>
      <c r="G1739" s="33">
        <f>E1739+F1739</f>
        <v/>
      </c>
      <c r="H1739" s="33" t="n"/>
      <c r="I1739" s="33" t="n"/>
      <c r="J1739" s="33" t="n"/>
      <c r="K1739" s="33">
        <f>L1739+M1739+N1739</f>
        <v/>
      </c>
      <c r="L1739" s="33" t="n"/>
      <c r="M1739" s="33" t="n"/>
      <c r="N1739" s="33" t="n"/>
      <c r="O1739" s="33">
        <f>P1739+Q1739</f>
        <v/>
      </c>
      <c r="P1739" s="33" t="n"/>
      <c r="Q1739" s="33" t="n"/>
      <c r="R1739" s="33">
        <f>H1739+K1739-O1739</f>
        <v/>
      </c>
      <c r="S1739" s="33" t="n"/>
      <c r="T1739" s="33" t="n"/>
      <c r="U1739" s="33" t="n"/>
      <c r="V1739" s="33" t="n"/>
      <c r="W1739" s="33" t="n"/>
      <c r="X1739" s="33" t="n"/>
      <c r="Y1739" s="33" t="n"/>
      <c r="Z1739" s="33" t="n"/>
      <c r="AA1739" s="4">
        <f>R1739-G1739</f>
        <v/>
      </c>
      <c r="AB1739" s="4">
        <f>G1739-R1739</f>
        <v/>
      </c>
      <c r="AC1739" s="33" t="n"/>
    </row>
    <row r="1740" ht="18.75" customHeight="1">
      <c r="A1740" s="35">
        <f>SUBTOTAL(103,$B$24:B1740)</f>
        <v/>
      </c>
      <c r="B1740" s="36" t="inlineStr">
        <is>
          <t>Ваги ричажні інші</t>
        </is>
      </c>
      <c r="C1740" s="37" t="inlineStr">
        <is>
          <t>к-т</t>
        </is>
      </c>
      <c r="D1740" s="33" t="n"/>
      <c r="E1740" s="33" t="n"/>
      <c r="F1740" s="33">
        <f>E1740*0.05</f>
        <v/>
      </c>
      <c r="G1740" s="33">
        <f>E1740+F1740</f>
        <v/>
      </c>
      <c r="H1740" s="33" t="n"/>
      <c r="I1740" s="33" t="n"/>
      <c r="J1740" s="33" t="n"/>
      <c r="K1740" s="33">
        <f>L1740+M1740+N1740</f>
        <v/>
      </c>
      <c r="L1740" s="33" t="n"/>
      <c r="M1740" s="33" t="n"/>
      <c r="N1740" s="33" t="n"/>
      <c r="O1740" s="33">
        <f>P1740+Q1740</f>
        <v/>
      </c>
      <c r="P1740" s="33" t="n"/>
      <c r="Q1740" s="33" t="n"/>
      <c r="R1740" s="33">
        <f>H1740+K1740-O1740</f>
        <v/>
      </c>
      <c r="S1740" s="33" t="n"/>
      <c r="T1740" s="33" t="n"/>
      <c r="U1740" s="33" t="n"/>
      <c r="V1740" s="33" t="n"/>
      <c r="W1740" s="33" t="n"/>
      <c r="X1740" s="33" t="n"/>
      <c r="Y1740" s="33" t="n"/>
      <c r="Z1740" s="33" t="n"/>
      <c r="AA1740" s="4">
        <f>R1740-G1740</f>
        <v/>
      </c>
      <c r="AB1740" s="4">
        <f>G1740-R1740</f>
        <v/>
      </c>
      <c r="AC1740" s="33" t="n"/>
    </row>
    <row r="1741" ht="18.75" customHeight="1">
      <c r="A1741" s="35">
        <f>SUBTOTAL(103,$B$24:B1741)</f>
        <v/>
      </c>
      <c r="B1741" s="36" t="inlineStr">
        <is>
          <t xml:space="preserve">Ваги товарні </t>
        </is>
      </c>
      <c r="C1741" s="37" t="inlineStr">
        <is>
          <t>к-т</t>
        </is>
      </c>
      <c r="D1741" s="33" t="n"/>
      <c r="E1741" s="33" t="n"/>
      <c r="F1741" s="33">
        <f>E1741*0.05</f>
        <v/>
      </c>
      <c r="G1741" s="33">
        <f>E1741+F1741</f>
        <v/>
      </c>
      <c r="H1741" s="33" t="n"/>
      <c r="I1741" s="33" t="n"/>
      <c r="J1741" s="33" t="n"/>
      <c r="K1741" s="33">
        <f>L1741+M1741+N1741</f>
        <v/>
      </c>
      <c r="L1741" s="33" t="n"/>
      <c r="M1741" s="33" t="n"/>
      <c r="N1741" s="33" t="n"/>
      <c r="O1741" s="33">
        <f>P1741+Q1741</f>
        <v/>
      </c>
      <c r="P1741" s="33" t="n"/>
      <c r="Q1741" s="33" t="n"/>
      <c r="R1741" s="33">
        <f>H1741+K1741-O1741</f>
        <v/>
      </c>
      <c r="S1741" s="33" t="n"/>
      <c r="T1741" s="33" t="n"/>
      <c r="U1741" s="33" t="n"/>
      <c r="V1741" s="33" t="n"/>
      <c r="W1741" s="33" t="n"/>
      <c r="X1741" s="33" t="n"/>
      <c r="Y1741" s="33" t="n"/>
      <c r="Z1741" s="33" t="n"/>
      <c r="AA1741" s="4">
        <f>R1741-G1741</f>
        <v/>
      </c>
      <c r="AB1741" s="4">
        <f>G1741-R1741</f>
        <v/>
      </c>
      <c r="AC1741" s="33" t="n"/>
    </row>
    <row r="1742" ht="18.75" customHeight="1">
      <c r="A1742" s="35">
        <f>SUBTOTAL(103,$B$24:B1742)</f>
        <v/>
      </c>
      <c r="B1742" s="36" t="inlineStr">
        <is>
          <t>Ваги товарні 100-150 кг</t>
        </is>
      </c>
      <c r="C1742" s="37" t="inlineStr">
        <is>
          <t>к-т</t>
        </is>
      </c>
      <c r="D1742" s="33" t="n"/>
      <c r="E1742" s="33" t="n"/>
      <c r="F1742" s="33">
        <f>E1742*0.05</f>
        <v/>
      </c>
      <c r="G1742" s="33">
        <f>E1742+F1742</f>
        <v/>
      </c>
      <c r="H1742" s="33" t="n"/>
      <c r="I1742" s="33" t="n"/>
      <c r="J1742" s="33" t="n"/>
      <c r="K1742" s="33">
        <f>L1742+M1742+N1742</f>
        <v/>
      </c>
      <c r="L1742" s="33" t="n"/>
      <c r="M1742" s="33" t="n"/>
      <c r="N1742" s="33" t="n"/>
      <c r="O1742" s="33">
        <f>P1742+Q1742</f>
        <v/>
      </c>
      <c r="P1742" s="33" t="n"/>
      <c r="Q1742" s="33" t="n"/>
      <c r="R1742" s="33">
        <f>H1742+K1742-O1742</f>
        <v/>
      </c>
      <c r="S1742" s="33" t="n"/>
      <c r="T1742" s="33" t="n"/>
      <c r="U1742" s="33" t="n"/>
      <c r="V1742" s="33" t="n"/>
      <c r="W1742" s="33" t="n"/>
      <c r="X1742" s="33" t="n"/>
      <c r="Y1742" s="33" t="n"/>
      <c r="Z1742" s="33" t="n"/>
      <c r="AA1742" s="4">
        <f>R1742-G1742</f>
        <v/>
      </c>
      <c r="AB1742" s="4">
        <f>G1742-R1742</f>
        <v/>
      </c>
      <c r="AC1742" s="33" t="n"/>
    </row>
    <row r="1743" ht="18.75" customHeight="1">
      <c r="A1743" s="35">
        <f>SUBTOTAL(103,$B$24:B1743)</f>
        <v/>
      </c>
      <c r="B1743" s="36" t="inlineStr">
        <is>
          <t>Ваги товарні 200 кг</t>
        </is>
      </c>
      <c r="C1743" s="37" t="inlineStr">
        <is>
          <t>к-т</t>
        </is>
      </c>
      <c r="D1743" s="33" t="n"/>
      <c r="E1743" s="33" t="n"/>
      <c r="F1743" s="33">
        <f>E1743*0.05</f>
        <v/>
      </c>
      <c r="G1743" s="33">
        <f>E1743+F1743</f>
        <v/>
      </c>
      <c r="H1743" s="33" t="n"/>
      <c r="I1743" s="33" t="n"/>
      <c r="J1743" s="33" t="n"/>
      <c r="K1743" s="33">
        <f>L1743+M1743+N1743</f>
        <v/>
      </c>
      <c r="L1743" s="33" t="n"/>
      <c r="M1743" s="33" t="n"/>
      <c r="N1743" s="33" t="n"/>
      <c r="O1743" s="33">
        <f>P1743+Q1743</f>
        <v/>
      </c>
      <c r="P1743" s="33" t="n"/>
      <c r="Q1743" s="33" t="n"/>
      <c r="R1743" s="33">
        <f>H1743+K1743-O1743</f>
        <v/>
      </c>
      <c r="S1743" s="33" t="n"/>
      <c r="T1743" s="33" t="n"/>
      <c r="U1743" s="33" t="n"/>
      <c r="V1743" s="33" t="n"/>
      <c r="W1743" s="33" t="n"/>
      <c r="X1743" s="33" t="n"/>
      <c r="Y1743" s="33" t="n"/>
      <c r="Z1743" s="33" t="n"/>
      <c r="AA1743" s="4">
        <f>R1743-G1743</f>
        <v/>
      </c>
      <c r="AB1743" s="4">
        <f>G1743-R1743</f>
        <v/>
      </c>
      <c r="AC1743" s="33" t="n"/>
    </row>
    <row r="1744" ht="18.75" customHeight="1">
      <c r="A1744" s="35">
        <f>SUBTOTAL(103,$B$24:B1744)</f>
        <v/>
      </c>
      <c r="B1744" s="36" t="inlineStr">
        <is>
          <t>Ваги товарні 500 кг</t>
        </is>
      </c>
      <c r="C1744" s="37" t="inlineStr">
        <is>
          <t>к-т</t>
        </is>
      </c>
      <c r="D1744" s="33" t="n"/>
      <c r="E1744" s="33" t="n"/>
      <c r="F1744" s="33">
        <f>E1744*0.05</f>
        <v/>
      </c>
      <c r="G1744" s="33">
        <f>E1744+F1744</f>
        <v/>
      </c>
      <c r="H1744" s="33" t="n"/>
      <c r="I1744" s="33" t="n"/>
      <c r="J1744" s="33" t="n"/>
      <c r="K1744" s="33">
        <f>L1744+M1744+N1744</f>
        <v/>
      </c>
      <c r="L1744" s="33" t="n"/>
      <c r="M1744" s="33" t="n"/>
      <c r="N1744" s="33" t="n"/>
      <c r="O1744" s="33">
        <f>P1744+Q1744</f>
        <v/>
      </c>
      <c r="P1744" s="33" t="n"/>
      <c r="Q1744" s="33" t="n"/>
      <c r="R1744" s="33">
        <f>H1744+K1744-O1744</f>
        <v/>
      </c>
      <c r="S1744" s="33" t="n"/>
      <c r="T1744" s="33" t="n"/>
      <c r="U1744" s="33" t="n"/>
      <c r="V1744" s="33" t="n"/>
      <c r="W1744" s="33" t="n"/>
      <c r="X1744" s="33" t="n"/>
      <c r="Y1744" s="33" t="n"/>
      <c r="Z1744" s="33" t="n"/>
      <c r="AA1744" s="4">
        <f>R1744-G1744</f>
        <v/>
      </c>
      <c r="AB1744" s="4">
        <f>G1744-R1744</f>
        <v/>
      </c>
      <c r="AC1744" s="33" t="n"/>
    </row>
    <row r="1745" ht="18.75" customHeight="1">
      <c r="A1745" s="35">
        <f>SUBTOTAL(103,$B$24:B1745)</f>
        <v/>
      </c>
      <c r="B1745" s="36" t="inlineStr">
        <is>
          <t>Ваги товарні складні 500 кг</t>
        </is>
      </c>
      <c r="C1745" s="37" t="inlineStr">
        <is>
          <t>к-т</t>
        </is>
      </c>
      <c r="D1745" s="33" t="n"/>
      <c r="E1745" s="33" t="n"/>
      <c r="F1745" s="33">
        <f>E1745*0.05</f>
        <v/>
      </c>
      <c r="G1745" s="33">
        <f>E1745+F1745</f>
        <v/>
      </c>
      <c r="H1745" s="33" t="n"/>
      <c r="I1745" s="33" t="n"/>
      <c r="J1745" s="33" t="n"/>
      <c r="K1745" s="33">
        <f>L1745+M1745+N1745</f>
        <v/>
      </c>
      <c r="L1745" s="33" t="n"/>
      <c r="M1745" s="33" t="n"/>
      <c r="N1745" s="33" t="n"/>
      <c r="O1745" s="33">
        <f>P1745+Q1745</f>
        <v/>
      </c>
      <c r="P1745" s="33" t="n"/>
      <c r="Q1745" s="33" t="n"/>
      <c r="R1745" s="33">
        <f>H1745+K1745-O1745</f>
        <v/>
      </c>
      <c r="S1745" s="33" t="n"/>
      <c r="T1745" s="33" t="n"/>
      <c r="U1745" s="33" t="n"/>
      <c r="V1745" s="33" t="n"/>
      <c r="W1745" s="33" t="n"/>
      <c r="X1745" s="33" t="n"/>
      <c r="Y1745" s="33" t="n"/>
      <c r="Z1745" s="33" t="n"/>
      <c r="AA1745" s="4">
        <f>R1745-G1745</f>
        <v/>
      </c>
      <c r="AB1745" s="4">
        <f>G1745-R1745</f>
        <v/>
      </c>
      <c r="AC1745" s="33" t="n"/>
    </row>
    <row r="1746" ht="18.75" customHeight="1">
      <c r="A1746" s="35">
        <f>SUBTOTAL(103,$B$24:B1746)</f>
        <v/>
      </c>
      <c r="B1746" s="36" t="inlineStr">
        <is>
          <t>Ваги ВПГ 500 кг</t>
        </is>
      </c>
      <c r="C1746" s="37" t="inlineStr">
        <is>
          <t>к-т</t>
        </is>
      </c>
      <c r="D1746" s="33" t="n"/>
      <c r="E1746" s="33" t="n"/>
      <c r="F1746" s="33">
        <f>E1746*0.05</f>
        <v/>
      </c>
      <c r="G1746" s="33">
        <f>E1746+F1746</f>
        <v/>
      </c>
      <c r="H1746" s="33" t="n"/>
      <c r="I1746" s="33" t="n"/>
      <c r="J1746" s="33" t="n"/>
      <c r="K1746" s="33">
        <f>L1746+M1746+N1746</f>
        <v/>
      </c>
      <c r="L1746" s="33" t="n"/>
      <c r="M1746" s="33" t="n"/>
      <c r="N1746" s="33" t="n"/>
      <c r="O1746" s="33">
        <f>P1746+Q1746</f>
        <v/>
      </c>
      <c r="P1746" s="33" t="n"/>
      <c r="Q1746" s="33" t="n"/>
      <c r="R1746" s="33">
        <f>H1746+K1746-O1746</f>
        <v/>
      </c>
      <c r="S1746" s="33" t="n"/>
      <c r="T1746" s="33" t="n"/>
      <c r="U1746" s="33" t="n"/>
      <c r="V1746" s="33" t="n"/>
      <c r="W1746" s="33" t="n"/>
      <c r="X1746" s="33" t="n"/>
      <c r="Y1746" s="33" t="n"/>
      <c r="Z1746" s="33" t="n"/>
      <c r="AA1746" s="4">
        <f>R1746-G1746</f>
        <v/>
      </c>
      <c r="AB1746" s="4">
        <f>G1746-R1746</f>
        <v/>
      </c>
      <c r="AC1746" s="33" t="n"/>
    </row>
    <row r="1747" ht="18.75" customHeight="1">
      <c r="A1747" s="35">
        <f>SUBTOTAL(103,$B$24:B1747)</f>
        <v/>
      </c>
      <c r="B1747" s="36" t="inlineStr">
        <is>
          <t>Ваги товарні "ШСВ-500"</t>
        </is>
      </c>
      <c r="C1747" s="37" t="inlineStr">
        <is>
          <t>к-т</t>
        </is>
      </c>
      <c r="D1747" s="33" t="n"/>
      <c r="E1747" s="33" t="n"/>
      <c r="F1747" s="33">
        <f>E1747*0.05</f>
        <v/>
      </c>
      <c r="G1747" s="33">
        <f>E1747+F1747</f>
        <v/>
      </c>
      <c r="H1747" s="33" t="n"/>
      <c r="I1747" s="33" t="n"/>
      <c r="J1747" s="33" t="n"/>
      <c r="K1747" s="33">
        <f>L1747+M1747+N1747</f>
        <v/>
      </c>
      <c r="L1747" s="33" t="n"/>
      <c r="M1747" s="33" t="n"/>
      <c r="N1747" s="33" t="n"/>
      <c r="O1747" s="33">
        <f>P1747+Q1747</f>
        <v/>
      </c>
      <c r="P1747" s="33" t="n"/>
      <c r="Q1747" s="33" t="n"/>
      <c r="R1747" s="33">
        <f>H1747+K1747-O1747</f>
        <v/>
      </c>
      <c r="S1747" s="33" t="n"/>
      <c r="T1747" s="33" t="n"/>
      <c r="U1747" s="33" t="n"/>
      <c r="V1747" s="33" t="n"/>
      <c r="W1747" s="33" t="n"/>
      <c r="X1747" s="33" t="n"/>
      <c r="Y1747" s="33" t="n"/>
      <c r="Z1747" s="33" t="n"/>
      <c r="AA1747" s="4">
        <f>R1747-G1747</f>
        <v/>
      </c>
      <c r="AB1747" s="4">
        <f>G1747-R1747</f>
        <v/>
      </c>
      <c r="AC1747" s="33" t="n"/>
    </row>
    <row r="1748" ht="18.75" customHeight="1">
      <c r="A1748" s="35">
        <f>SUBTOTAL(103,$B$24:B1748)</f>
        <v/>
      </c>
      <c r="B1748" s="36" t="inlineStr">
        <is>
          <t>Ваги товарні ВСПС-500 кг</t>
        </is>
      </c>
      <c r="C1748" s="37" t="inlineStr">
        <is>
          <t>к-т</t>
        </is>
      </c>
      <c r="D1748" s="33" t="n"/>
      <c r="E1748" s="33" t="n"/>
      <c r="F1748" s="33">
        <f>E1748*0.05</f>
        <v/>
      </c>
      <c r="G1748" s="33">
        <f>E1748+F1748</f>
        <v/>
      </c>
      <c r="H1748" s="33" t="n"/>
      <c r="I1748" s="33" t="n"/>
      <c r="J1748" s="33" t="n"/>
      <c r="K1748" s="33">
        <f>L1748+M1748+N1748</f>
        <v/>
      </c>
      <c r="L1748" s="33" t="n"/>
      <c r="M1748" s="33" t="n"/>
      <c r="N1748" s="33" t="n"/>
      <c r="O1748" s="33">
        <f>P1748+Q1748</f>
        <v/>
      </c>
      <c r="P1748" s="33" t="n"/>
      <c r="Q1748" s="33" t="n"/>
      <c r="R1748" s="33">
        <f>H1748+K1748-O1748</f>
        <v/>
      </c>
      <c r="S1748" s="33" t="n"/>
      <c r="T1748" s="33" t="n"/>
      <c r="U1748" s="33" t="n"/>
      <c r="V1748" s="33" t="n"/>
      <c r="W1748" s="33" t="n"/>
      <c r="X1748" s="33" t="n"/>
      <c r="Y1748" s="33" t="n"/>
      <c r="Z1748" s="33" t="n"/>
      <c r="AA1748" s="4">
        <f>R1748-G1748</f>
        <v/>
      </c>
      <c r="AB1748" s="4">
        <f>G1748-R1748</f>
        <v/>
      </c>
      <c r="AC1748" s="33" t="n"/>
    </row>
    <row r="1749" ht="18.75" customHeight="1">
      <c r="A1749" s="35">
        <f>SUBTOTAL(103,$B$24:B1749)</f>
        <v/>
      </c>
      <c r="B1749" s="36" t="inlineStr">
        <is>
          <t>Ваги товарні РП-1У-13</t>
        </is>
      </c>
      <c r="C1749" s="37" t="inlineStr">
        <is>
          <t>к-т</t>
        </is>
      </c>
      <c r="D1749" s="33" t="n"/>
      <c r="E1749" s="33" t="n"/>
      <c r="F1749" s="33">
        <f>E1749*0.05</f>
        <v/>
      </c>
      <c r="G1749" s="33">
        <f>E1749+F1749</f>
        <v/>
      </c>
      <c r="H1749" s="33" t="n"/>
      <c r="I1749" s="33" t="n"/>
      <c r="J1749" s="33" t="n"/>
      <c r="K1749" s="33">
        <f>L1749+M1749+N1749</f>
        <v/>
      </c>
      <c r="L1749" s="33" t="n"/>
      <c r="M1749" s="33" t="n"/>
      <c r="N1749" s="33" t="n"/>
      <c r="O1749" s="33">
        <f>P1749+Q1749</f>
        <v/>
      </c>
      <c r="P1749" s="33" t="n"/>
      <c r="Q1749" s="33" t="n"/>
      <c r="R1749" s="33">
        <f>H1749+K1749-O1749</f>
        <v/>
      </c>
      <c r="S1749" s="33" t="n"/>
      <c r="T1749" s="33" t="n"/>
      <c r="U1749" s="33" t="n"/>
      <c r="V1749" s="33" t="n"/>
      <c r="W1749" s="33" t="n"/>
      <c r="X1749" s="33" t="n"/>
      <c r="Y1749" s="33" t="n"/>
      <c r="Z1749" s="33" t="n"/>
      <c r="AA1749" s="4">
        <f>R1749-G1749</f>
        <v/>
      </c>
      <c r="AB1749" s="4">
        <f>G1749-R1749</f>
        <v/>
      </c>
      <c r="AC1749" s="33" t="n"/>
    </row>
    <row r="1750" ht="18.75" customHeight="1">
      <c r="A1750" s="35">
        <f>SUBTOTAL(103,$B$24:B1750)</f>
        <v/>
      </c>
      <c r="B1750" s="36" t="inlineStr">
        <is>
          <t xml:space="preserve">Ваги товарні РП-100 кг </t>
        </is>
      </c>
      <c r="C1750" s="37" t="inlineStr">
        <is>
          <t>к-т</t>
        </is>
      </c>
      <c r="D1750" s="33" t="n"/>
      <c r="E1750" s="33" t="n"/>
      <c r="F1750" s="33">
        <f>E1750*0.05</f>
        <v/>
      </c>
      <c r="G1750" s="33">
        <f>E1750+F1750</f>
        <v/>
      </c>
      <c r="H1750" s="33" t="n"/>
      <c r="I1750" s="33" t="n"/>
      <c r="J1750" s="33" t="n"/>
      <c r="K1750" s="33">
        <f>L1750+M1750+N1750</f>
        <v/>
      </c>
      <c r="L1750" s="33" t="n"/>
      <c r="M1750" s="33" t="n"/>
      <c r="N1750" s="33" t="n"/>
      <c r="O1750" s="33">
        <f>P1750+Q1750</f>
        <v/>
      </c>
      <c r="P1750" s="33" t="n"/>
      <c r="Q1750" s="33" t="n"/>
      <c r="R1750" s="33">
        <f>H1750+K1750-O1750</f>
        <v/>
      </c>
      <c r="S1750" s="33" t="n"/>
      <c r="T1750" s="33" t="n"/>
      <c r="U1750" s="33" t="n"/>
      <c r="V1750" s="33" t="n"/>
      <c r="W1750" s="33" t="n"/>
      <c r="X1750" s="33" t="n"/>
      <c r="Y1750" s="33" t="n"/>
      <c r="Z1750" s="33" t="n"/>
      <c r="AA1750" s="4">
        <f>R1750-G1750</f>
        <v/>
      </c>
      <c r="AB1750" s="4">
        <f>G1750-R1750</f>
        <v/>
      </c>
      <c r="AC1750" s="33" t="n"/>
    </row>
    <row r="1751" ht="18.75" customHeight="1">
      <c r="A1751" s="35">
        <f>SUBTOTAL(103,$B$24:B1751)</f>
        <v/>
      </c>
      <c r="B1751" s="36" t="inlineStr">
        <is>
          <t>Ваги РП-200</t>
        </is>
      </c>
      <c r="C1751" s="37" t="inlineStr">
        <is>
          <t>к-т</t>
        </is>
      </c>
      <c r="D1751" s="33" t="n"/>
      <c r="E1751" s="33" t="n"/>
      <c r="F1751" s="33">
        <f>E1751*0.05</f>
        <v/>
      </c>
      <c r="G1751" s="33">
        <f>E1751+F1751</f>
        <v/>
      </c>
      <c r="H1751" s="33" t="n"/>
      <c r="I1751" s="33" t="n"/>
      <c r="J1751" s="33" t="n"/>
      <c r="K1751" s="33">
        <f>L1751+M1751+N1751</f>
        <v/>
      </c>
      <c r="L1751" s="33" t="n"/>
      <c r="M1751" s="33" t="n"/>
      <c r="N1751" s="33" t="n"/>
      <c r="O1751" s="33">
        <f>P1751+Q1751</f>
        <v/>
      </c>
      <c r="P1751" s="33" t="n"/>
      <c r="Q1751" s="33" t="n"/>
      <c r="R1751" s="33">
        <f>H1751+K1751-O1751</f>
        <v/>
      </c>
      <c r="S1751" s="33" t="n"/>
      <c r="T1751" s="33" t="n"/>
      <c r="U1751" s="33" t="n"/>
      <c r="V1751" s="33" t="n"/>
      <c r="W1751" s="33" t="n"/>
      <c r="X1751" s="33" t="n"/>
      <c r="Y1751" s="33" t="n"/>
      <c r="Z1751" s="33" t="n"/>
      <c r="AA1751" s="4">
        <f>R1751-G1751</f>
        <v/>
      </c>
      <c r="AB1751" s="4">
        <f>G1751-R1751</f>
        <v/>
      </c>
      <c r="AC1751" s="33" t="n"/>
    </row>
    <row r="1752" ht="18.75" customHeight="1">
      <c r="A1752" s="35">
        <f>SUBTOTAL(103,$B$24:B1752)</f>
        <v/>
      </c>
      <c r="B1752" s="36" t="inlineStr">
        <is>
          <t>Ваги РП-100 Ш 13</t>
        </is>
      </c>
      <c r="C1752" s="37" t="inlineStr">
        <is>
          <t>к-т</t>
        </is>
      </c>
      <c r="D1752" s="33" t="n"/>
      <c r="E1752" s="33" t="n"/>
      <c r="F1752" s="33">
        <f>E1752*0.05</f>
        <v/>
      </c>
      <c r="G1752" s="33">
        <f>E1752+F1752</f>
        <v/>
      </c>
      <c r="H1752" s="33" t="n"/>
      <c r="I1752" s="33" t="n"/>
      <c r="J1752" s="33" t="n"/>
      <c r="K1752" s="33">
        <f>L1752+M1752+N1752</f>
        <v/>
      </c>
      <c r="L1752" s="33" t="n"/>
      <c r="M1752" s="33" t="n"/>
      <c r="N1752" s="33" t="n"/>
      <c r="O1752" s="33">
        <f>P1752+Q1752</f>
        <v/>
      </c>
      <c r="P1752" s="33" t="n"/>
      <c r="Q1752" s="33" t="n"/>
      <c r="R1752" s="33">
        <f>H1752+K1752-O1752</f>
        <v/>
      </c>
      <c r="S1752" s="33" t="n"/>
      <c r="T1752" s="33" t="n"/>
      <c r="U1752" s="33" t="n"/>
      <c r="V1752" s="33" t="n"/>
      <c r="W1752" s="33" t="n"/>
      <c r="X1752" s="33" t="n"/>
      <c r="Y1752" s="33" t="n"/>
      <c r="Z1752" s="33" t="n"/>
      <c r="AA1752" s="4">
        <f>R1752-G1752</f>
        <v/>
      </c>
      <c r="AB1752" s="4">
        <f>G1752-R1752</f>
        <v/>
      </c>
      <c r="AC1752" s="33" t="n"/>
    </row>
    <row r="1753" ht="18.75" customHeight="1">
      <c r="A1753" s="35">
        <f>SUBTOTAL(103,$B$24:B1753)</f>
        <v/>
      </c>
      <c r="B1753" s="36" t="inlineStr">
        <is>
          <t>Ваги РП-15 Ш13</t>
        </is>
      </c>
      <c r="C1753" s="37" t="inlineStr">
        <is>
          <t>к-т</t>
        </is>
      </c>
      <c r="D1753" s="33" t="n"/>
      <c r="E1753" s="33" t="n"/>
      <c r="F1753" s="33">
        <f>E1753*0.05</f>
        <v/>
      </c>
      <c r="G1753" s="33">
        <f>E1753+F1753</f>
        <v/>
      </c>
      <c r="H1753" s="33" t="n"/>
      <c r="I1753" s="33" t="n"/>
      <c r="J1753" s="33" t="n"/>
      <c r="K1753" s="33">
        <f>L1753+M1753+N1753</f>
        <v/>
      </c>
      <c r="L1753" s="33" t="n"/>
      <c r="M1753" s="33" t="n"/>
      <c r="N1753" s="33" t="n"/>
      <c r="O1753" s="33">
        <f>P1753+Q1753</f>
        <v/>
      </c>
      <c r="P1753" s="33" t="n"/>
      <c r="Q1753" s="33" t="n"/>
      <c r="R1753" s="33">
        <f>H1753+K1753-O1753</f>
        <v/>
      </c>
      <c r="S1753" s="33" t="n"/>
      <c r="T1753" s="33" t="n"/>
      <c r="U1753" s="33" t="n"/>
      <c r="V1753" s="33" t="n"/>
      <c r="W1753" s="33" t="n"/>
      <c r="X1753" s="33" t="n"/>
      <c r="Y1753" s="33" t="n"/>
      <c r="Z1753" s="33" t="n"/>
      <c r="AA1753" s="4">
        <f>R1753-G1753</f>
        <v/>
      </c>
      <c r="AB1753" s="4">
        <f>G1753-R1753</f>
        <v/>
      </c>
      <c r="AC1753" s="33" t="n"/>
    </row>
    <row r="1754" ht="18.75" customHeight="1">
      <c r="A1754" s="35">
        <f>SUBTOTAL(103,$B$24:B1754)</f>
        <v/>
      </c>
      <c r="B1754" s="36" t="inlineStr">
        <is>
          <t>Ваги польові ричажні РП-10</t>
        </is>
      </c>
      <c r="C1754" s="37" t="inlineStr">
        <is>
          <t>к-т</t>
        </is>
      </c>
      <c r="D1754" s="33" t="n"/>
      <c r="E1754" s="33" t="n"/>
      <c r="F1754" s="33">
        <f>E1754*0.05</f>
        <v/>
      </c>
      <c r="G1754" s="33">
        <f>E1754+F1754</f>
        <v/>
      </c>
      <c r="H1754" s="33" t="n"/>
      <c r="I1754" s="33" t="n"/>
      <c r="J1754" s="33" t="n"/>
      <c r="K1754" s="33">
        <f>L1754+M1754+N1754</f>
        <v/>
      </c>
      <c r="L1754" s="33" t="n"/>
      <c r="M1754" s="33" t="n"/>
      <c r="N1754" s="33" t="n"/>
      <c r="O1754" s="33">
        <f>P1754+Q1754</f>
        <v/>
      </c>
      <c r="P1754" s="33" t="n"/>
      <c r="Q1754" s="33" t="n"/>
      <c r="R1754" s="33">
        <f>H1754+K1754-O1754</f>
        <v/>
      </c>
      <c r="S1754" s="33" t="n"/>
      <c r="T1754" s="33" t="n"/>
      <c r="U1754" s="33" t="n"/>
      <c r="V1754" s="33" t="n"/>
      <c r="W1754" s="33" t="n"/>
      <c r="X1754" s="33" t="n"/>
      <c r="Y1754" s="33" t="n"/>
      <c r="Z1754" s="33" t="n"/>
      <c r="AA1754" s="4">
        <f>R1754-G1754</f>
        <v/>
      </c>
      <c r="AB1754" s="4">
        <f>G1754-R1754</f>
        <v/>
      </c>
      <c r="AC1754" s="33" t="n"/>
    </row>
    <row r="1755" ht="18.75" customHeight="1">
      <c r="A1755" s="35">
        <f>SUBTOTAL(103,$B$24:B1755)</f>
        <v/>
      </c>
      <c r="B1755" s="36" t="inlineStr">
        <is>
          <t>Ваги ВН-300</t>
        </is>
      </c>
      <c r="C1755" s="37" t="inlineStr">
        <is>
          <t>к-т</t>
        </is>
      </c>
      <c r="D1755" s="33" t="n"/>
      <c r="E1755" s="33" t="n"/>
      <c r="F1755" s="33">
        <f>E1755*0.05</f>
        <v/>
      </c>
      <c r="G1755" s="33">
        <f>E1755+F1755</f>
        <v/>
      </c>
      <c r="H1755" s="33" t="n"/>
      <c r="I1755" s="33" t="n"/>
      <c r="J1755" s="33" t="n"/>
      <c r="K1755" s="33">
        <f>L1755+M1755+N1755</f>
        <v/>
      </c>
      <c r="L1755" s="33" t="n"/>
      <c r="M1755" s="33" t="n"/>
      <c r="N1755" s="33" t="n"/>
      <c r="O1755" s="33">
        <f>P1755+Q1755</f>
        <v/>
      </c>
      <c r="P1755" s="33" t="n"/>
      <c r="Q1755" s="33" t="n"/>
      <c r="R1755" s="33">
        <f>H1755+K1755-O1755</f>
        <v/>
      </c>
      <c r="S1755" s="33" t="n"/>
      <c r="T1755" s="33" t="n"/>
      <c r="U1755" s="33" t="n"/>
      <c r="V1755" s="33" t="n"/>
      <c r="W1755" s="33" t="n"/>
      <c r="X1755" s="33" t="n"/>
      <c r="Y1755" s="33" t="n"/>
      <c r="Z1755" s="33" t="n"/>
      <c r="AA1755" s="4">
        <f>R1755-G1755</f>
        <v/>
      </c>
      <c r="AB1755" s="4">
        <f>G1755-R1755</f>
        <v/>
      </c>
      <c r="AC1755" s="33" t="n"/>
    </row>
    <row r="1756" ht="18.75" customHeight="1">
      <c r="A1756" s="35">
        <f>SUBTOTAL(103,$B$24:B1756)</f>
        <v/>
      </c>
      <c r="B1756" s="36" t="inlineStr">
        <is>
          <t>Ваги товарні 800 кг</t>
        </is>
      </c>
      <c r="C1756" s="37" t="inlineStr">
        <is>
          <t>к-т</t>
        </is>
      </c>
      <c r="D1756" s="33" t="n"/>
      <c r="E1756" s="33" t="n"/>
      <c r="F1756" s="33">
        <f>E1756*0.05</f>
        <v/>
      </c>
      <c r="G1756" s="33">
        <f>E1756+F1756</f>
        <v/>
      </c>
      <c r="H1756" s="33" t="n"/>
      <c r="I1756" s="33" t="n"/>
      <c r="J1756" s="33" t="n"/>
      <c r="K1756" s="33">
        <f>L1756+M1756+N1756</f>
        <v/>
      </c>
      <c r="L1756" s="33" t="n"/>
      <c r="M1756" s="33" t="n"/>
      <c r="N1756" s="33" t="n"/>
      <c r="O1756" s="33">
        <f>P1756+Q1756</f>
        <v/>
      </c>
      <c r="P1756" s="33" t="n"/>
      <c r="Q1756" s="33" t="n"/>
      <c r="R1756" s="33">
        <f>H1756+K1756-O1756</f>
        <v/>
      </c>
      <c r="S1756" s="33" t="n"/>
      <c r="T1756" s="33" t="n"/>
      <c r="U1756" s="33" t="n"/>
      <c r="V1756" s="33" t="n"/>
      <c r="W1756" s="33" t="n"/>
      <c r="X1756" s="33" t="n"/>
      <c r="Y1756" s="33" t="n"/>
      <c r="Z1756" s="33" t="n"/>
      <c r="AA1756" s="4">
        <f>R1756-G1756</f>
        <v/>
      </c>
      <c r="AB1756" s="4">
        <f>G1756-R1756</f>
        <v/>
      </c>
      <c r="AC1756" s="33" t="n"/>
    </row>
    <row r="1757" ht="18.75" customHeight="1">
      <c r="A1757" s="35">
        <f>SUBTOTAL(103,$B$24:B1757)</f>
        <v/>
      </c>
      <c r="B1757" s="36" t="inlineStr">
        <is>
          <t>Ваги товарні 1000 кг</t>
        </is>
      </c>
      <c r="C1757" s="37" t="inlineStr">
        <is>
          <t>к-т</t>
        </is>
      </c>
      <c r="D1757" s="33" t="n"/>
      <c r="E1757" s="33" t="n"/>
      <c r="F1757" s="33">
        <f>E1757*0.05</f>
        <v/>
      </c>
      <c r="G1757" s="33">
        <f>E1757+F1757</f>
        <v/>
      </c>
      <c r="H1757" s="33" t="n"/>
      <c r="I1757" s="33" t="n"/>
      <c r="J1757" s="33" t="n"/>
      <c r="K1757" s="33">
        <f>L1757+M1757+N1757</f>
        <v/>
      </c>
      <c r="L1757" s="33" t="n"/>
      <c r="M1757" s="33" t="n"/>
      <c r="N1757" s="33" t="n"/>
      <c r="O1757" s="33">
        <f>P1757+Q1757</f>
        <v/>
      </c>
      <c r="P1757" s="33" t="n"/>
      <c r="Q1757" s="33" t="n"/>
      <c r="R1757" s="33">
        <f>H1757+K1757-O1757</f>
        <v/>
      </c>
      <c r="S1757" s="33" t="n"/>
      <c r="T1757" s="33" t="n"/>
      <c r="U1757" s="33" t="n"/>
      <c r="V1757" s="33" t="n"/>
      <c r="W1757" s="33" t="n"/>
      <c r="X1757" s="33" t="n"/>
      <c r="Y1757" s="33" t="n"/>
      <c r="Z1757" s="33" t="n"/>
      <c r="AA1757" s="4">
        <f>R1757-G1757</f>
        <v/>
      </c>
      <c r="AB1757" s="4">
        <f>G1757-R1757</f>
        <v/>
      </c>
      <c r="AC1757" s="33" t="n"/>
    </row>
    <row r="1758" ht="18.75" customHeight="1">
      <c r="A1758" s="35">
        <f>SUBTOTAL(103,$B$24:B1758)</f>
        <v/>
      </c>
      <c r="B1758" s="36" t="inlineStr">
        <is>
          <t>Ваги товарні 2000 кг</t>
        </is>
      </c>
      <c r="C1758" s="37" t="inlineStr">
        <is>
          <t>к-т</t>
        </is>
      </c>
      <c r="D1758" s="33" t="n"/>
      <c r="E1758" s="33" t="n"/>
      <c r="F1758" s="33">
        <f>E1758*0.05</f>
        <v/>
      </c>
      <c r="G1758" s="33">
        <f>E1758+F1758</f>
        <v/>
      </c>
      <c r="H1758" s="33" t="n"/>
      <c r="I1758" s="33" t="n"/>
      <c r="J1758" s="33" t="n"/>
      <c r="K1758" s="33">
        <f>L1758+M1758+N1758</f>
        <v/>
      </c>
      <c r="L1758" s="33" t="n"/>
      <c r="M1758" s="33" t="n"/>
      <c r="N1758" s="33" t="n"/>
      <c r="O1758" s="33">
        <f>P1758+Q1758</f>
        <v/>
      </c>
      <c r="P1758" s="33" t="n"/>
      <c r="Q1758" s="33" t="n"/>
      <c r="R1758" s="33">
        <f>H1758+K1758-O1758</f>
        <v/>
      </c>
      <c r="S1758" s="33" t="n"/>
      <c r="T1758" s="33" t="n"/>
      <c r="U1758" s="33" t="n"/>
      <c r="V1758" s="33" t="n"/>
      <c r="W1758" s="33" t="n"/>
      <c r="X1758" s="33" t="n"/>
      <c r="Y1758" s="33" t="n"/>
      <c r="Z1758" s="33" t="n"/>
      <c r="AA1758" s="4">
        <f>R1758-G1758</f>
        <v/>
      </c>
      <c r="AB1758" s="4">
        <f>G1758-R1758</f>
        <v/>
      </c>
      <c r="AC1758" s="33" t="n"/>
    </row>
    <row r="1759" ht="18.75" customHeight="1">
      <c r="A1759" s="35">
        <f>SUBTOTAL(103,$B$24:B1759)</f>
        <v/>
      </c>
      <c r="B1759" s="36" t="inlineStr">
        <is>
          <t>Ваги товарні 3000 кг</t>
        </is>
      </c>
      <c r="C1759" s="37" t="inlineStr">
        <is>
          <t>к-т</t>
        </is>
      </c>
      <c r="D1759" s="33" t="n"/>
      <c r="E1759" s="33" t="n"/>
      <c r="F1759" s="33">
        <f>E1759*0.05</f>
        <v/>
      </c>
      <c r="G1759" s="33">
        <f>E1759+F1759</f>
        <v/>
      </c>
      <c r="H1759" s="33" t="n"/>
      <c r="I1759" s="33" t="n"/>
      <c r="J1759" s="33" t="n"/>
      <c r="K1759" s="33">
        <f>L1759+M1759+N1759</f>
        <v/>
      </c>
      <c r="L1759" s="33" t="n"/>
      <c r="M1759" s="33" t="n"/>
      <c r="N1759" s="33" t="n"/>
      <c r="O1759" s="33">
        <f>P1759+Q1759</f>
        <v/>
      </c>
      <c r="P1759" s="33" t="n"/>
      <c r="Q1759" s="33" t="n"/>
      <c r="R1759" s="33">
        <f>H1759+K1759-O1759</f>
        <v/>
      </c>
      <c r="S1759" s="33" t="n"/>
      <c r="T1759" s="33" t="n"/>
      <c r="U1759" s="33" t="n"/>
      <c r="V1759" s="33" t="n"/>
      <c r="W1759" s="33" t="n"/>
      <c r="X1759" s="33" t="n"/>
      <c r="Y1759" s="33" t="n"/>
      <c r="Z1759" s="33" t="n"/>
      <c r="AA1759" s="4">
        <f>R1759-G1759</f>
        <v/>
      </c>
      <c r="AB1759" s="4">
        <f>G1759-R1759</f>
        <v/>
      </c>
      <c r="AC1759" s="33" t="n"/>
    </row>
    <row r="1760" ht="18.75" customHeight="1">
      <c r="A1760" s="35">
        <f>SUBTOTAL(103,$B$24:B1760)</f>
        <v/>
      </c>
      <c r="B1760" s="36" t="inlineStr">
        <is>
          <t>Ваги товарні інші</t>
        </is>
      </c>
      <c r="C1760" s="37" t="inlineStr">
        <is>
          <t>к-т</t>
        </is>
      </c>
      <c r="D1760" s="33" t="n"/>
      <c r="E1760" s="33" t="n"/>
      <c r="F1760" s="33">
        <f>E1760*0.05</f>
        <v/>
      </c>
      <c r="G1760" s="33">
        <f>E1760+F1760</f>
        <v/>
      </c>
      <c r="H1760" s="33" t="n"/>
      <c r="I1760" s="33" t="n"/>
      <c r="J1760" s="33" t="n"/>
      <c r="K1760" s="33">
        <f>L1760+M1760+N1760</f>
        <v/>
      </c>
      <c r="L1760" s="33" t="n"/>
      <c r="M1760" s="33" t="n"/>
      <c r="N1760" s="33" t="n"/>
      <c r="O1760" s="33">
        <f>P1760+Q1760</f>
        <v/>
      </c>
      <c r="P1760" s="33" t="n"/>
      <c r="Q1760" s="33" t="n"/>
      <c r="R1760" s="33">
        <f>H1760+K1760-O1760</f>
        <v/>
      </c>
      <c r="S1760" s="33" t="n"/>
      <c r="T1760" s="33" t="n"/>
      <c r="U1760" s="33" t="n"/>
      <c r="V1760" s="33" t="n"/>
      <c r="W1760" s="33" t="n"/>
      <c r="X1760" s="33" t="n"/>
      <c r="Y1760" s="33" t="n"/>
      <c r="Z1760" s="33" t="n"/>
      <c r="AA1760" s="4">
        <f>R1760-G1760</f>
        <v/>
      </c>
      <c r="AB1760" s="4">
        <f>G1760-R1760</f>
        <v/>
      </c>
      <c r="AC1760" s="33" t="n"/>
    </row>
    <row r="1761" ht="18.75" customHeight="1">
      <c r="A1761" s="35">
        <f>SUBTOTAL(103,$B$24:B1761)</f>
        <v/>
      </c>
      <c r="B1761" s="36" t="inlineStr">
        <is>
          <t>Ваги технічні</t>
        </is>
      </c>
      <c r="C1761" s="37" t="inlineStr">
        <is>
          <t>к-т</t>
        </is>
      </c>
      <c r="D1761" s="33" t="n"/>
      <c r="E1761" s="33" t="n"/>
      <c r="F1761" s="33">
        <f>E1761*0.05</f>
        <v/>
      </c>
      <c r="G1761" s="33">
        <f>E1761+F1761</f>
        <v/>
      </c>
      <c r="H1761" s="33" t="n"/>
      <c r="I1761" s="33" t="n"/>
      <c r="J1761" s="33" t="n"/>
      <c r="K1761" s="33">
        <f>L1761+M1761+N1761</f>
        <v/>
      </c>
      <c r="L1761" s="33" t="n"/>
      <c r="M1761" s="33" t="n"/>
      <c r="N1761" s="33" t="n"/>
      <c r="O1761" s="33">
        <f>P1761+Q1761</f>
        <v/>
      </c>
      <c r="P1761" s="33" t="n"/>
      <c r="Q1761" s="33" t="n"/>
      <c r="R1761" s="33">
        <f>H1761+K1761-O1761</f>
        <v/>
      </c>
      <c r="S1761" s="33" t="n"/>
      <c r="T1761" s="33" t="n"/>
      <c r="U1761" s="33" t="n"/>
      <c r="V1761" s="33" t="n"/>
      <c r="W1761" s="33" t="n"/>
      <c r="X1761" s="33" t="n"/>
      <c r="Y1761" s="33" t="n"/>
      <c r="Z1761" s="33" t="n"/>
      <c r="AA1761" s="4">
        <f>R1761-G1761</f>
        <v/>
      </c>
      <c r="AB1761" s="4">
        <f>G1761-R1761</f>
        <v/>
      </c>
      <c r="AC1761" s="33" t="n"/>
    </row>
    <row r="1762" ht="18.75" customHeight="1">
      <c r="A1762" s="35">
        <f>SUBTOTAL(103,$B$24:B1762)</f>
        <v/>
      </c>
      <c r="B1762" s="36" t="inlineStr">
        <is>
          <t>Ваги польові</t>
        </is>
      </c>
      <c r="C1762" s="37" t="n"/>
      <c r="D1762" s="33" t="n"/>
      <c r="E1762" s="33" t="n"/>
      <c r="F1762" s="33">
        <f>E1762*0.05</f>
        <v/>
      </c>
      <c r="G1762" s="33">
        <f>E1762+F1762</f>
        <v/>
      </c>
      <c r="H1762" s="33" t="n"/>
      <c r="I1762" s="33" t="n"/>
      <c r="J1762" s="33" t="n"/>
      <c r="K1762" s="33">
        <f>L1762+M1762+N1762</f>
        <v/>
      </c>
      <c r="L1762" s="33" t="n"/>
      <c r="M1762" s="33" t="n"/>
      <c r="N1762" s="33" t="n"/>
      <c r="O1762" s="33">
        <f>P1762+Q1762</f>
        <v/>
      </c>
      <c r="P1762" s="33" t="n"/>
      <c r="Q1762" s="33" t="n"/>
      <c r="R1762" s="33">
        <f>H1762+K1762-O1762</f>
        <v/>
      </c>
      <c r="S1762" s="33" t="n"/>
      <c r="T1762" s="33" t="n"/>
      <c r="U1762" s="33" t="n"/>
      <c r="V1762" s="33" t="n"/>
      <c r="W1762" s="33" t="n"/>
      <c r="X1762" s="33" t="n"/>
      <c r="Y1762" s="33" t="n"/>
      <c r="Z1762" s="33" t="n"/>
      <c r="AA1762" s="4">
        <f>R1762-G1762</f>
        <v/>
      </c>
      <c r="AB1762" s="4">
        <f>G1762-R1762</f>
        <v/>
      </c>
      <c r="AC1762" s="33" t="n"/>
    </row>
    <row r="1763" ht="18.75" customHeight="1">
      <c r="A1763" s="35">
        <f>SUBTOTAL(103,$B$24:B1763)</f>
        <v/>
      </c>
      <c r="B1763" s="36" t="inlineStr">
        <is>
          <t xml:space="preserve">Ваги почтові </t>
        </is>
      </c>
      <c r="C1763" s="37" t="inlineStr">
        <is>
          <t>к-т</t>
        </is>
      </c>
      <c r="D1763" s="33" t="n"/>
      <c r="E1763" s="33" t="n"/>
      <c r="F1763" s="33">
        <f>E1763*0.05</f>
        <v/>
      </c>
      <c r="G1763" s="33">
        <f>E1763+F1763</f>
        <v/>
      </c>
      <c r="H1763" s="33" t="n"/>
      <c r="I1763" s="33" t="n"/>
      <c r="J1763" s="33" t="n"/>
      <c r="K1763" s="33">
        <f>L1763+M1763+N1763</f>
        <v/>
      </c>
      <c r="L1763" s="33" t="n"/>
      <c r="M1763" s="33" t="n"/>
      <c r="N1763" s="33" t="n"/>
      <c r="O1763" s="33">
        <f>P1763+Q1763</f>
        <v/>
      </c>
      <c r="P1763" s="33" t="n"/>
      <c r="Q1763" s="33" t="n"/>
      <c r="R1763" s="33">
        <f>H1763+K1763-O1763</f>
        <v/>
      </c>
      <c r="S1763" s="33" t="n"/>
      <c r="T1763" s="33" t="n"/>
      <c r="U1763" s="33" t="n"/>
      <c r="V1763" s="33" t="n"/>
      <c r="W1763" s="33" t="n"/>
      <c r="X1763" s="33" t="n"/>
      <c r="Y1763" s="33" t="n"/>
      <c r="Z1763" s="33" t="n"/>
      <c r="AA1763" s="4">
        <f>R1763-G1763</f>
        <v/>
      </c>
      <c r="AB1763" s="4">
        <f>G1763-R1763</f>
        <v/>
      </c>
      <c r="AC1763" s="33" t="n"/>
    </row>
    <row r="1764" ht="18.75" customHeight="1">
      <c r="A1764" s="35">
        <f>SUBTOTAL(103,$B$24:B1764)</f>
        <v/>
      </c>
      <c r="B1764" s="36" t="inlineStr">
        <is>
          <t>Ваги фасувальні 30ВП1-В</t>
        </is>
      </c>
      <c r="C1764" s="37" t="inlineStr">
        <is>
          <t>к-т</t>
        </is>
      </c>
      <c r="D1764" s="33" t="n"/>
      <c r="E1764" s="33" t="n"/>
      <c r="F1764" s="33">
        <f>E1764*0.05</f>
        <v/>
      </c>
      <c r="G1764" s="33">
        <f>E1764+F1764</f>
        <v/>
      </c>
      <c r="H1764" s="33" t="n"/>
      <c r="I1764" s="33" t="n"/>
      <c r="J1764" s="33" t="n"/>
      <c r="K1764" s="33">
        <f>L1764+M1764+N1764</f>
        <v/>
      </c>
      <c r="L1764" s="33" t="n"/>
      <c r="M1764" s="33" t="n"/>
      <c r="N1764" s="33" t="n"/>
      <c r="O1764" s="33">
        <f>P1764+Q1764</f>
        <v/>
      </c>
      <c r="P1764" s="33" t="n"/>
      <c r="Q1764" s="33" t="n"/>
      <c r="R1764" s="33">
        <f>H1764+K1764-O1764</f>
        <v/>
      </c>
      <c r="S1764" s="33" t="n"/>
      <c r="T1764" s="33" t="n"/>
      <c r="U1764" s="33" t="n"/>
      <c r="V1764" s="33" t="n"/>
      <c r="W1764" s="33" t="n"/>
      <c r="X1764" s="33" t="n"/>
      <c r="Y1764" s="33" t="n"/>
      <c r="Z1764" s="33" t="n"/>
      <c r="AA1764" s="4">
        <f>R1764-G1764</f>
        <v/>
      </c>
      <c r="AB1764" s="4">
        <f>G1764-R1764</f>
        <v/>
      </c>
      <c r="AC1764" s="33" t="n"/>
    </row>
    <row r="1765" ht="18.75" customHeight="1">
      <c r="A1765" s="35">
        <f>SUBTOTAL(103,$B$24:B1765)</f>
        <v/>
      </c>
      <c r="B1765" s="36" t="inlineStr">
        <is>
          <t>Ваги КЗВО НЕ-30Н-4</t>
        </is>
      </c>
      <c r="C1765" s="37" t="inlineStr">
        <is>
          <t>к-т</t>
        </is>
      </c>
      <c r="D1765" s="33" t="n"/>
      <c r="E1765" s="33" t="n"/>
      <c r="F1765" s="33">
        <f>E1765*0.05</f>
        <v/>
      </c>
      <c r="G1765" s="33">
        <f>E1765+F1765</f>
        <v/>
      </c>
      <c r="H1765" s="33" t="n"/>
      <c r="I1765" s="33" t="n"/>
      <c r="J1765" s="33" t="n"/>
      <c r="K1765" s="33">
        <f>L1765+M1765+N1765</f>
        <v/>
      </c>
      <c r="L1765" s="33" t="n"/>
      <c r="M1765" s="33" t="n"/>
      <c r="N1765" s="33" t="n"/>
      <c r="O1765" s="33">
        <f>P1765+Q1765</f>
        <v/>
      </c>
      <c r="P1765" s="33" t="n"/>
      <c r="Q1765" s="33" t="n"/>
      <c r="R1765" s="33">
        <f>H1765+K1765-O1765</f>
        <v/>
      </c>
      <c r="S1765" s="33" t="n"/>
      <c r="T1765" s="33" t="n"/>
      <c r="U1765" s="33" t="n"/>
      <c r="V1765" s="33" t="n"/>
      <c r="W1765" s="33" t="n"/>
      <c r="X1765" s="33" t="n"/>
      <c r="Y1765" s="33" t="n"/>
      <c r="Z1765" s="33" t="n"/>
      <c r="AA1765" s="4">
        <f>R1765-G1765</f>
        <v/>
      </c>
      <c r="AB1765" s="4">
        <f>G1765-R1765</f>
        <v/>
      </c>
      <c r="AC1765" s="33" t="n"/>
    </row>
    <row r="1766" ht="18.75" customHeight="1">
      <c r="A1766" s="35">
        <f>SUBTOTAL(103,$B$24:B1766)</f>
        <v/>
      </c>
      <c r="B1766" s="36" t="inlineStr">
        <is>
          <t>Ваги товарні платформені 600кг.</t>
        </is>
      </c>
      <c r="C1766" s="37" t="inlineStr">
        <is>
          <t>к-т</t>
        </is>
      </c>
      <c r="D1766" s="33" t="n"/>
      <c r="E1766" s="33" t="n"/>
      <c r="F1766" s="33">
        <f>E1766*0.05</f>
        <v/>
      </c>
      <c r="G1766" s="33">
        <f>E1766+F1766</f>
        <v/>
      </c>
      <c r="H1766" s="33" t="n"/>
      <c r="I1766" s="33" t="n"/>
      <c r="J1766" s="33" t="n"/>
      <c r="K1766" s="33">
        <f>L1766+M1766+N1766</f>
        <v/>
      </c>
      <c r="L1766" s="33" t="n"/>
      <c r="M1766" s="33" t="n"/>
      <c r="N1766" s="33" t="n"/>
      <c r="O1766" s="33">
        <f>P1766+Q1766</f>
        <v/>
      </c>
      <c r="P1766" s="33" t="n"/>
      <c r="Q1766" s="33" t="n"/>
      <c r="R1766" s="33">
        <f>H1766+K1766-O1766</f>
        <v/>
      </c>
      <c r="S1766" s="33" t="n"/>
      <c r="T1766" s="33" t="n"/>
      <c r="U1766" s="33" t="n"/>
      <c r="V1766" s="33" t="n"/>
      <c r="W1766" s="33" t="n"/>
      <c r="X1766" s="33" t="n"/>
      <c r="Y1766" s="33" t="n"/>
      <c r="Z1766" s="33" t="n"/>
      <c r="AA1766" s="4">
        <f>R1766-G1766</f>
        <v/>
      </c>
      <c r="AB1766" s="4">
        <f>G1766-R1766</f>
        <v/>
      </c>
      <c r="AC1766" s="33" t="n"/>
    </row>
    <row r="1767" ht="18.75" customHeight="1">
      <c r="A1767" s="35">
        <f>SUBTOTAL(103,$B$24:B1767)</f>
        <v/>
      </c>
      <c r="B1767" s="39" t="inlineStr">
        <is>
          <t>ГИРІ</t>
        </is>
      </c>
      <c r="C1767" s="37" t="n"/>
      <c r="D1767" s="33" t="n"/>
      <c r="E1767" s="33" t="n"/>
      <c r="F1767" s="33">
        <f>E1767*0.05</f>
        <v/>
      </c>
      <c r="G1767" s="33">
        <f>E1767+F1767</f>
        <v/>
      </c>
      <c r="H1767" s="33" t="n"/>
      <c r="I1767" s="33" t="n"/>
      <c r="J1767" s="33" t="n"/>
      <c r="K1767" s="33">
        <f>L1767+M1767+N1767</f>
        <v/>
      </c>
      <c r="L1767" s="33" t="n"/>
      <c r="M1767" s="33" t="n"/>
      <c r="N1767" s="33" t="n"/>
      <c r="O1767" s="33">
        <f>P1767+Q1767</f>
        <v/>
      </c>
      <c r="P1767" s="33" t="n"/>
      <c r="Q1767" s="33" t="n"/>
      <c r="R1767" s="33">
        <f>H1767+K1767-O1767</f>
        <v/>
      </c>
      <c r="S1767" s="33" t="n"/>
      <c r="T1767" s="33" t="n"/>
      <c r="U1767" s="33" t="n"/>
      <c r="V1767" s="33" t="n"/>
      <c r="W1767" s="33" t="n"/>
      <c r="X1767" s="33" t="n"/>
      <c r="Y1767" s="33" t="n"/>
      <c r="Z1767" s="33" t="n"/>
      <c r="AA1767" s="4">
        <f>R1767-G1767</f>
        <v/>
      </c>
      <c r="AB1767" s="4">
        <f>G1767-R1767</f>
        <v/>
      </c>
      <c r="AC1767" s="33" t="n"/>
    </row>
    <row r="1768" ht="37.5" customHeight="1">
      <c r="A1768" s="35">
        <f>SUBTOTAL(103,$B$24:B1768)</f>
        <v/>
      </c>
      <c r="B1768" s="36" t="inlineStr">
        <is>
          <t>Спеціальні гирі 100гр - 2кг. (до торгових вагів)</t>
        </is>
      </c>
      <c r="C1768" s="37" t="inlineStr">
        <is>
          <t>к-т</t>
        </is>
      </c>
      <c r="D1768" s="33" t="n"/>
      <c r="E1768" s="33" t="n"/>
      <c r="F1768" s="33">
        <f>E1768*0.05</f>
        <v/>
      </c>
      <c r="G1768" s="33">
        <f>E1768+F1768</f>
        <v/>
      </c>
      <c r="H1768" s="33" t="n"/>
      <c r="I1768" s="33" t="n"/>
      <c r="J1768" s="33" t="n"/>
      <c r="K1768" s="33">
        <f>L1768+M1768+N1768</f>
        <v/>
      </c>
      <c r="L1768" s="33" t="n"/>
      <c r="M1768" s="33" t="n"/>
      <c r="N1768" s="33" t="n"/>
      <c r="O1768" s="33">
        <f>P1768+Q1768</f>
        <v/>
      </c>
      <c r="P1768" s="33" t="n"/>
      <c r="Q1768" s="33" t="n"/>
      <c r="R1768" s="33">
        <f>H1768+K1768-O1768</f>
        <v/>
      </c>
      <c r="S1768" s="33" t="n"/>
      <c r="T1768" s="33" t="n"/>
      <c r="U1768" s="33" t="n"/>
      <c r="V1768" s="33" t="n"/>
      <c r="W1768" s="33" t="n"/>
      <c r="X1768" s="33" t="n"/>
      <c r="Y1768" s="33" t="n"/>
      <c r="Z1768" s="33" t="n"/>
      <c r="AA1768" s="4">
        <f>R1768-G1768</f>
        <v/>
      </c>
      <c r="AB1768" s="4">
        <f>G1768-R1768</f>
        <v/>
      </c>
      <c r="AC1768" s="33" t="n"/>
    </row>
    <row r="1769" ht="18.75" customHeight="1">
      <c r="A1769" s="35">
        <f>SUBTOTAL(103,$B$24:B1769)</f>
        <v/>
      </c>
      <c r="B1769" s="36" t="inlineStr">
        <is>
          <t>Гирі різні</t>
        </is>
      </c>
      <c r="C1769" s="37" t="inlineStr">
        <is>
          <t>к-т</t>
        </is>
      </c>
      <c r="D1769" s="33" t="n"/>
      <c r="E1769" s="33" t="n"/>
      <c r="F1769" s="33">
        <f>E1769*0.05</f>
        <v/>
      </c>
      <c r="G1769" s="33">
        <f>E1769+F1769</f>
        <v/>
      </c>
      <c r="H1769" s="33" t="n"/>
      <c r="I1769" s="33" t="n"/>
      <c r="J1769" s="33" t="n"/>
      <c r="K1769" s="33">
        <f>L1769+M1769+N1769</f>
        <v/>
      </c>
      <c r="L1769" s="33" t="n"/>
      <c r="M1769" s="33" t="n"/>
      <c r="N1769" s="33" t="n"/>
      <c r="O1769" s="33">
        <f>P1769+Q1769</f>
        <v/>
      </c>
      <c r="P1769" s="33" t="n"/>
      <c r="Q1769" s="33" t="n"/>
      <c r="R1769" s="33">
        <f>H1769+K1769-O1769</f>
        <v/>
      </c>
      <c r="S1769" s="33" t="n"/>
      <c r="T1769" s="33" t="n"/>
      <c r="U1769" s="33" t="n"/>
      <c r="V1769" s="33" t="n"/>
      <c r="W1769" s="33" t="n"/>
      <c r="X1769" s="33" t="n"/>
      <c r="Y1769" s="33" t="n"/>
      <c r="Z1769" s="33" t="n"/>
      <c r="AA1769" s="4">
        <f>R1769-G1769</f>
        <v/>
      </c>
      <c r="AB1769" s="4">
        <f>G1769-R1769</f>
        <v/>
      </c>
      <c r="AC1769" s="33" t="n"/>
    </row>
    <row r="1770" ht="18.75" customHeight="1">
      <c r="A1770" s="35">
        <f>SUBTOTAL(103,$B$24:B1770)</f>
        <v/>
      </c>
      <c r="B1770" s="36" t="inlineStr">
        <is>
          <t xml:space="preserve">Гирі товарні </t>
        </is>
      </c>
      <c r="C1770" s="37" t="inlineStr">
        <is>
          <t>к-т</t>
        </is>
      </c>
      <c r="D1770" s="33" t="n"/>
      <c r="E1770" s="33" t="n"/>
      <c r="F1770" s="33">
        <f>E1770*0.05</f>
        <v/>
      </c>
      <c r="G1770" s="33">
        <f>E1770+F1770</f>
        <v/>
      </c>
      <c r="H1770" s="33" t="n"/>
      <c r="I1770" s="33" t="n"/>
      <c r="J1770" s="33" t="n"/>
      <c r="K1770" s="33">
        <f>L1770+M1770+N1770</f>
        <v/>
      </c>
      <c r="L1770" s="33" t="n"/>
      <c r="M1770" s="33" t="n"/>
      <c r="N1770" s="33" t="n"/>
      <c r="O1770" s="33">
        <f>P1770+Q1770</f>
        <v/>
      </c>
      <c r="P1770" s="33" t="n"/>
      <c r="Q1770" s="33" t="n"/>
      <c r="R1770" s="33">
        <f>H1770+K1770-O1770</f>
        <v/>
      </c>
      <c r="S1770" s="33" t="n"/>
      <c r="T1770" s="33" t="n"/>
      <c r="U1770" s="33" t="n"/>
      <c r="V1770" s="33" t="n"/>
      <c r="W1770" s="33" t="n"/>
      <c r="X1770" s="33" t="n"/>
      <c r="Y1770" s="33" t="n"/>
      <c r="Z1770" s="33" t="n"/>
      <c r="AA1770" s="4">
        <f>R1770-G1770</f>
        <v/>
      </c>
      <c r="AB1770" s="4">
        <f>G1770-R1770</f>
        <v/>
      </c>
      <c r="AC1770" s="33" t="n"/>
    </row>
    <row r="1771" ht="18.75" customHeight="1">
      <c r="A1771" s="35">
        <f>SUBTOTAL(103,$B$24:B1771)</f>
        <v/>
      </c>
      <c r="B1771" s="36" t="inlineStr">
        <is>
          <t>Комплект гирь</t>
        </is>
      </c>
      <c r="C1771" s="37" t="inlineStr">
        <is>
          <t>к-т</t>
        </is>
      </c>
      <c r="D1771" s="33" t="n"/>
      <c r="E1771" s="33" t="n"/>
      <c r="F1771" s="33">
        <f>E1771*0.05</f>
        <v/>
      </c>
      <c r="G1771" s="33">
        <f>E1771+F1771</f>
        <v/>
      </c>
      <c r="H1771" s="33" t="n"/>
      <c r="I1771" s="33" t="n"/>
      <c r="J1771" s="33" t="n"/>
      <c r="K1771" s="33">
        <f>L1771+M1771+N1771</f>
        <v/>
      </c>
      <c r="L1771" s="33" t="n"/>
      <c r="M1771" s="33" t="n"/>
      <c r="N1771" s="33" t="n"/>
      <c r="O1771" s="33">
        <f>P1771+Q1771</f>
        <v/>
      </c>
      <c r="P1771" s="33" t="n"/>
      <c r="Q1771" s="33" t="n"/>
      <c r="R1771" s="33">
        <f>H1771+K1771-O1771</f>
        <v/>
      </c>
      <c r="S1771" s="33" t="n"/>
      <c r="T1771" s="33" t="n"/>
      <c r="U1771" s="33" t="n"/>
      <c r="V1771" s="33" t="n"/>
      <c r="W1771" s="33" t="n"/>
      <c r="X1771" s="33" t="n"/>
      <c r="Y1771" s="33" t="n"/>
      <c r="Z1771" s="33" t="n"/>
      <c r="AA1771" s="4">
        <f>R1771-G1771</f>
        <v/>
      </c>
      <c r="AB1771" s="4">
        <f>G1771-R1771</f>
        <v/>
      </c>
      <c r="AC1771" s="33" t="n"/>
    </row>
    <row r="1772" ht="18.75" customHeight="1">
      <c r="A1772" s="35">
        <f>SUBTOTAL(103,$B$24:B1772)</f>
        <v/>
      </c>
      <c r="B1772" s="36" t="inlineStr">
        <is>
          <t>Гирі 10 гр</t>
        </is>
      </c>
      <c r="C1772" s="37" t="inlineStr">
        <is>
          <t>к-т</t>
        </is>
      </c>
      <c r="D1772" s="33" t="n"/>
      <c r="E1772" s="33" t="n"/>
      <c r="F1772" s="33">
        <f>E1772*0.05</f>
        <v/>
      </c>
      <c r="G1772" s="33">
        <f>E1772+F1772</f>
        <v/>
      </c>
      <c r="H1772" s="33" t="n"/>
      <c r="I1772" s="33" t="n"/>
      <c r="J1772" s="33" t="n"/>
      <c r="K1772" s="33">
        <f>L1772+M1772+N1772</f>
        <v/>
      </c>
      <c r="L1772" s="33" t="n"/>
      <c r="M1772" s="33" t="n"/>
      <c r="N1772" s="33" t="n"/>
      <c r="O1772" s="33">
        <f>P1772+Q1772</f>
        <v/>
      </c>
      <c r="P1772" s="33" t="n"/>
      <c r="Q1772" s="33" t="n"/>
      <c r="R1772" s="33">
        <f>H1772+K1772-O1772</f>
        <v/>
      </c>
      <c r="S1772" s="33" t="n"/>
      <c r="T1772" s="33" t="n"/>
      <c r="U1772" s="33" t="n"/>
      <c r="V1772" s="33" t="n"/>
      <c r="W1772" s="33" t="n"/>
      <c r="X1772" s="33" t="n"/>
      <c r="Y1772" s="33" t="n"/>
      <c r="Z1772" s="33" t="n"/>
      <c r="AA1772" s="4">
        <f>R1772-G1772</f>
        <v/>
      </c>
      <c r="AB1772" s="4">
        <f>G1772-R1772</f>
        <v/>
      </c>
      <c r="AC1772" s="33" t="n"/>
    </row>
    <row r="1773" ht="18.75" customHeight="1">
      <c r="A1773" s="35">
        <f>SUBTOTAL(103,$B$24:B1773)</f>
        <v/>
      </c>
      <c r="B1773" s="36" t="inlineStr">
        <is>
          <t>Гирі 20 гр</t>
        </is>
      </c>
      <c r="C1773" s="37" t="inlineStr">
        <is>
          <t>к-т</t>
        </is>
      </c>
      <c r="D1773" s="33" t="n"/>
      <c r="E1773" s="33" t="n"/>
      <c r="F1773" s="33">
        <f>E1773*0.05</f>
        <v/>
      </c>
      <c r="G1773" s="33">
        <f>E1773+F1773</f>
        <v/>
      </c>
      <c r="H1773" s="33" t="n"/>
      <c r="I1773" s="33" t="n"/>
      <c r="J1773" s="33" t="n"/>
      <c r="K1773" s="33">
        <f>L1773+M1773+N1773</f>
        <v/>
      </c>
      <c r="L1773" s="33" t="n"/>
      <c r="M1773" s="33" t="n"/>
      <c r="N1773" s="33" t="n"/>
      <c r="O1773" s="33">
        <f>P1773+Q1773</f>
        <v/>
      </c>
      <c r="P1773" s="33" t="n"/>
      <c r="Q1773" s="33" t="n"/>
      <c r="R1773" s="33">
        <f>H1773+K1773-O1773</f>
        <v/>
      </c>
      <c r="S1773" s="33" t="n"/>
      <c r="T1773" s="33" t="n"/>
      <c r="U1773" s="33" t="n"/>
      <c r="V1773" s="33" t="n"/>
      <c r="W1773" s="33" t="n"/>
      <c r="X1773" s="33" t="n"/>
      <c r="Y1773" s="33" t="n"/>
      <c r="Z1773" s="33" t="n"/>
      <c r="AA1773" s="4">
        <f>R1773-G1773</f>
        <v/>
      </c>
      <c r="AB1773" s="4">
        <f>G1773-R1773</f>
        <v/>
      </c>
      <c r="AC1773" s="33" t="n"/>
    </row>
    <row r="1774" ht="18.75" customHeight="1">
      <c r="A1774" s="35">
        <f>SUBTOTAL(103,$B$24:B1774)</f>
        <v/>
      </c>
      <c r="B1774" s="36" t="inlineStr">
        <is>
          <t>Гирі 50 гр</t>
        </is>
      </c>
      <c r="C1774" s="37" t="inlineStr">
        <is>
          <t>к-т</t>
        </is>
      </c>
      <c r="D1774" s="33" t="n"/>
      <c r="E1774" s="33" t="n"/>
      <c r="F1774" s="33">
        <f>E1774*0.05</f>
        <v/>
      </c>
      <c r="G1774" s="33">
        <f>E1774+F1774</f>
        <v/>
      </c>
      <c r="H1774" s="33" t="n"/>
      <c r="I1774" s="33" t="n"/>
      <c r="J1774" s="33" t="n"/>
      <c r="K1774" s="33">
        <f>L1774+M1774+N1774</f>
        <v/>
      </c>
      <c r="L1774" s="33" t="n"/>
      <c r="M1774" s="33" t="n"/>
      <c r="N1774" s="33" t="n"/>
      <c r="O1774" s="33">
        <f>P1774+Q1774</f>
        <v/>
      </c>
      <c r="P1774" s="33" t="n"/>
      <c r="Q1774" s="33" t="n"/>
      <c r="R1774" s="33">
        <f>H1774+K1774-O1774</f>
        <v/>
      </c>
      <c r="S1774" s="33" t="n"/>
      <c r="T1774" s="33" t="n"/>
      <c r="U1774" s="33" t="n"/>
      <c r="V1774" s="33" t="n"/>
      <c r="W1774" s="33" t="n"/>
      <c r="X1774" s="33" t="n"/>
      <c r="Y1774" s="33" t="n"/>
      <c r="Z1774" s="33" t="n"/>
      <c r="AA1774" s="4">
        <f>R1774-G1774</f>
        <v/>
      </c>
      <c r="AB1774" s="4">
        <f>G1774-R1774</f>
        <v/>
      </c>
      <c r="AC1774" s="33" t="n"/>
    </row>
    <row r="1775" ht="18.75" customHeight="1">
      <c r="A1775" s="35">
        <f>SUBTOTAL(103,$B$24:B1775)</f>
        <v/>
      </c>
      <c r="B1775" s="36" t="inlineStr">
        <is>
          <t>Гирі 100 гр -500 гр</t>
        </is>
      </c>
      <c r="C1775" s="37" t="inlineStr">
        <is>
          <t>к-т</t>
        </is>
      </c>
      <c r="D1775" s="33" t="n"/>
      <c r="E1775" s="33" t="n"/>
      <c r="F1775" s="33">
        <f>E1775*0.05</f>
        <v/>
      </c>
      <c r="G1775" s="33">
        <f>E1775+F1775</f>
        <v/>
      </c>
      <c r="H1775" s="33" t="n"/>
      <c r="I1775" s="33" t="n"/>
      <c r="J1775" s="33" t="n"/>
      <c r="K1775" s="33">
        <f>L1775+M1775+N1775</f>
        <v/>
      </c>
      <c r="L1775" s="33" t="n"/>
      <c r="M1775" s="33" t="n"/>
      <c r="N1775" s="33" t="n"/>
      <c r="O1775" s="33">
        <f>P1775+Q1775</f>
        <v/>
      </c>
      <c r="P1775" s="33" t="n"/>
      <c r="Q1775" s="33" t="n"/>
      <c r="R1775" s="33">
        <f>H1775+K1775-O1775</f>
        <v/>
      </c>
      <c r="S1775" s="33" t="n"/>
      <c r="T1775" s="33" t="n"/>
      <c r="U1775" s="33" t="n"/>
      <c r="V1775" s="33" t="n"/>
      <c r="W1775" s="33" t="n"/>
      <c r="X1775" s="33" t="n"/>
      <c r="Y1775" s="33" t="n"/>
      <c r="Z1775" s="33" t="n"/>
      <c r="AA1775" s="4">
        <f>R1775-G1775</f>
        <v/>
      </c>
      <c r="AB1775" s="4">
        <f>G1775-R1775</f>
        <v/>
      </c>
      <c r="AC1775" s="33" t="n"/>
    </row>
    <row r="1776" ht="18.75" customHeight="1">
      <c r="A1776" s="35">
        <f>SUBTOTAL(103,$B$24:B1776)</f>
        <v/>
      </c>
      <c r="B1776" s="36" t="inlineStr">
        <is>
          <t>Гирі 100 гр</t>
        </is>
      </c>
      <c r="C1776" s="37" t="inlineStr">
        <is>
          <t>к-т</t>
        </is>
      </c>
      <c r="D1776" s="33" t="n"/>
      <c r="E1776" s="33" t="n"/>
      <c r="F1776" s="33">
        <f>E1776*0.05</f>
        <v/>
      </c>
      <c r="G1776" s="33">
        <f>E1776+F1776</f>
        <v/>
      </c>
      <c r="H1776" s="33" t="n"/>
      <c r="I1776" s="33" t="n"/>
      <c r="J1776" s="33" t="n"/>
      <c r="K1776" s="33">
        <f>L1776+M1776+N1776</f>
        <v/>
      </c>
      <c r="L1776" s="33" t="n"/>
      <c r="M1776" s="33" t="n"/>
      <c r="N1776" s="33" t="n"/>
      <c r="O1776" s="33">
        <f>P1776+Q1776</f>
        <v/>
      </c>
      <c r="P1776" s="33" t="n"/>
      <c r="Q1776" s="33" t="n"/>
      <c r="R1776" s="33">
        <f>H1776+K1776-O1776</f>
        <v/>
      </c>
      <c r="S1776" s="33" t="n"/>
      <c r="T1776" s="33" t="n"/>
      <c r="U1776" s="33" t="n"/>
      <c r="V1776" s="33" t="n"/>
      <c r="W1776" s="33" t="n"/>
      <c r="X1776" s="33" t="n"/>
      <c r="Y1776" s="33" t="n"/>
      <c r="Z1776" s="33" t="n"/>
      <c r="AA1776" s="4">
        <f>R1776-G1776</f>
        <v/>
      </c>
      <c r="AB1776" s="4">
        <f>G1776-R1776</f>
        <v/>
      </c>
      <c r="AC1776" s="33" t="n"/>
    </row>
    <row r="1777" ht="18.75" customHeight="1">
      <c r="A1777" s="35">
        <f>SUBTOTAL(103,$B$24:B1777)</f>
        <v/>
      </c>
      <c r="B1777" s="36" t="inlineStr">
        <is>
          <t>Гирі 200 гр</t>
        </is>
      </c>
      <c r="C1777" s="37" t="inlineStr">
        <is>
          <t>к-т</t>
        </is>
      </c>
      <c r="D1777" s="33" t="n"/>
      <c r="E1777" s="33" t="n"/>
      <c r="F1777" s="33">
        <f>E1777*0.05</f>
        <v/>
      </c>
      <c r="G1777" s="33">
        <f>E1777+F1777</f>
        <v/>
      </c>
      <c r="H1777" s="33" t="n"/>
      <c r="I1777" s="33" t="n"/>
      <c r="J1777" s="33" t="n"/>
      <c r="K1777" s="33">
        <f>L1777+M1777+N1777</f>
        <v/>
      </c>
      <c r="L1777" s="33" t="n"/>
      <c r="M1777" s="33" t="n"/>
      <c r="N1777" s="33" t="n"/>
      <c r="O1777" s="33">
        <f>P1777+Q1777</f>
        <v/>
      </c>
      <c r="P1777" s="33" t="n"/>
      <c r="Q1777" s="33" t="n"/>
      <c r="R1777" s="33">
        <f>H1777+K1777-O1777</f>
        <v/>
      </c>
      <c r="S1777" s="33" t="n"/>
      <c r="T1777" s="33" t="n"/>
      <c r="U1777" s="33" t="n"/>
      <c r="V1777" s="33" t="n"/>
      <c r="W1777" s="33" t="n"/>
      <c r="X1777" s="33" t="n"/>
      <c r="Y1777" s="33" t="n"/>
      <c r="Z1777" s="33" t="n"/>
      <c r="AA1777" s="4">
        <f>R1777-G1777</f>
        <v/>
      </c>
      <c r="AB1777" s="4">
        <f>G1777-R1777</f>
        <v/>
      </c>
      <c r="AC1777" s="33" t="n"/>
    </row>
    <row r="1778" ht="18.75" customHeight="1">
      <c r="A1778" s="35">
        <f>SUBTOTAL(103,$B$24:B1778)</f>
        <v/>
      </c>
      <c r="B1778" s="36" t="inlineStr">
        <is>
          <t xml:space="preserve">Гирі 200 гр 1 кг </t>
        </is>
      </c>
      <c r="C1778" s="37" t="inlineStr">
        <is>
          <t>к-т</t>
        </is>
      </c>
      <c r="D1778" s="33" t="n"/>
      <c r="E1778" s="33" t="n"/>
      <c r="F1778" s="33">
        <f>E1778*0.05</f>
        <v/>
      </c>
      <c r="G1778" s="33">
        <f>E1778+F1778</f>
        <v/>
      </c>
      <c r="H1778" s="33" t="n"/>
      <c r="I1778" s="33" t="n"/>
      <c r="J1778" s="33" t="n"/>
      <c r="K1778" s="33">
        <f>L1778+M1778+N1778</f>
        <v/>
      </c>
      <c r="L1778" s="33" t="n"/>
      <c r="M1778" s="33" t="n"/>
      <c r="N1778" s="33" t="n"/>
      <c r="O1778" s="33">
        <f>P1778+Q1778</f>
        <v/>
      </c>
      <c r="P1778" s="33" t="n"/>
      <c r="Q1778" s="33" t="n"/>
      <c r="R1778" s="33">
        <f>H1778+K1778-O1778</f>
        <v/>
      </c>
      <c r="S1778" s="33" t="n"/>
      <c r="T1778" s="33" t="n"/>
      <c r="U1778" s="33" t="n"/>
      <c r="V1778" s="33" t="n"/>
      <c r="W1778" s="33" t="n"/>
      <c r="X1778" s="33" t="n"/>
      <c r="Y1778" s="33" t="n"/>
      <c r="Z1778" s="33" t="n"/>
      <c r="AA1778" s="4">
        <f>R1778-G1778</f>
        <v/>
      </c>
      <c r="AB1778" s="4">
        <f>G1778-R1778</f>
        <v/>
      </c>
      <c r="AC1778" s="33" t="n"/>
    </row>
    <row r="1779" ht="18.75" customHeight="1">
      <c r="A1779" s="35">
        <f>SUBTOTAL(103,$B$24:B1779)</f>
        <v/>
      </c>
      <c r="B1779" s="36" t="inlineStr">
        <is>
          <t>Гирі 10 гр - 500 гр</t>
        </is>
      </c>
      <c r="C1779" s="37" t="inlineStr">
        <is>
          <t>к-т</t>
        </is>
      </c>
      <c r="D1779" s="33" t="n"/>
      <c r="E1779" s="33" t="n"/>
      <c r="F1779" s="33">
        <f>E1779*0.05</f>
        <v/>
      </c>
      <c r="G1779" s="33">
        <f>E1779+F1779</f>
        <v/>
      </c>
      <c r="H1779" s="33" t="n"/>
      <c r="I1779" s="33" t="n"/>
      <c r="J1779" s="33" t="n"/>
      <c r="K1779" s="33">
        <f>L1779+M1779+N1779</f>
        <v/>
      </c>
      <c r="L1779" s="33" t="n"/>
      <c r="M1779" s="33" t="n"/>
      <c r="N1779" s="33" t="n"/>
      <c r="O1779" s="33">
        <f>P1779+Q1779</f>
        <v/>
      </c>
      <c r="P1779" s="33" t="n"/>
      <c r="Q1779" s="33" t="n"/>
      <c r="R1779" s="33">
        <f>H1779+K1779-O1779</f>
        <v/>
      </c>
      <c r="S1779" s="33" t="n"/>
      <c r="T1779" s="33" t="n"/>
      <c r="U1779" s="33" t="n"/>
      <c r="V1779" s="33" t="n"/>
      <c r="W1779" s="33" t="n"/>
      <c r="X1779" s="33" t="n"/>
      <c r="Y1779" s="33" t="n"/>
      <c r="Z1779" s="33" t="n"/>
      <c r="AA1779" s="4">
        <f>R1779-G1779</f>
        <v/>
      </c>
      <c r="AB1779" s="4">
        <f>G1779-R1779</f>
        <v/>
      </c>
      <c r="AC1779" s="33" t="n"/>
    </row>
    <row r="1780" ht="18.75" customHeight="1">
      <c r="A1780" s="35">
        <f>SUBTOTAL(103,$B$24:B1780)</f>
        <v/>
      </c>
      <c r="B1780" s="36" t="inlineStr">
        <is>
          <t>Гирі 500 гр</t>
        </is>
      </c>
      <c r="C1780" s="37" t="inlineStr">
        <is>
          <t>к-т</t>
        </is>
      </c>
      <c r="D1780" s="33" t="n"/>
      <c r="E1780" s="33" t="n"/>
      <c r="F1780" s="33">
        <f>E1780*0.05</f>
        <v/>
      </c>
      <c r="G1780" s="33">
        <f>E1780+F1780</f>
        <v/>
      </c>
      <c r="H1780" s="33" t="n"/>
      <c r="I1780" s="33" t="n"/>
      <c r="J1780" s="33" t="n"/>
      <c r="K1780" s="33">
        <f>L1780+M1780+N1780</f>
        <v/>
      </c>
      <c r="L1780" s="33" t="n"/>
      <c r="M1780" s="33" t="n"/>
      <c r="N1780" s="33" t="n"/>
      <c r="O1780" s="33">
        <f>P1780+Q1780</f>
        <v/>
      </c>
      <c r="P1780" s="33" t="n"/>
      <c r="Q1780" s="33" t="n"/>
      <c r="R1780" s="33">
        <f>H1780+K1780-O1780</f>
        <v/>
      </c>
      <c r="S1780" s="33" t="n"/>
      <c r="T1780" s="33" t="n"/>
      <c r="U1780" s="33" t="n"/>
      <c r="V1780" s="33" t="n"/>
      <c r="W1780" s="33" t="n"/>
      <c r="X1780" s="33" t="n"/>
      <c r="Y1780" s="33" t="n"/>
      <c r="Z1780" s="33" t="n"/>
      <c r="AA1780" s="4">
        <f>R1780-G1780</f>
        <v/>
      </c>
      <c r="AB1780" s="4">
        <f>G1780-R1780</f>
        <v/>
      </c>
      <c r="AC1780" s="33" t="n"/>
    </row>
    <row r="1781" ht="18.75" customHeight="1">
      <c r="A1781" s="35">
        <f>SUBTOTAL(103,$B$24:B1781)</f>
        <v/>
      </c>
      <c r="B1781" s="36" t="inlineStr">
        <is>
          <t>Гирі 10 гр -1 кг</t>
        </is>
      </c>
      <c r="C1781" s="37" t="inlineStr">
        <is>
          <t>к-т</t>
        </is>
      </c>
      <c r="D1781" s="33" t="n"/>
      <c r="E1781" s="33" t="n"/>
      <c r="F1781" s="33">
        <f>E1781*0.05</f>
        <v/>
      </c>
      <c r="G1781" s="33">
        <f>E1781+F1781</f>
        <v/>
      </c>
      <c r="H1781" s="33" t="n"/>
      <c r="I1781" s="33" t="n"/>
      <c r="J1781" s="33" t="n"/>
      <c r="K1781" s="33">
        <f>L1781+M1781+N1781</f>
        <v/>
      </c>
      <c r="L1781" s="33" t="n"/>
      <c r="M1781" s="33" t="n"/>
      <c r="N1781" s="33" t="n"/>
      <c r="O1781" s="33">
        <f>P1781+Q1781</f>
        <v/>
      </c>
      <c r="P1781" s="33" t="n"/>
      <c r="Q1781" s="33" t="n"/>
      <c r="R1781" s="33">
        <f>H1781+K1781-O1781</f>
        <v/>
      </c>
      <c r="S1781" s="33" t="n"/>
      <c r="T1781" s="33" t="n"/>
      <c r="U1781" s="33" t="n"/>
      <c r="V1781" s="33" t="n"/>
      <c r="W1781" s="33" t="n"/>
      <c r="X1781" s="33" t="n"/>
      <c r="Y1781" s="33" t="n"/>
      <c r="Z1781" s="33" t="n"/>
      <c r="AA1781" s="4">
        <f>R1781-G1781</f>
        <v/>
      </c>
      <c r="AB1781" s="4">
        <f>G1781-R1781</f>
        <v/>
      </c>
      <c r="AC1781" s="33" t="n"/>
    </row>
    <row r="1782" ht="18.75" customHeight="1">
      <c r="A1782" s="35">
        <f>SUBTOTAL(103,$B$24:B1782)</f>
        <v/>
      </c>
      <c r="B1782" s="36" t="inlineStr">
        <is>
          <t>Гирі 2 кг</t>
        </is>
      </c>
      <c r="C1782" s="37" t="inlineStr">
        <is>
          <t>к-т</t>
        </is>
      </c>
      <c r="D1782" s="33" t="n"/>
      <c r="E1782" s="33" t="n"/>
      <c r="F1782" s="33">
        <f>E1782*0.05</f>
        <v/>
      </c>
      <c r="G1782" s="33">
        <f>E1782+F1782</f>
        <v/>
      </c>
      <c r="H1782" s="33" t="n"/>
      <c r="I1782" s="33" t="n"/>
      <c r="J1782" s="33" t="n"/>
      <c r="K1782" s="33">
        <f>L1782+M1782+N1782</f>
        <v/>
      </c>
      <c r="L1782" s="33" t="n"/>
      <c r="M1782" s="33" t="n"/>
      <c r="N1782" s="33" t="n"/>
      <c r="O1782" s="33">
        <f>P1782+Q1782</f>
        <v/>
      </c>
      <c r="P1782" s="33" t="n"/>
      <c r="Q1782" s="33" t="n"/>
      <c r="R1782" s="33">
        <f>H1782+K1782-O1782</f>
        <v/>
      </c>
      <c r="S1782" s="33" t="n"/>
      <c r="T1782" s="33" t="n"/>
      <c r="U1782" s="33" t="n"/>
      <c r="V1782" s="33" t="n"/>
      <c r="W1782" s="33" t="n"/>
      <c r="X1782" s="33" t="n"/>
      <c r="Y1782" s="33" t="n"/>
      <c r="Z1782" s="33" t="n"/>
      <c r="AA1782" s="4">
        <f>R1782-G1782</f>
        <v/>
      </c>
      <c r="AB1782" s="4">
        <f>G1782-R1782</f>
        <v/>
      </c>
      <c r="AC1782" s="33" t="n"/>
    </row>
    <row r="1783" ht="18.75" customHeight="1">
      <c r="A1783" s="35">
        <f>SUBTOTAL(103,$B$24:B1783)</f>
        <v/>
      </c>
      <c r="B1783" s="36" t="inlineStr">
        <is>
          <t>Гирі 2 кг</t>
        </is>
      </c>
      <c r="C1783" s="37" t="inlineStr">
        <is>
          <t>к-т</t>
        </is>
      </c>
      <c r="D1783" s="33" t="n"/>
      <c r="E1783" s="33" t="n"/>
      <c r="F1783" s="33">
        <f>E1783*0.05</f>
        <v/>
      </c>
      <c r="G1783" s="33">
        <f>E1783+F1783</f>
        <v/>
      </c>
      <c r="H1783" s="33" t="n"/>
      <c r="I1783" s="33" t="n"/>
      <c r="J1783" s="33" t="n"/>
      <c r="K1783" s="33">
        <f>L1783+M1783+N1783</f>
        <v/>
      </c>
      <c r="L1783" s="33" t="n"/>
      <c r="M1783" s="33" t="n"/>
      <c r="N1783" s="33" t="n"/>
      <c r="O1783" s="33">
        <f>P1783+Q1783</f>
        <v/>
      </c>
      <c r="P1783" s="33" t="n"/>
      <c r="Q1783" s="33" t="n"/>
      <c r="R1783" s="33">
        <f>H1783+K1783-O1783</f>
        <v/>
      </c>
      <c r="S1783" s="33" t="n"/>
      <c r="T1783" s="33" t="n"/>
      <c r="U1783" s="33" t="n"/>
      <c r="V1783" s="33" t="n"/>
      <c r="W1783" s="33" t="n"/>
      <c r="X1783" s="33" t="n"/>
      <c r="Y1783" s="33" t="n"/>
      <c r="Z1783" s="33" t="n"/>
      <c r="AA1783" s="4">
        <f>R1783-G1783</f>
        <v/>
      </c>
      <c r="AB1783" s="4">
        <f>G1783-R1783</f>
        <v/>
      </c>
      <c r="AC1783" s="33" t="n"/>
    </row>
    <row r="1784" ht="18.75" customHeight="1">
      <c r="A1784" s="35">
        <f>SUBTOTAL(103,$B$24:B1784)</f>
        <v/>
      </c>
      <c r="B1784" s="36" t="inlineStr">
        <is>
          <t>Гирі 0,01 кг -5 кг</t>
        </is>
      </c>
      <c r="C1784" s="37" t="inlineStr">
        <is>
          <t>к-т</t>
        </is>
      </c>
      <c r="D1784" s="33" t="n"/>
      <c r="E1784" s="33" t="n"/>
      <c r="F1784" s="33">
        <f>E1784*0.05</f>
        <v/>
      </c>
      <c r="G1784" s="33">
        <f>E1784+F1784</f>
        <v/>
      </c>
      <c r="H1784" s="33" t="n"/>
      <c r="I1784" s="33" t="n"/>
      <c r="J1784" s="33" t="n"/>
      <c r="K1784" s="33">
        <f>L1784+M1784+N1784</f>
        <v/>
      </c>
      <c r="L1784" s="33" t="n"/>
      <c r="M1784" s="33" t="n"/>
      <c r="N1784" s="33" t="n"/>
      <c r="O1784" s="33">
        <f>P1784+Q1784</f>
        <v/>
      </c>
      <c r="P1784" s="33" t="n"/>
      <c r="Q1784" s="33" t="n"/>
      <c r="R1784" s="33">
        <f>H1784+K1784-O1784</f>
        <v/>
      </c>
      <c r="S1784" s="33" t="n"/>
      <c r="T1784" s="33" t="n"/>
      <c r="U1784" s="33" t="n"/>
      <c r="V1784" s="33" t="n"/>
      <c r="W1784" s="33" t="n"/>
      <c r="X1784" s="33" t="n"/>
      <c r="Y1784" s="33" t="n"/>
      <c r="Z1784" s="33" t="n"/>
      <c r="AA1784" s="4">
        <f>R1784-G1784</f>
        <v/>
      </c>
      <c r="AB1784" s="4">
        <f>G1784-R1784</f>
        <v/>
      </c>
      <c r="AC1784" s="33" t="n"/>
    </row>
    <row r="1785" ht="18.75" customHeight="1">
      <c r="A1785" s="35">
        <f>SUBTOTAL(103,$B$24:B1785)</f>
        <v/>
      </c>
      <c r="B1785" s="36" t="inlineStr">
        <is>
          <t>Гирі 1 кг - 5 кг</t>
        </is>
      </c>
      <c r="C1785" s="37" t="inlineStr">
        <is>
          <t>к-т</t>
        </is>
      </c>
      <c r="D1785" s="33" t="n"/>
      <c r="E1785" s="33" t="n"/>
      <c r="F1785" s="33">
        <f>E1785*0.05</f>
        <v/>
      </c>
      <c r="G1785" s="33">
        <f>E1785+F1785</f>
        <v/>
      </c>
      <c r="H1785" s="33" t="n"/>
      <c r="I1785" s="33" t="n"/>
      <c r="J1785" s="33" t="n"/>
      <c r="K1785" s="33">
        <f>L1785+M1785+N1785</f>
        <v/>
      </c>
      <c r="L1785" s="33" t="n"/>
      <c r="M1785" s="33" t="n"/>
      <c r="N1785" s="33" t="n"/>
      <c r="O1785" s="33">
        <f>P1785+Q1785</f>
        <v/>
      </c>
      <c r="P1785" s="33" t="n"/>
      <c r="Q1785" s="33" t="n"/>
      <c r="R1785" s="33">
        <f>H1785+K1785-O1785</f>
        <v/>
      </c>
      <c r="S1785" s="33" t="n"/>
      <c r="T1785" s="33" t="n"/>
      <c r="U1785" s="33" t="n"/>
      <c r="V1785" s="33" t="n"/>
      <c r="W1785" s="33" t="n"/>
      <c r="X1785" s="33" t="n"/>
      <c r="Y1785" s="33" t="n"/>
      <c r="Z1785" s="33" t="n"/>
      <c r="AA1785" s="4">
        <f>R1785-G1785</f>
        <v/>
      </c>
      <c r="AB1785" s="4">
        <f>G1785-R1785</f>
        <v/>
      </c>
      <c r="AC1785" s="33" t="n"/>
    </row>
    <row r="1786" ht="18.75" customHeight="1">
      <c r="A1786" s="35">
        <f>SUBTOTAL(103,$B$24:B1786)</f>
        <v/>
      </c>
      <c r="B1786" s="36" t="inlineStr">
        <is>
          <t>Гирі до товарів ваг 20-200 кг</t>
        </is>
      </c>
      <c r="C1786" s="37" t="inlineStr">
        <is>
          <t>шт.</t>
        </is>
      </c>
      <c r="D1786" s="33" t="n"/>
      <c r="E1786" s="33" t="n"/>
      <c r="F1786" s="33">
        <f>E1786*0.05</f>
        <v/>
      </c>
      <c r="G1786" s="33">
        <f>E1786+F1786</f>
        <v/>
      </c>
      <c r="H1786" s="33" t="n"/>
      <c r="I1786" s="33" t="n"/>
      <c r="J1786" s="33" t="n"/>
      <c r="K1786" s="33">
        <f>L1786+M1786+N1786</f>
        <v/>
      </c>
      <c r="L1786" s="33" t="n"/>
      <c r="M1786" s="33" t="n"/>
      <c r="N1786" s="33" t="n"/>
      <c r="O1786" s="33">
        <f>P1786+Q1786</f>
        <v/>
      </c>
      <c r="P1786" s="33" t="n"/>
      <c r="Q1786" s="33" t="n"/>
      <c r="R1786" s="33">
        <f>H1786+K1786-O1786</f>
        <v/>
      </c>
      <c r="S1786" s="33" t="n"/>
      <c r="T1786" s="33" t="n"/>
      <c r="U1786" s="33" t="n"/>
      <c r="V1786" s="33" t="n"/>
      <c r="W1786" s="33" t="n"/>
      <c r="X1786" s="33" t="n"/>
      <c r="Y1786" s="33" t="n"/>
      <c r="Z1786" s="33" t="n"/>
      <c r="AA1786" s="4">
        <f>R1786-G1786</f>
        <v/>
      </c>
      <c r="AB1786" s="4">
        <f>G1786-R1786</f>
        <v/>
      </c>
      <c r="AC1786" s="33" t="n"/>
    </row>
    <row r="1787" ht="18.75" customHeight="1">
      <c r="A1787" s="35">
        <f>SUBTOTAL(103,$B$24:B1787)</f>
        <v/>
      </c>
      <c r="B1787" s="36" t="inlineStr">
        <is>
          <t>Гирі до товарів ваг 500 кг</t>
        </is>
      </c>
      <c r="C1787" s="37" t="inlineStr">
        <is>
          <t>шт.</t>
        </is>
      </c>
      <c r="D1787" s="33" t="n"/>
      <c r="E1787" s="33" t="n"/>
      <c r="F1787" s="33">
        <f>E1787*0.05</f>
        <v/>
      </c>
      <c r="G1787" s="33">
        <f>E1787+F1787</f>
        <v/>
      </c>
      <c r="H1787" s="33" t="n"/>
      <c r="I1787" s="33" t="n"/>
      <c r="J1787" s="33" t="n"/>
      <c r="K1787" s="33">
        <f>L1787+M1787+N1787</f>
        <v/>
      </c>
      <c r="L1787" s="33" t="n"/>
      <c r="M1787" s="33" t="n"/>
      <c r="N1787" s="33" t="n"/>
      <c r="O1787" s="33">
        <f>P1787+Q1787</f>
        <v/>
      </c>
      <c r="P1787" s="33" t="n"/>
      <c r="Q1787" s="33" t="n"/>
      <c r="R1787" s="33">
        <f>H1787+K1787-O1787</f>
        <v/>
      </c>
      <c r="S1787" s="33" t="n"/>
      <c r="T1787" s="33" t="n"/>
      <c r="U1787" s="33" t="n"/>
      <c r="V1787" s="33" t="n"/>
      <c r="W1787" s="33" t="n"/>
      <c r="X1787" s="33" t="n"/>
      <c r="Y1787" s="33" t="n"/>
      <c r="Z1787" s="33" t="n"/>
      <c r="AA1787" s="4">
        <f>R1787-G1787</f>
        <v/>
      </c>
      <c r="AB1787" s="4">
        <f>G1787-R1787</f>
        <v/>
      </c>
      <c r="AC1787" s="33" t="n"/>
    </row>
    <row r="1788" ht="18.75" customHeight="1">
      <c r="A1788" s="35">
        <f>SUBTOTAL(103,$B$24:B1788)</f>
        <v/>
      </c>
      <c r="B1788" s="36" t="inlineStr">
        <is>
          <t>Гирі до товарів ваг 100 кг</t>
        </is>
      </c>
      <c r="C1788" s="37" t="inlineStr">
        <is>
          <t>шт.</t>
        </is>
      </c>
      <c r="D1788" s="33" t="n"/>
      <c r="E1788" s="33" t="n"/>
      <c r="F1788" s="33">
        <f>E1788*0.05</f>
        <v/>
      </c>
      <c r="G1788" s="33">
        <f>E1788+F1788</f>
        <v/>
      </c>
      <c r="H1788" s="33" t="n"/>
      <c r="I1788" s="33" t="n"/>
      <c r="J1788" s="33" t="n"/>
      <c r="K1788" s="33">
        <f>L1788+M1788+N1788</f>
        <v/>
      </c>
      <c r="L1788" s="33" t="n"/>
      <c r="M1788" s="33" t="n"/>
      <c r="N1788" s="33" t="n"/>
      <c r="O1788" s="33">
        <f>P1788+Q1788</f>
        <v/>
      </c>
      <c r="P1788" s="33" t="n"/>
      <c r="Q1788" s="33" t="n"/>
      <c r="R1788" s="33">
        <f>H1788+K1788-O1788</f>
        <v/>
      </c>
      <c r="S1788" s="33" t="n"/>
      <c r="T1788" s="33" t="n"/>
      <c r="U1788" s="33" t="n"/>
      <c r="V1788" s="33" t="n"/>
      <c r="W1788" s="33" t="n"/>
      <c r="X1788" s="33" t="n"/>
      <c r="Y1788" s="33" t="n"/>
      <c r="Z1788" s="33" t="n"/>
      <c r="AA1788" s="4">
        <f>R1788-G1788</f>
        <v/>
      </c>
      <c r="AB1788" s="4">
        <f>G1788-R1788</f>
        <v/>
      </c>
      <c r="AC1788" s="33" t="n"/>
    </row>
    <row r="1789" ht="18.75" customHeight="1">
      <c r="A1789" s="35">
        <f>SUBTOTAL(103,$B$24:B1789)</f>
        <v/>
      </c>
      <c r="B1789" s="36" t="inlineStr">
        <is>
          <t>Гирі до товарів ваг 50 кг</t>
        </is>
      </c>
      <c r="C1789" s="37" t="inlineStr">
        <is>
          <t>шт.</t>
        </is>
      </c>
      <c r="D1789" s="33" t="n"/>
      <c r="E1789" s="33" t="n"/>
      <c r="F1789" s="33">
        <f>E1789*0.05</f>
        <v/>
      </c>
      <c r="G1789" s="33">
        <f>E1789+F1789</f>
        <v/>
      </c>
      <c r="H1789" s="33" t="n"/>
      <c r="I1789" s="33" t="n"/>
      <c r="J1789" s="33" t="n"/>
      <c r="K1789" s="33">
        <f>L1789+M1789+N1789</f>
        <v/>
      </c>
      <c r="L1789" s="33" t="n"/>
      <c r="M1789" s="33" t="n"/>
      <c r="N1789" s="33" t="n"/>
      <c r="O1789" s="33">
        <f>P1789+Q1789</f>
        <v/>
      </c>
      <c r="P1789" s="33" t="n"/>
      <c r="Q1789" s="33" t="n"/>
      <c r="R1789" s="33">
        <f>H1789+K1789-O1789</f>
        <v/>
      </c>
      <c r="S1789" s="33" t="n"/>
      <c r="T1789" s="33" t="n"/>
      <c r="U1789" s="33" t="n"/>
      <c r="V1789" s="33" t="n"/>
      <c r="W1789" s="33" t="n"/>
      <c r="X1789" s="33" t="n"/>
      <c r="Y1789" s="33" t="n"/>
      <c r="Z1789" s="33" t="n"/>
      <c r="AA1789" s="4">
        <f>R1789-G1789</f>
        <v/>
      </c>
      <c r="AB1789" s="4">
        <f>G1789-R1789</f>
        <v/>
      </c>
      <c r="AC1789" s="33" t="n"/>
    </row>
    <row r="1790" ht="18.75" customHeight="1">
      <c r="A1790" s="35">
        <f>SUBTOTAL(103,$B$24:B1790)</f>
        <v/>
      </c>
      <c r="B1790" s="36" t="inlineStr">
        <is>
          <t>Гирі до товарів ваг 20 кг</t>
        </is>
      </c>
      <c r="C1790" s="37" t="inlineStr">
        <is>
          <t>шт.</t>
        </is>
      </c>
      <c r="D1790" s="33" t="n"/>
      <c r="E1790" s="33" t="n"/>
      <c r="F1790" s="33">
        <f>E1790*0.05</f>
        <v/>
      </c>
      <c r="G1790" s="33">
        <f>E1790+F1790</f>
        <v/>
      </c>
      <c r="H1790" s="33" t="n"/>
      <c r="I1790" s="33" t="n"/>
      <c r="J1790" s="33" t="n"/>
      <c r="K1790" s="33">
        <f>L1790+M1790+N1790</f>
        <v/>
      </c>
      <c r="L1790" s="33" t="n"/>
      <c r="M1790" s="33" t="n"/>
      <c r="N1790" s="33" t="n"/>
      <c r="O1790" s="33">
        <f>P1790+Q1790</f>
        <v/>
      </c>
      <c r="P1790" s="33" t="n"/>
      <c r="Q1790" s="33" t="n"/>
      <c r="R1790" s="33">
        <f>H1790+K1790-O1790</f>
        <v/>
      </c>
      <c r="S1790" s="33" t="n"/>
      <c r="T1790" s="33" t="n"/>
      <c r="U1790" s="33" t="n"/>
      <c r="V1790" s="33" t="n"/>
      <c r="W1790" s="33" t="n"/>
      <c r="X1790" s="33" t="n"/>
      <c r="Y1790" s="33" t="n"/>
      <c r="Z1790" s="33" t="n"/>
      <c r="AA1790" s="4">
        <f>R1790-G1790</f>
        <v/>
      </c>
      <c r="AB1790" s="4">
        <f>G1790-R1790</f>
        <v/>
      </c>
      <c r="AC1790" s="33" t="n"/>
    </row>
    <row r="1791" ht="18.75" customHeight="1">
      <c r="A1791" s="35">
        <f>SUBTOTAL(103,$B$24:B1791)</f>
        <v/>
      </c>
      <c r="B1791" s="36" t="inlineStr">
        <is>
          <t>Гирі до товарів ваг 10 кг</t>
        </is>
      </c>
      <c r="C1791" s="37" t="inlineStr">
        <is>
          <t>шт.</t>
        </is>
      </c>
      <c r="D1791" s="33" t="n"/>
      <c r="E1791" s="33" t="n"/>
      <c r="F1791" s="33">
        <f>E1791*0.05</f>
        <v/>
      </c>
      <c r="G1791" s="33">
        <f>E1791+F1791</f>
        <v/>
      </c>
      <c r="H1791" s="33" t="n"/>
      <c r="I1791" s="33" t="n"/>
      <c r="J1791" s="33" t="n"/>
      <c r="K1791" s="33">
        <f>L1791+M1791+N1791</f>
        <v/>
      </c>
      <c r="L1791" s="33" t="n"/>
      <c r="M1791" s="33" t="n"/>
      <c r="N1791" s="33" t="n"/>
      <c r="O1791" s="33">
        <f>P1791+Q1791</f>
        <v/>
      </c>
      <c r="P1791" s="33" t="n"/>
      <c r="Q1791" s="33" t="n"/>
      <c r="R1791" s="33">
        <f>H1791+K1791-O1791</f>
        <v/>
      </c>
      <c r="S1791" s="33" t="n"/>
      <c r="T1791" s="33" t="n"/>
      <c r="U1791" s="33" t="n"/>
      <c r="V1791" s="33" t="n"/>
      <c r="W1791" s="33" t="n"/>
      <c r="X1791" s="33" t="n"/>
      <c r="Y1791" s="33" t="n"/>
      <c r="Z1791" s="33" t="n"/>
      <c r="AA1791" s="4">
        <f>R1791-G1791</f>
        <v/>
      </c>
      <c r="AB1791" s="4">
        <f>G1791-R1791</f>
        <v/>
      </c>
      <c r="AC1791" s="33" t="n"/>
    </row>
    <row r="1792" ht="18.75" customHeight="1">
      <c r="A1792" s="35">
        <f>SUBTOTAL(103,$B$24:B1792)</f>
        <v/>
      </c>
      <c r="B1792" s="36" t="inlineStr">
        <is>
          <t>Гирі до товарів ваг 5 кг</t>
        </is>
      </c>
      <c r="C1792" s="37" t="inlineStr">
        <is>
          <t>шт.</t>
        </is>
      </c>
      <c r="D1792" s="33" t="n"/>
      <c r="E1792" s="33" t="n"/>
      <c r="F1792" s="33">
        <f>E1792*0.05</f>
        <v/>
      </c>
      <c r="G1792" s="33">
        <f>E1792+F1792</f>
        <v/>
      </c>
      <c r="H1792" s="33" t="n"/>
      <c r="I1792" s="33" t="n"/>
      <c r="J1792" s="33" t="n"/>
      <c r="K1792" s="33">
        <f>L1792+M1792+N1792</f>
        <v/>
      </c>
      <c r="L1792" s="33" t="n"/>
      <c r="M1792" s="33" t="n"/>
      <c r="N1792" s="33" t="n"/>
      <c r="O1792" s="33">
        <f>P1792+Q1792</f>
        <v/>
      </c>
      <c r="P1792" s="33" t="n"/>
      <c r="Q1792" s="33" t="n"/>
      <c r="R1792" s="33">
        <f>H1792+K1792-O1792</f>
        <v/>
      </c>
      <c r="S1792" s="33" t="n"/>
      <c r="T1792" s="33" t="n"/>
      <c r="U1792" s="33" t="n"/>
      <c r="V1792" s="33" t="n"/>
      <c r="W1792" s="33" t="n"/>
      <c r="X1792" s="33" t="n"/>
      <c r="Y1792" s="33" t="n"/>
      <c r="Z1792" s="33" t="n"/>
      <c r="AA1792" s="4">
        <f>R1792-G1792</f>
        <v/>
      </c>
      <c r="AB1792" s="4">
        <f>G1792-R1792</f>
        <v/>
      </c>
      <c r="AC1792" s="33" t="n"/>
    </row>
    <row r="1793" ht="18.75" customHeight="1">
      <c r="A1793" s="35">
        <f>SUBTOTAL(103,$B$24:B1793)</f>
        <v/>
      </c>
      <c r="B1793" s="36" t="inlineStr">
        <is>
          <t>Гирі до товарів ваг 2 кг</t>
        </is>
      </c>
      <c r="C1793" s="37" t="inlineStr">
        <is>
          <t>шт.</t>
        </is>
      </c>
      <c r="D1793" s="33" t="n"/>
      <c r="E1793" s="33" t="n"/>
      <c r="F1793" s="33">
        <f>E1793*0.05</f>
        <v/>
      </c>
      <c r="G1793" s="33">
        <f>E1793+F1793</f>
        <v/>
      </c>
      <c r="H1793" s="33" t="n"/>
      <c r="I1793" s="33" t="n"/>
      <c r="J1793" s="33" t="n"/>
      <c r="K1793" s="33">
        <f>L1793+M1793+N1793</f>
        <v/>
      </c>
      <c r="L1793" s="33" t="n"/>
      <c r="M1793" s="33" t="n"/>
      <c r="N1793" s="33" t="n"/>
      <c r="O1793" s="33">
        <f>P1793+Q1793</f>
        <v/>
      </c>
      <c r="P1793" s="33" t="n"/>
      <c r="Q1793" s="33" t="n"/>
      <c r="R1793" s="33">
        <f>H1793+K1793-O1793</f>
        <v/>
      </c>
      <c r="S1793" s="33" t="n"/>
      <c r="T1793" s="33" t="n"/>
      <c r="U1793" s="33" t="n"/>
      <c r="V1793" s="33" t="n"/>
      <c r="W1793" s="33" t="n"/>
      <c r="X1793" s="33" t="n"/>
      <c r="Y1793" s="33" t="n"/>
      <c r="Z1793" s="33" t="n"/>
      <c r="AA1793" s="4">
        <f>R1793-G1793</f>
        <v/>
      </c>
      <c r="AB1793" s="4">
        <f>G1793-R1793</f>
        <v/>
      </c>
      <c r="AC1793" s="33" t="n"/>
    </row>
    <row r="1794" ht="18.75" customHeight="1">
      <c r="A1794" s="35">
        <f>SUBTOTAL(103,$B$24:B1794)</f>
        <v/>
      </c>
      <c r="B1794" s="36" t="inlineStr">
        <is>
          <t>Гирі до товарів ваг 1 кг</t>
        </is>
      </c>
      <c r="C1794" s="37" t="inlineStr">
        <is>
          <t>шт.</t>
        </is>
      </c>
      <c r="D1794" s="33" t="n"/>
      <c r="E1794" s="33" t="n"/>
      <c r="F1794" s="33">
        <f>E1794*0.05</f>
        <v/>
      </c>
      <c r="G1794" s="33">
        <f>E1794+F1794</f>
        <v/>
      </c>
      <c r="H1794" s="33" t="n"/>
      <c r="I1794" s="33" t="n"/>
      <c r="J1794" s="33" t="n"/>
      <c r="K1794" s="33">
        <f>L1794+M1794+N1794</f>
        <v/>
      </c>
      <c r="L1794" s="33" t="n"/>
      <c r="M1794" s="33" t="n"/>
      <c r="N1794" s="33" t="n"/>
      <c r="O1794" s="33">
        <f>P1794+Q1794</f>
        <v/>
      </c>
      <c r="P1794" s="33" t="n"/>
      <c r="Q1794" s="33" t="n"/>
      <c r="R1794" s="33">
        <f>H1794+K1794-O1794</f>
        <v/>
      </c>
      <c r="S1794" s="33" t="n"/>
      <c r="T1794" s="33" t="n"/>
      <c r="U1794" s="33" t="n"/>
      <c r="V1794" s="33" t="n"/>
      <c r="W1794" s="33" t="n"/>
      <c r="X1794" s="33" t="n"/>
      <c r="Y1794" s="33" t="n"/>
      <c r="Z1794" s="33" t="n"/>
      <c r="AA1794" s="4">
        <f>R1794-G1794</f>
        <v/>
      </c>
      <c r="AB1794" s="4">
        <f>G1794-R1794</f>
        <v/>
      </c>
      <c r="AC1794" s="33" t="n"/>
    </row>
    <row r="1795" ht="18.75" customHeight="1">
      <c r="A1795" s="35">
        <f>SUBTOTAL(103,$B$24:B1795)</f>
        <v/>
      </c>
      <c r="B1795" s="36" t="inlineStr">
        <is>
          <t>Гирі до зразкових ваг</t>
        </is>
      </c>
      <c r="C1795" s="37" t="inlineStr">
        <is>
          <t>шт.</t>
        </is>
      </c>
      <c r="D1795" s="33" t="n"/>
      <c r="E1795" s="33" t="n"/>
      <c r="F1795" s="33">
        <f>E1795*0.05</f>
        <v/>
      </c>
      <c r="G1795" s="33">
        <f>E1795+F1795</f>
        <v/>
      </c>
      <c r="H1795" s="33" t="n"/>
      <c r="I1795" s="33" t="n"/>
      <c r="J1795" s="33" t="n"/>
      <c r="K1795" s="33">
        <f>L1795+M1795+N1795</f>
        <v/>
      </c>
      <c r="L1795" s="33" t="n"/>
      <c r="M1795" s="33" t="n"/>
      <c r="N1795" s="33" t="n"/>
      <c r="O1795" s="33">
        <f>P1795+Q1795</f>
        <v/>
      </c>
      <c r="P1795" s="33" t="n"/>
      <c r="Q1795" s="33" t="n"/>
      <c r="R1795" s="33">
        <f>H1795+K1795-O1795</f>
        <v/>
      </c>
      <c r="S1795" s="33" t="n"/>
      <c r="T1795" s="33" t="n"/>
      <c r="U1795" s="33" t="n"/>
      <c r="V1795" s="33" t="n"/>
      <c r="W1795" s="33" t="n"/>
      <c r="X1795" s="33" t="n"/>
      <c r="Y1795" s="33" t="n"/>
      <c r="Z1795" s="33" t="n"/>
      <c r="AA1795" s="4">
        <f>R1795-G1795</f>
        <v/>
      </c>
      <c r="AB1795" s="4">
        <f>G1795-R1795</f>
        <v/>
      </c>
      <c r="AC1795" s="33" t="n"/>
    </row>
    <row r="1796" ht="18.75" customHeight="1">
      <c r="A1796" s="35">
        <f>SUBTOTAL(103,$B$24:B1796)</f>
        <v/>
      </c>
      <c r="B1796" s="36" t="inlineStr">
        <is>
          <t>Гирі настільні вагові</t>
        </is>
      </c>
      <c r="C1796" s="37" t="inlineStr">
        <is>
          <t>к-т</t>
        </is>
      </c>
      <c r="D1796" s="33" t="n"/>
      <c r="E1796" s="33" t="n"/>
      <c r="F1796" s="33">
        <f>E1796*0.05</f>
        <v/>
      </c>
      <c r="G1796" s="33">
        <f>E1796+F1796</f>
        <v/>
      </c>
      <c r="H1796" s="33" t="n"/>
      <c r="I1796" s="33" t="n"/>
      <c r="J1796" s="33" t="n"/>
      <c r="K1796" s="33">
        <f>L1796+M1796+N1796</f>
        <v/>
      </c>
      <c r="L1796" s="33" t="n"/>
      <c r="M1796" s="33" t="n"/>
      <c r="N1796" s="33" t="n"/>
      <c r="O1796" s="33">
        <f>P1796+Q1796</f>
        <v/>
      </c>
      <c r="P1796" s="33" t="n"/>
      <c r="Q1796" s="33" t="n"/>
      <c r="R1796" s="33">
        <f>H1796+K1796-O1796</f>
        <v/>
      </c>
      <c r="S1796" s="33" t="n"/>
      <c r="T1796" s="33" t="n"/>
      <c r="U1796" s="33" t="n"/>
      <c r="V1796" s="33" t="n"/>
      <c r="W1796" s="33" t="n"/>
      <c r="X1796" s="33" t="n"/>
      <c r="Y1796" s="33" t="n"/>
      <c r="Z1796" s="33" t="n"/>
      <c r="AA1796" s="4">
        <f>R1796-G1796</f>
        <v/>
      </c>
      <c r="AB1796" s="4">
        <f>G1796-R1796</f>
        <v/>
      </c>
      <c r="AC1796" s="33" t="n"/>
    </row>
    <row r="1797" ht="18.75" customHeight="1">
      <c r="A1797" s="35">
        <f>SUBTOTAL(103,$B$24:B1797)</f>
        <v/>
      </c>
      <c r="B1797" s="36" t="inlineStr">
        <is>
          <t>Різноваги 2 гр - 500 гр</t>
        </is>
      </c>
      <c r="C1797" s="37" t="inlineStr">
        <is>
          <t>шт.</t>
        </is>
      </c>
      <c r="D1797" s="33" t="n"/>
      <c r="E1797" s="33" t="n"/>
      <c r="F1797" s="33">
        <f>E1797*0.05</f>
        <v/>
      </c>
      <c r="G1797" s="33">
        <f>E1797+F1797</f>
        <v/>
      </c>
      <c r="H1797" s="33" t="n"/>
      <c r="I1797" s="33" t="n"/>
      <c r="J1797" s="33" t="n"/>
      <c r="K1797" s="33">
        <f>L1797+M1797+N1797</f>
        <v/>
      </c>
      <c r="L1797" s="33" t="n"/>
      <c r="M1797" s="33" t="n"/>
      <c r="N1797" s="33" t="n"/>
      <c r="O1797" s="33">
        <f>P1797+Q1797</f>
        <v/>
      </c>
      <c r="P1797" s="33" t="n"/>
      <c r="Q1797" s="33" t="n"/>
      <c r="R1797" s="33">
        <f>H1797+K1797-O1797</f>
        <v/>
      </c>
      <c r="S1797" s="33" t="n"/>
      <c r="T1797" s="33" t="n"/>
      <c r="U1797" s="33" t="n"/>
      <c r="V1797" s="33" t="n"/>
      <c r="W1797" s="33" t="n"/>
      <c r="X1797" s="33" t="n"/>
      <c r="Y1797" s="33" t="n"/>
      <c r="Z1797" s="33" t="n"/>
      <c r="AA1797" s="4">
        <f>R1797-G1797</f>
        <v/>
      </c>
      <c r="AB1797" s="4">
        <f>G1797-R1797</f>
        <v/>
      </c>
      <c r="AC1797" s="33" t="n"/>
    </row>
    <row r="1798" ht="18.75" customHeight="1">
      <c r="A1798" s="35">
        <f>SUBTOTAL(103,$B$24:B1798)</f>
        <v/>
      </c>
      <c r="B1798" s="36" t="inlineStr">
        <is>
          <t>Різноваги 50 гр. до 500 гр</t>
        </is>
      </c>
      <c r="C1798" s="37" t="inlineStr">
        <is>
          <t>шт.</t>
        </is>
      </c>
      <c r="D1798" s="33" t="n"/>
      <c r="E1798" s="33" t="n"/>
      <c r="F1798" s="33">
        <f>E1798*0.05</f>
        <v/>
      </c>
      <c r="G1798" s="33">
        <f>E1798+F1798</f>
        <v/>
      </c>
      <c r="H1798" s="33" t="n"/>
      <c r="I1798" s="33" t="n"/>
      <c r="J1798" s="33" t="n"/>
      <c r="K1798" s="33">
        <f>L1798+M1798+N1798</f>
        <v/>
      </c>
      <c r="L1798" s="33" t="n"/>
      <c r="M1798" s="33" t="n"/>
      <c r="N1798" s="33" t="n"/>
      <c r="O1798" s="33">
        <f>P1798+Q1798</f>
        <v/>
      </c>
      <c r="P1798" s="33" t="n"/>
      <c r="Q1798" s="33" t="n"/>
      <c r="R1798" s="33">
        <f>H1798+K1798-O1798</f>
        <v/>
      </c>
      <c r="S1798" s="33" t="n"/>
      <c r="T1798" s="33" t="n"/>
      <c r="U1798" s="33" t="n"/>
      <c r="V1798" s="33" t="n"/>
      <c r="W1798" s="33" t="n"/>
      <c r="X1798" s="33" t="n"/>
      <c r="Y1798" s="33" t="n"/>
      <c r="Z1798" s="33" t="n"/>
      <c r="AA1798" s="4">
        <f>R1798-G1798</f>
        <v/>
      </c>
      <c r="AB1798" s="4">
        <f>G1798-R1798</f>
        <v/>
      </c>
      <c r="AC1798" s="33" t="n"/>
    </row>
    <row r="1799" ht="18.75" customHeight="1">
      <c r="A1799" s="35">
        <f>SUBTOTAL(103,$B$24:B1799)</f>
        <v/>
      </c>
      <c r="B1799" s="36" t="inlineStr">
        <is>
          <t>Рівноваги 500 гр. до 5 кг</t>
        </is>
      </c>
      <c r="C1799" s="37" t="inlineStr">
        <is>
          <t>шт.</t>
        </is>
      </c>
      <c r="D1799" s="33" t="n"/>
      <c r="E1799" s="33" t="n"/>
      <c r="F1799" s="33">
        <f>E1799*0.05</f>
        <v/>
      </c>
      <c r="G1799" s="33">
        <f>E1799+F1799</f>
        <v/>
      </c>
      <c r="H1799" s="33" t="n"/>
      <c r="I1799" s="33" t="n"/>
      <c r="J1799" s="33" t="n"/>
      <c r="K1799" s="33">
        <f>L1799+M1799+N1799</f>
        <v/>
      </c>
      <c r="L1799" s="33" t="n"/>
      <c r="M1799" s="33" t="n"/>
      <c r="N1799" s="33" t="n"/>
      <c r="O1799" s="33">
        <f>P1799+Q1799</f>
        <v/>
      </c>
      <c r="P1799" s="33" t="n"/>
      <c r="Q1799" s="33" t="n"/>
      <c r="R1799" s="33">
        <f>H1799+K1799-O1799</f>
        <v/>
      </c>
      <c r="S1799" s="33" t="n"/>
      <c r="T1799" s="33" t="n"/>
      <c r="U1799" s="33" t="n"/>
      <c r="V1799" s="33" t="n"/>
      <c r="W1799" s="33" t="n"/>
      <c r="X1799" s="33" t="n"/>
      <c r="Y1799" s="33" t="n"/>
      <c r="Z1799" s="33" t="n"/>
      <c r="AA1799" s="4">
        <f>R1799-G1799</f>
        <v/>
      </c>
      <c r="AB1799" s="4">
        <f>G1799-R1799</f>
        <v/>
      </c>
      <c r="AC1799" s="33" t="n"/>
    </row>
    <row r="1800" ht="18.75" customHeight="1">
      <c r="A1800" s="35">
        <f>SUBTOTAL(103,$B$24:B1800)</f>
        <v/>
      </c>
      <c r="B1800" s="36" t="inlineStr">
        <is>
          <t>Різноваги інші</t>
        </is>
      </c>
      <c r="C1800" s="37" t="inlineStr">
        <is>
          <t>шт.</t>
        </is>
      </c>
      <c r="D1800" s="33" t="n"/>
      <c r="E1800" s="33" t="n"/>
      <c r="F1800" s="33">
        <f>E1800*0.05</f>
        <v/>
      </c>
      <c r="G1800" s="33">
        <f>E1800+F1800</f>
        <v/>
      </c>
      <c r="H1800" s="33" t="n"/>
      <c r="I1800" s="33" t="n"/>
      <c r="J1800" s="33" t="n"/>
      <c r="K1800" s="33">
        <f>L1800+M1800+N1800</f>
        <v/>
      </c>
      <c r="L1800" s="33" t="n"/>
      <c r="M1800" s="33" t="n"/>
      <c r="N1800" s="33" t="n"/>
      <c r="O1800" s="33">
        <f>P1800+Q1800</f>
        <v/>
      </c>
      <c r="P1800" s="33" t="n"/>
      <c r="Q1800" s="33" t="n"/>
      <c r="R1800" s="33">
        <f>H1800+K1800-O1800</f>
        <v/>
      </c>
      <c r="S1800" s="33" t="n"/>
      <c r="T1800" s="33" t="n"/>
      <c r="U1800" s="33" t="n"/>
      <c r="V1800" s="33" t="n"/>
      <c r="W1800" s="33" t="n"/>
      <c r="X1800" s="33" t="n"/>
      <c r="Y1800" s="33" t="n"/>
      <c r="Z1800" s="33" t="n"/>
      <c r="AA1800" s="4">
        <f>R1800-G1800</f>
        <v/>
      </c>
      <c r="AB1800" s="4">
        <f>G1800-R1800</f>
        <v/>
      </c>
      <c r="AC1800" s="33" t="n"/>
    </row>
    <row r="1801" ht="18.75" customHeight="1">
      <c r="A1801" s="35">
        <f>SUBTOTAL(103,$B$24:B1801)</f>
        <v/>
      </c>
      <c r="B1801" s="44" t="inlineStr">
        <is>
          <t>РІЗНЕ МАЙНО</t>
        </is>
      </c>
      <c r="C1801" s="37" t="n"/>
      <c r="D1801" s="33" t="n"/>
      <c r="E1801" s="33" t="n"/>
      <c r="F1801" s="33">
        <f>E1801*0.05</f>
        <v/>
      </c>
      <c r="G1801" s="33">
        <f>E1801+F1801</f>
        <v/>
      </c>
      <c r="H1801" s="33" t="n"/>
      <c r="I1801" s="33" t="n"/>
      <c r="J1801" s="33" t="n"/>
      <c r="K1801" s="33">
        <f>L1801+M1801+N1801</f>
        <v/>
      </c>
      <c r="L1801" s="33" t="n"/>
      <c r="M1801" s="33" t="n"/>
      <c r="N1801" s="33" t="n"/>
      <c r="O1801" s="33">
        <f>P1801+Q1801</f>
        <v/>
      </c>
      <c r="P1801" s="33" t="n"/>
      <c r="Q1801" s="33" t="n"/>
      <c r="R1801" s="33">
        <f>H1801+K1801-O1801</f>
        <v/>
      </c>
      <c r="S1801" s="33" t="n"/>
      <c r="T1801" s="33" t="n"/>
      <c r="U1801" s="33" t="n"/>
      <c r="V1801" s="33" t="n"/>
      <c r="W1801" s="33" t="n"/>
      <c r="X1801" s="33" t="n"/>
      <c r="Y1801" s="33" t="n"/>
      <c r="Z1801" s="33" t="n"/>
      <c r="AA1801" s="4">
        <f>R1801-G1801</f>
        <v/>
      </c>
      <c r="AB1801" s="4">
        <f>G1801-R1801</f>
        <v/>
      </c>
      <c r="AC1801" s="33" t="n"/>
    </row>
    <row r="1802" ht="18.75" customHeight="1">
      <c r="A1802" s="35">
        <f>SUBTOTAL(103,$B$24:B1802)</f>
        <v/>
      </c>
      <c r="B1802" s="36" t="inlineStr">
        <is>
          <t>Помпи</t>
        </is>
      </c>
      <c r="C1802" s="37" t="inlineStr">
        <is>
          <t>к-т</t>
        </is>
      </c>
      <c r="D1802" s="33" t="n"/>
      <c r="E1802" s="33" t="n"/>
      <c r="F1802" s="33">
        <f>E1802*0.05</f>
        <v/>
      </c>
      <c r="G1802" s="33">
        <f>E1802+F1802</f>
        <v/>
      </c>
      <c r="H1802" s="33" t="n"/>
      <c r="I1802" s="33" t="n"/>
      <c r="J1802" s="33" t="n"/>
      <c r="K1802" s="33">
        <f>L1802+M1802+N1802</f>
        <v/>
      </c>
      <c r="L1802" s="33" t="n"/>
      <c r="M1802" s="33" t="n"/>
      <c r="N1802" s="33" t="n"/>
      <c r="O1802" s="33">
        <f>P1802+Q1802</f>
        <v/>
      </c>
      <c r="P1802" s="33" t="n"/>
      <c r="Q1802" s="33" t="n"/>
      <c r="R1802" s="33">
        <f>H1802+K1802-O1802</f>
        <v/>
      </c>
      <c r="S1802" s="33" t="n"/>
      <c r="T1802" s="33" t="n"/>
      <c r="U1802" s="33" t="n"/>
      <c r="V1802" s="33" t="n"/>
      <c r="W1802" s="33" t="n"/>
      <c r="X1802" s="33" t="n"/>
      <c r="Y1802" s="33" t="n"/>
      <c r="Z1802" s="33" t="n"/>
      <c r="AA1802" s="4">
        <f>R1802-G1802</f>
        <v/>
      </c>
      <c r="AB1802" s="4">
        <f>G1802-R1802</f>
        <v/>
      </c>
      <c r="AC1802" s="33" t="n"/>
    </row>
    <row r="1803" ht="18.75" customHeight="1">
      <c r="A1803" s="35">
        <f>SUBTOTAL(103,$B$24:B1803)</f>
        <v/>
      </c>
      <c r="B1803" s="36" t="inlineStr">
        <is>
          <t xml:space="preserve">Автомат торговий RHEA LUCE </t>
        </is>
      </c>
      <c r="C1803" s="37" t="inlineStr">
        <is>
          <t>к-т</t>
        </is>
      </c>
      <c r="D1803" s="33" t="n"/>
      <c r="E1803" s="33" t="n"/>
      <c r="F1803" s="33">
        <f>E1803*0.05</f>
        <v/>
      </c>
      <c r="G1803" s="33">
        <f>E1803+F1803</f>
        <v/>
      </c>
      <c r="H1803" s="33" t="n"/>
      <c r="I1803" s="33" t="n"/>
      <c r="J1803" s="33" t="n"/>
      <c r="K1803" s="33">
        <f>L1803+M1803+N1803</f>
        <v/>
      </c>
      <c r="L1803" s="33" t="n"/>
      <c r="M1803" s="33" t="n"/>
      <c r="N1803" s="33" t="n"/>
      <c r="O1803" s="33">
        <f>P1803+Q1803</f>
        <v/>
      </c>
      <c r="P1803" s="33" t="n"/>
      <c r="Q1803" s="33" t="n"/>
      <c r="R1803" s="33">
        <f>H1803+K1803-O1803</f>
        <v/>
      </c>
      <c r="S1803" s="33" t="n"/>
      <c r="T1803" s="33" t="n"/>
      <c r="U1803" s="33" t="n"/>
      <c r="V1803" s="33" t="n"/>
      <c r="W1803" s="33" t="n"/>
      <c r="X1803" s="33" t="n"/>
      <c r="Y1803" s="33" t="n"/>
      <c r="Z1803" s="33" t="n"/>
      <c r="AA1803" s="4">
        <f>R1803-G1803</f>
        <v/>
      </c>
      <c r="AB1803" s="4">
        <f>G1803-R1803</f>
        <v/>
      </c>
      <c r="AC1803" s="33" t="n"/>
    </row>
    <row r="1804" ht="18.75" customHeight="1">
      <c r="A1804" s="35">
        <f>SUBTOTAL(103,$B$24:B1804)</f>
        <v/>
      </c>
      <c r="B1804" s="36" t="inlineStr">
        <is>
          <t>Тринога</t>
        </is>
      </c>
      <c r="C1804" s="37" t="inlineStr">
        <is>
          <t>шт.</t>
        </is>
      </c>
      <c r="D1804" s="33" t="n"/>
      <c r="E1804" s="33" t="n"/>
      <c r="F1804" s="33">
        <f>E1804*0.05</f>
        <v/>
      </c>
      <c r="G1804" s="33">
        <f>E1804+F1804</f>
        <v/>
      </c>
      <c r="H1804" s="33" t="n"/>
      <c r="I1804" s="33" t="n"/>
      <c r="J1804" s="33" t="n"/>
      <c r="K1804" s="33">
        <f>L1804+M1804+N1804</f>
        <v/>
      </c>
      <c r="L1804" s="33" t="n"/>
      <c r="M1804" s="33" t="n"/>
      <c r="N1804" s="33" t="n"/>
      <c r="O1804" s="33">
        <f>P1804+Q1804</f>
        <v/>
      </c>
      <c r="P1804" s="33" t="n"/>
      <c r="Q1804" s="33" t="n"/>
      <c r="R1804" s="33">
        <f>H1804+K1804-O1804</f>
        <v/>
      </c>
      <c r="S1804" s="33" t="n"/>
      <c r="T1804" s="33" t="n"/>
      <c r="U1804" s="33" t="n"/>
      <c r="V1804" s="33" t="n"/>
      <c r="W1804" s="33" t="n"/>
      <c r="X1804" s="33" t="n"/>
      <c r="Y1804" s="33" t="n"/>
      <c r="Z1804" s="33" t="n"/>
      <c r="AA1804" s="4">
        <f>R1804-G1804</f>
        <v/>
      </c>
      <c r="AB1804" s="4">
        <f>G1804-R1804</f>
        <v/>
      </c>
      <c r="AC1804" s="33" t="n"/>
    </row>
    <row r="1805" ht="18.75" customHeight="1">
      <c r="A1805" s="35">
        <f>SUBTOTAL(103,$B$24:B1805)</f>
        <v/>
      </c>
      <c r="B1805" s="36" t="inlineStr">
        <is>
          <t>Колодки для рубання м'яса</t>
        </is>
      </c>
      <c r="C1805" s="37" t="inlineStr">
        <is>
          <t>шт.</t>
        </is>
      </c>
      <c r="D1805" s="33" t="n"/>
      <c r="E1805" s="33" t="n"/>
      <c r="F1805" s="33">
        <f>E1805*0.05</f>
        <v/>
      </c>
      <c r="G1805" s="33">
        <f>E1805+F1805</f>
        <v/>
      </c>
      <c r="H1805" s="33" t="n"/>
      <c r="I1805" s="33" t="n"/>
      <c r="J1805" s="33" t="n"/>
      <c r="K1805" s="33">
        <f>L1805+M1805+N1805</f>
        <v/>
      </c>
      <c r="L1805" s="33" t="n"/>
      <c r="M1805" s="33" t="n"/>
      <c r="N1805" s="33" t="n"/>
      <c r="O1805" s="33">
        <f>P1805+Q1805</f>
        <v/>
      </c>
      <c r="P1805" s="33" t="n"/>
      <c r="Q1805" s="33" t="n"/>
      <c r="R1805" s="33">
        <f>H1805+K1805-O1805</f>
        <v/>
      </c>
      <c r="S1805" s="33" t="n"/>
      <c r="T1805" s="33" t="n"/>
      <c r="U1805" s="33" t="n"/>
      <c r="V1805" s="33" t="n"/>
      <c r="W1805" s="33" t="n"/>
      <c r="X1805" s="33" t="n"/>
      <c r="Y1805" s="33" t="n"/>
      <c r="Z1805" s="33" t="n"/>
      <c r="AA1805" s="4">
        <f>R1805-G1805</f>
        <v/>
      </c>
      <c r="AB1805" s="4">
        <f>G1805-R1805</f>
        <v/>
      </c>
      <c r="AC1805" s="33" t="n"/>
    </row>
    <row r="1806" ht="18.75" customHeight="1">
      <c r="A1806" s="35">
        <f>SUBTOTAL(103,$B$24:B1806)</f>
        <v/>
      </c>
      <c r="B1806" s="36" t="inlineStr">
        <is>
          <t>Бункери  для  харчових  відходів</t>
        </is>
      </c>
      <c r="C1806" s="37" t="inlineStr">
        <is>
          <t>шт.</t>
        </is>
      </c>
      <c r="D1806" s="33" t="n"/>
      <c r="E1806" s="33" t="n"/>
      <c r="F1806" s="33">
        <f>E1806*0.05</f>
        <v/>
      </c>
      <c r="G1806" s="33">
        <f>E1806+F1806</f>
        <v/>
      </c>
      <c r="H1806" s="33" t="n"/>
      <c r="I1806" s="33" t="n"/>
      <c r="J1806" s="33" t="n"/>
      <c r="K1806" s="33">
        <f>L1806+M1806+N1806</f>
        <v/>
      </c>
      <c r="L1806" s="33" t="n"/>
      <c r="M1806" s="33" t="n"/>
      <c r="N1806" s="33" t="n"/>
      <c r="O1806" s="33">
        <f>P1806+Q1806</f>
        <v/>
      </c>
      <c r="P1806" s="33" t="n"/>
      <c r="Q1806" s="33" t="n"/>
      <c r="R1806" s="33">
        <f>H1806+K1806-O1806</f>
        <v/>
      </c>
      <c r="S1806" s="33" t="n"/>
      <c r="T1806" s="33" t="n"/>
      <c r="U1806" s="33" t="n"/>
      <c r="V1806" s="33" t="n"/>
      <c r="W1806" s="33" t="n"/>
      <c r="X1806" s="33" t="n"/>
      <c r="Y1806" s="33" t="n"/>
      <c r="Z1806" s="33" t="n"/>
      <c r="AA1806" s="4">
        <f>R1806-G1806</f>
        <v/>
      </c>
      <c r="AB1806" s="4">
        <f>G1806-R1806</f>
        <v/>
      </c>
      <c r="AC1806" s="33" t="n"/>
    </row>
    <row r="1807" ht="18.75" customHeight="1">
      <c r="A1807" s="35">
        <f>SUBTOTAL(103,$B$24:B1807)</f>
        <v/>
      </c>
      <c r="B1807" s="36" t="inlineStr">
        <is>
          <t>Шпротниця</t>
        </is>
      </c>
      <c r="C1807" s="37" t="inlineStr">
        <is>
          <t>шт.</t>
        </is>
      </c>
      <c r="D1807" s="33" t="n"/>
      <c r="E1807" s="33" t="n"/>
      <c r="F1807" s="33">
        <f>E1807*0.05</f>
        <v/>
      </c>
      <c r="G1807" s="33">
        <f>E1807+F1807</f>
        <v/>
      </c>
      <c r="H1807" s="33" t="n"/>
      <c r="I1807" s="33" t="n"/>
      <c r="J1807" s="33" t="n"/>
      <c r="K1807" s="33">
        <f>L1807+M1807+N1807</f>
        <v/>
      </c>
      <c r="L1807" s="33" t="n"/>
      <c r="M1807" s="33" t="n"/>
      <c r="N1807" s="33" t="n"/>
      <c r="O1807" s="33">
        <f>P1807+Q1807</f>
        <v/>
      </c>
      <c r="P1807" s="33" t="n"/>
      <c r="Q1807" s="33" t="n"/>
      <c r="R1807" s="33">
        <f>H1807+K1807-O1807</f>
        <v/>
      </c>
      <c r="S1807" s="33" t="n"/>
      <c r="T1807" s="33" t="n"/>
      <c r="U1807" s="33" t="n"/>
      <c r="V1807" s="33" t="n"/>
      <c r="W1807" s="33" t="n"/>
      <c r="X1807" s="33" t="n"/>
      <c r="Y1807" s="33" t="n"/>
      <c r="Z1807" s="33" t="n"/>
      <c r="AA1807" s="4">
        <f>R1807-G1807</f>
        <v/>
      </c>
      <c r="AB1807" s="4">
        <f>G1807-R1807</f>
        <v/>
      </c>
      <c r="AC1807" s="33" t="n"/>
    </row>
    <row r="1808" ht="18.75" customHeight="1">
      <c r="A1808" s="35">
        <f>SUBTOTAL(103,$B$24:B1808)</f>
        <v/>
      </c>
      <c r="B1808" s="36" t="inlineStr">
        <is>
          <t xml:space="preserve">Умивальник однососковий </t>
        </is>
      </c>
      <c r="C1808" s="37" t="inlineStr">
        <is>
          <t>к-т</t>
        </is>
      </c>
      <c r="D1808" s="33" t="n"/>
      <c r="E1808" s="33" t="n"/>
      <c r="F1808" s="33">
        <f>E1808*0.05</f>
        <v/>
      </c>
      <c r="G1808" s="33">
        <f>E1808+F1808</f>
        <v/>
      </c>
      <c r="H1808" s="33" t="n"/>
      <c r="I1808" s="33" t="n"/>
      <c r="J1808" s="33" t="n"/>
      <c r="K1808" s="33">
        <f>L1808+M1808+N1808</f>
        <v/>
      </c>
      <c r="L1808" s="33" t="n"/>
      <c r="M1808" s="33" t="n"/>
      <c r="N1808" s="33" t="n"/>
      <c r="O1808" s="33">
        <f>P1808+Q1808</f>
        <v/>
      </c>
      <c r="P1808" s="33" t="n"/>
      <c r="Q1808" s="33" t="n"/>
      <c r="R1808" s="33">
        <f>H1808+K1808-O1808</f>
        <v/>
      </c>
      <c r="S1808" s="33" t="n"/>
      <c r="T1808" s="33" t="n"/>
      <c r="U1808" s="33" t="n"/>
      <c r="V1808" s="33" t="n"/>
      <c r="W1808" s="33" t="n"/>
      <c r="X1808" s="33" t="n"/>
      <c r="Y1808" s="33" t="n"/>
      <c r="Z1808" s="33" t="n"/>
      <c r="AA1808" s="4">
        <f>R1808-G1808</f>
        <v/>
      </c>
      <c r="AB1808" s="4">
        <f>G1808-R1808</f>
        <v/>
      </c>
      <c r="AC1808" s="33" t="n"/>
    </row>
    <row r="1809" ht="18.75" customHeight="1">
      <c r="A1809" s="35">
        <f>SUBTOTAL(103,$B$24:B1809)</f>
        <v/>
      </c>
      <c r="B1809" s="36" t="inlineStr">
        <is>
          <t>Лампа "Летюча миша"</t>
        </is>
      </c>
      <c r="C1809" s="37" t="inlineStr">
        <is>
          <t>к-т</t>
        </is>
      </c>
      <c r="D1809" s="33" t="n"/>
      <c r="E1809" s="33" t="n"/>
      <c r="F1809" s="33">
        <f>E1809*0.05</f>
        <v/>
      </c>
      <c r="G1809" s="33">
        <f>E1809+F1809</f>
        <v/>
      </c>
      <c r="H1809" s="33" t="n"/>
      <c r="I1809" s="33" t="n"/>
      <c r="J1809" s="33" t="n"/>
      <c r="K1809" s="33">
        <f>L1809+M1809+N1809</f>
        <v/>
      </c>
      <c r="L1809" s="33" t="n"/>
      <c r="M1809" s="33" t="n"/>
      <c r="N1809" s="33" t="n"/>
      <c r="O1809" s="33">
        <f>P1809+Q1809</f>
        <v/>
      </c>
      <c r="P1809" s="33" t="n"/>
      <c r="Q1809" s="33" t="n"/>
      <c r="R1809" s="33">
        <f>H1809+K1809-O1809</f>
        <v/>
      </c>
      <c r="S1809" s="33" t="n"/>
      <c r="T1809" s="33" t="n"/>
      <c r="U1809" s="33" t="n"/>
      <c r="V1809" s="33" t="n"/>
      <c r="W1809" s="33" t="n"/>
      <c r="X1809" s="33" t="n"/>
      <c r="Y1809" s="33" t="n"/>
      <c r="Z1809" s="33" t="n"/>
      <c r="AA1809" s="4">
        <f>R1809-G1809</f>
        <v/>
      </c>
      <c r="AB1809" s="4">
        <f>G1809-R1809</f>
        <v/>
      </c>
      <c r="AC1809" s="33" t="n"/>
    </row>
    <row r="1810" ht="37.5" customHeight="1">
      <c r="A1810" s="35">
        <f>SUBTOTAL(103,$B$24:B1810)</f>
        <v/>
      </c>
      <c r="B1810" s="36" t="inlineStr">
        <is>
          <t>Комплект для картопляного пюре ROBOT COUPE</t>
        </is>
      </c>
      <c r="C1810" s="37" t="inlineStr">
        <is>
          <t>к-т</t>
        </is>
      </c>
      <c r="D1810" s="33" t="n"/>
      <c r="E1810" s="33" t="n"/>
      <c r="F1810" s="33">
        <f>E1810*0.05</f>
        <v/>
      </c>
      <c r="G1810" s="33">
        <f>E1810+F1810</f>
        <v/>
      </c>
      <c r="H1810" s="33" t="n"/>
      <c r="I1810" s="33" t="n"/>
      <c r="J1810" s="33" t="n"/>
      <c r="K1810" s="33">
        <f>L1810+M1810+N1810</f>
        <v/>
      </c>
      <c r="L1810" s="33" t="n"/>
      <c r="M1810" s="33" t="n"/>
      <c r="N1810" s="33" t="n"/>
      <c r="O1810" s="33">
        <f>P1810+Q1810</f>
        <v/>
      </c>
      <c r="P1810" s="33" t="n"/>
      <c r="Q1810" s="33" t="n"/>
      <c r="R1810" s="33">
        <f>H1810+K1810-O1810</f>
        <v/>
      </c>
      <c r="S1810" s="33" t="n"/>
      <c r="T1810" s="33" t="n"/>
      <c r="U1810" s="33" t="n"/>
      <c r="V1810" s="33" t="n"/>
      <c r="W1810" s="33" t="n"/>
      <c r="X1810" s="33" t="n"/>
      <c r="Y1810" s="33" t="n"/>
      <c r="Z1810" s="33" t="n"/>
      <c r="AA1810" s="4">
        <f>R1810-G1810</f>
        <v/>
      </c>
      <c r="AB1810" s="4">
        <f>G1810-R1810</f>
        <v/>
      </c>
      <c r="AC1810" s="33" t="n"/>
    </row>
    <row r="1811" ht="37.5" customHeight="1">
      <c r="A1811" s="35">
        <f>SUBTOTAL(103,$B$24:B1811)</f>
        <v/>
      </c>
      <c r="B1811" s="36" t="inlineStr">
        <is>
          <t>Комплект дисків для овочерізки ROBOT COUPE</t>
        </is>
      </c>
      <c r="C1811" s="37" t="inlineStr">
        <is>
          <t>к-т</t>
        </is>
      </c>
      <c r="D1811" s="33" t="n"/>
      <c r="E1811" s="33" t="n"/>
      <c r="F1811" s="33">
        <f>E1811*0.05</f>
        <v/>
      </c>
      <c r="G1811" s="33">
        <f>E1811+F1811</f>
        <v/>
      </c>
      <c r="H1811" s="33" t="n"/>
      <c r="I1811" s="33" t="n"/>
      <c r="J1811" s="33" t="n"/>
      <c r="K1811" s="33">
        <f>L1811+M1811+N1811</f>
        <v/>
      </c>
      <c r="L1811" s="33" t="n"/>
      <c r="M1811" s="33" t="n"/>
      <c r="N1811" s="33" t="n"/>
      <c r="O1811" s="33">
        <f>P1811+Q1811</f>
        <v/>
      </c>
      <c r="P1811" s="33" t="n"/>
      <c r="Q1811" s="33" t="n"/>
      <c r="R1811" s="33">
        <f>H1811+K1811-O1811</f>
        <v/>
      </c>
      <c r="S1811" s="33" t="n"/>
      <c r="T1811" s="33" t="n"/>
      <c r="U1811" s="33" t="n"/>
      <c r="V1811" s="33" t="n"/>
      <c r="W1811" s="33" t="n"/>
      <c r="X1811" s="33" t="n"/>
      <c r="Y1811" s="33" t="n"/>
      <c r="Z1811" s="33" t="n"/>
      <c r="AA1811" s="4">
        <f>R1811-G1811</f>
        <v/>
      </c>
      <c r="AB1811" s="4">
        <f>G1811-R1811</f>
        <v/>
      </c>
      <c r="AC1811" s="33" t="n"/>
    </row>
    <row r="1812" ht="18.75" customHeight="1">
      <c r="A1812" s="35">
        <f>SUBTOTAL(103,$B$24:B1812)</f>
        <v/>
      </c>
      <c r="B1812" s="36" t="inlineStr">
        <is>
          <t>Подрібнювач харчових відходів</t>
        </is>
      </c>
      <c r="C1812" s="37" t="inlineStr">
        <is>
          <t>шт.</t>
        </is>
      </c>
      <c r="D1812" s="33" t="n"/>
      <c r="E1812" s="33" t="n"/>
      <c r="F1812" s="33">
        <f>E1812*0.05</f>
        <v/>
      </c>
      <c r="G1812" s="33">
        <f>E1812+F1812</f>
        <v/>
      </c>
      <c r="H1812" s="33" t="n"/>
      <c r="I1812" s="33" t="n"/>
      <c r="J1812" s="33" t="n"/>
      <c r="K1812" s="33">
        <f>L1812+M1812+N1812</f>
        <v/>
      </c>
      <c r="L1812" s="33" t="n"/>
      <c r="M1812" s="33" t="n"/>
      <c r="N1812" s="33" t="n"/>
      <c r="O1812" s="33">
        <f>P1812+Q1812</f>
        <v/>
      </c>
      <c r="P1812" s="33" t="n"/>
      <c r="Q1812" s="33" t="n"/>
      <c r="R1812" s="33">
        <f>H1812+K1812-O1812</f>
        <v/>
      </c>
      <c r="S1812" s="33" t="n"/>
      <c r="T1812" s="33" t="n"/>
      <c r="U1812" s="33" t="n"/>
      <c r="V1812" s="33" t="n"/>
      <c r="W1812" s="33" t="n"/>
      <c r="X1812" s="33" t="n"/>
      <c r="Y1812" s="33" t="n"/>
      <c r="Z1812" s="33" t="n"/>
      <c r="AA1812" s="4">
        <f>R1812-G1812</f>
        <v/>
      </c>
      <c r="AB1812" s="4">
        <f>G1812-R1812</f>
        <v/>
      </c>
      <c r="AC1812" s="33" t="n"/>
    </row>
    <row r="1813" ht="18.75" customHeight="1">
      <c r="A1813" s="35">
        <f>SUBTOTAL(103,$B$24:B1813)</f>
        <v/>
      </c>
      <c r="B1813" s="36" t="inlineStr">
        <is>
          <t>Кочерга залізна</t>
        </is>
      </c>
      <c r="C1813" s="37" t="inlineStr">
        <is>
          <t>шт.</t>
        </is>
      </c>
      <c r="D1813" s="33" t="n"/>
      <c r="E1813" s="33" t="n"/>
      <c r="F1813" s="33">
        <f>E1813*0.05</f>
        <v/>
      </c>
      <c r="G1813" s="33">
        <f>E1813+F1813</f>
        <v/>
      </c>
      <c r="H1813" s="33" t="n"/>
      <c r="I1813" s="33" t="n"/>
      <c r="J1813" s="33" t="n"/>
      <c r="K1813" s="33">
        <f>L1813+M1813+N1813</f>
        <v/>
      </c>
      <c r="L1813" s="33" t="n"/>
      <c r="M1813" s="33" t="n"/>
      <c r="N1813" s="33" t="n"/>
      <c r="O1813" s="33">
        <f>P1813+Q1813</f>
        <v/>
      </c>
      <c r="P1813" s="33" t="n"/>
      <c r="Q1813" s="33" t="n"/>
      <c r="R1813" s="33">
        <f>H1813+K1813-O1813</f>
        <v/>
      </c>
      <c r="S1813" s="33" t="n"/>
      <c r="T1813" s="33" t="n"/>
      <c r="U1813" s="33" t="n"/>
      <c r="V1813" s="33" t="n"/>
      <c r="W1813" s="33" t="n"/>
      <c r="X1813" s="33" t="n"/>
      <c r="Y1813" s="33" t="n"/>
      <c r="Z1813" s="33" t="n"/>
      <c r="AA1813" s="4">
        <f>R1813-G1813</f>
        <v/>
      </c>
      <c r="AB1813" s="4">
        <f>G1813-R1813</f>
        <v/>
      </c>
      <c r="AC1813" s="33" t="n"/>
    </row>
    <row r="1814" ht="18.75" customHeight="1">
      <c r="A1814" s="35">
        <f>SUBTOTAL(103,$B$24:B1814)</f>
        <v/>
      </c>
      <c r="B1814" s="36" t="inlineStr">
        <is>
          <t>Ковш для води</t>
        </is>
      </c>
      <c r="C1814" s="37" t="inlineStr">
        <is>
          <t>шт.</t>
        </is>
      </c>
      <c r="D1814" s="33" t="n"/>
      <c r="E1814" s="33" t="n"/>
      <c r="F1814" s="33">
        <f>E1814*0.05</f>
        <v/>
      </c>
      <c r="G1814" s="33">
        <f>E1814+F1814</f>
        <v/>
      </c>
      <c r="H1814" s="33" t="n"/>
      <c r="I1814" s="33" t="n"/>
      <c r="J1814" s="33" t="n"/>
      <c r="K1814" s="33">
        <f>L1814+M1814+N1814</f>
        <v/>
      </c>
      <c r="L1814" s="33" t="n"/>
      <c r="M1814" s="33" t="n"/>
      <c r="N1814" s="33" t="n"/>
      <c r="O1814" s="33">
        <f>P1814+Q1814</f>
        <v/>
      </c>
      <c r="P1814" s="33" t="n"/>
      <c r="Q1814" s="33" t="n"/>
      <c r="R1814" s="33">
        <f>H1814+K1814-O1814</f>
        <v/>
      </c>
      <c r="S1814" s="33" t="n"/>
      <c r="T1814" s="33" t="n"/>
      <c r="U1814" s="33" t="n"/>
      <c r="V1814" s="33" t="n"/>
      <c r="W1814" s="33" t="n"/>
      <c r="X1814" s="33" t="n"/>
      <c r="Y1814" s="33" t="n"/>
      <c r="Z1814" s="33" t="n"/>
      <c r="AA1814" s="4">
        <f>R1814-G1814</f>
        <v/>
      </c>
      <c r="AB1814" s="4">
        <f>G1814-R1814</f>
        <v/>
      </c>
      <c r="AC1814" s="33" t="n"/>
    </row>
    <row r="1815" ht="18.75" customHeight="1">
      <c r="A1815" s="35">
        <f>SUBTOTAL(103,$B$24:B1815)</f>
        <v/>
      </c>
      <c r="B1815" s="36" t="inlineStr">
        <is>
          <t>Ніж підрізний МІМ-300</t>
        </is>
      </c>
      <c r="C1815" s="37" t="inlineStr">
        <is>
          <t>шт.</t>
        </is>
      </c>
      <c r="D1815" s="33" t="n"/>
      <c r="E1815" s="33" t="n"/>
      <c r="F1815" s="33">
        <f>E1815*0.05</f>
        <v/>
      </c>
      <c r="G1815" s="33">
        <f>E1815+F1815</f>
        <v/>
      </c>
      <c r="H1815" s="33" t="n"/>
      <c r="I1815" s="33" t="n"/>
      <c r="J1815" s="33" t="n"/>
      <c r="K1815" s="33">
        <f>L1815+M1815+N1815</f>
        <v/>
      </c>
      <c r="L1815" s="33" t="n"/>
      <c r="M1815" s="33" t="n"/>
      <c r="N1815" s="33" t="n"/>
      <c r="O1815" s="33">
        <f>P1815+Q1815</f>
        <v/>
      </c>
      <c r="P1815" s="33" t="n"/>
      <c r="Q1815" s="33" t="n"/>
      <c r="R1815" s="33">
        <f>H1815+K1815-O1815</f>
        <v/>
      </c>
      <c r="S1815" s="33" t="n"/>
      <c r="T1815" s="33" t="n"/>
      <c r="U1815" s="33" t="n"/>
      <c r="V1815" s="33" t="n"/>
      <c r="W1815" s="33" t="n"/>
      <c r="X1815" s="33" t="n"/>
      <c r="Y1815" s="33" t="n"/>
      <c r="Z1815" s="33" t="n"/>
      <c r="AA1815" s="4">
        <f>R1815-G1815</f>
        <v/>
      </c>
      <c r="AB1815" s="4">
        <f>G1815-R1815</f>
        <v/>
      </c>
      <c r="AC1815" s="33" t="n"/>
    </row>
    <row r="1816" ht="18.75" customHeight="1">
      <c r="A1816" s="35">
        <f>SUBTOTAL(103,$B$24:B1816)</f>
        <v/>
      </c>
      <c r="B1816" s="36" t="inlineStr">
        <is>
          <t xml:space="preserve">Ніж 2-х сторонній МІМ-300 </t>
        </is>
      </c>
      <c r="C1816" s="37" t="inlineStr">
        <is>
          <t>шт.</t>
        </is>
      </c>
      <c r="D1816" s="33" t="n"/>
      <c r="E1816" s="33" t="n"/>
      <c r="F1816" s="33">
        <f>E1816*0.05</f>
        <v/>
      </c>
      <c r="G1816" s="33">
        <f>E1816+F1816</f>
        <v/>
      </c>
      <c r="H1816" s="33" t="n"/>
      <c r="I1816" s="33" t="n"/>
      <c r="J1816" s="33" t="n"/>
      <c r="K1816" s="33">
        <f>L1816+M1816+N1816</f>
        <v/>
      </c>
      <c r="L1816" s="33" t="n"/>
      <c r="M1816" s="33" t="n"/>
      <c r="N1816" s="33" t="n"/>
      <c r="O1816" s="33">
        <f>P1816+Q1816</f>
        <v/>
      </c>
      <c r="P1816" s="33" t="n"/>
      <c r="Q1816" s="33" t="n"/>
      <c r="R1816" s="33">
        <f>H1816+K1816-O1816</f>
        <v/>
      </c>
      <c r="S1816" s="33" t="n"/>
      <c r="T1816" s="33" t="n"/>
      <c r="U1816" s="33" t="n"/>
      <c r="V1816" s="33" t="n"/>
      <c r="W1816" s="33" t="n"/>
      <c r="X1816" s="33" t="n"/>
      <c r="Y1816" s="33" t="n"/>
      <c r="Z1816" s="33" t="n"/>
      <c r="AA1816" s="4">
        <f>R1816-G1816</f>
        <v/>
      </c>
      <c r="AB1816" s="4">
        <f>G1816-R1816</f>
        <v/>
      </c>
      <c r="AC1816" s="33" t="n"/>
    </row>
    <row r="1817" ht="18.75" customHeight="1">
      <c r="A1817" s="35">
        <f>SUBTOTAL(103,$B$24:B1817)</f>
        <v/>
      </c>
      <c r="B1817" s="36" t="inlineStr">
        <is>
          <t>Сітка вінілопластикова</t>
        </is>
      </c>
      <c r="C1817" s="37" t="inlineStr">
        <is>
          <t>шт.</t>
        </is>
      </c>
      <c r="D1817" s="33" t="n"/>
      <c r="E1817" s="33" t="n"/>
      <c r="F1817" s="33">
        <f>E1817*0.05</f>
        <v/>
      </c>
      <c r="G1817" s="33">
        <f>E1817+F1817</f>
        <v/>
      </c>
      <c r="H1817" s="33" t="n"/>
      <c r="I1817" s="33" t="n"/>
      <c r="J1817" s="33" t="n"/>
      <c r="K1817" s="33">
        <f>L1817+M1817+N1817</f>
        <v/>
      </c>
      <c r="L1817" s="33" t="n"/>
      <c r="M1817" s="33" t="n"/>
      <c r="N1817" s="33" t="n"/>
      <c r="O1817" s="33">
        <f>P1817+Q1817</f>
        <v/>
      </c>
      <c r="P1817" s="33" t="n"/>
      <c r="Q1817" s="33" t="n"/>
      <c r="R1817" s="33">
        <f>H1817+K1817-O1817</f>
        <v/>
      </c>
      <c r="S1817" s="33" t="n"/>
      <c r="T1817" s="33" t="n"/>
      <c r="U1817" s="33" t="n"/>
      <c r="V1817" s="33" t="n"/>
      <c r="W1817" s="33" t="n"/>
      <c r="X1817" s="33" t="n"/>
      <c r="Y1817" s="33" t="n"/>
      <c r="Z1817" s="33" t="n"/>
      <c r="AA1817" s="4">
        <f>R1817-G1817</f>
        <v/>
      </c>
      <c r="AB1817" s="4">
        <f>G1817-R1817</f>
        <v/>
      </c>
      <c r="AC1817" s="33" t="n"/>
    </row>
    <row r="1818" ht="18.75" customHeight="1">
      <c r="A1818" s="35">
        <f>SUBTOTAL(103,$B$24:B1818)</f>
        <v/>
      </c>
      <c r="B1818" s="36" t="inlineStr">
        <is>
          <t>Крохмалоуловлювач</t>
        </is>
      </c>
      <c r="C1818" s="37" t="inlineStr">
        <is>
          <t>шт.</t>
        </is>
      </c>
      <c r="D1818" s="33" t="n"/>
      <c r="E1818" s="33" t="n"/>
      <c r="F1818" s="33">
        <f>E1818*0.05</f>
        <v/>
      </c>
      <c r="G1818" s="33">
        <f>E1818+F1818</f>
        <v/>
      </c>
      <c r="H1818" s="33" t="n"/>
      <c r="I1818" s="33" t="n"/>
      <c r="J1818" s="33" t="n"/>
      <c r="K1818" s="33">
        <f>L1818+M1818+N1818</f>
        <v/>
      </c>
      <c r="L1818" s="33" t="n"/>
      <c r="M1818" s="33" t="n"/>
      <c r="N1818" s="33" t="n"/>
      <c r="O1818" s="33">
        <f>P1818+Q1818</f>
        <v/>
      </c>
      <c r="P1818" s="33" t="n"/>
      <c r="Q1818" s="33" t="n"/>
      <c r="R1818" s="33">
        <f>H1818+K1818-O1818</f>
        <v/>
      </c>
      <c r="S1818" s="33" t="n"/>
      <c r="T1818" s="33" t="n"/>
      <c r="U1818" s="33" t="n"/>
      <c r="V1818" s="33" t="n"/>
      <c r="W1818" s="33" t="n"/>
      <c r="X1818" s="33" t="n"/>
      <c r="Y1818" s="33" t="n"/>
      <c r="Z1818" s="33" t="n"/>
      <c r="AA1818" s="4">
        <f>R1818-G1818</f>
        <v/>
      </c>
      <c r="AB1818" s="4">
        <f>G1818-R1818</f>
        <v/>
      </c>
      <c r="AC1818" s="33" t="n"/>
    </row>
    <row r="1819" ht="18.75" customHeight="1">
      <c r="A1819" s="35">
        <f>SUBTOTAL(103,$B$24:B1819)</f>
        <v/>
      </c>
      <c r="B1819" s="36" t="inlineStr">
        <is>
          <t>Секція-вставка</t>
        </is>
      </c>
      <c r="C1819" s="37" t="inlineStr">
        <is>
          <t>к-т</t>
        </is>
      </c>
      <c r="D1819" s="33" t="n"/>
      <c r="E1819" s="33" t="n"/>
      <c r="F1819" s="33">
        <f>E1819*0.05</f>
        <v/>
      </c>
      <c r="G1819" s="33">
        <f>E1819+F1819</f>
        <v/>
      </c>
      <c r="H1819" s="33" t="n"/>
      <c r="I1819" s="33" t="n"/>
      <c r="J1819" s="33" t="n"/>
      <c r="K1819" s="33">
        <f>L1819+M1819+N1819</f>
        <v/>
      </c>
      <c r="L1819" s="33" t="n"/>
      <c r="M1819" s="33" t="n"/>
      <c r="N1819" s="33" t="n"/>
      <c r="O1819" s="33">
        <f>P1819+Q1819</f>
        <v/>
      </c>
      <c r="P1819" s="33" t="n"/>
      <c r="Q1819" s="33" t="n"/>
      <c r="R1819" s="33">
        <f>H1819+K1819-O1819</f>
        <v/>
      </c>
      <c r="S1819" s="33" t="n"/>
      <c r="T1819" s="33" t="n"/>
      <c r="U1819" s="33" t="n"/>
      <c r="V1819" s="33" t="n"/>
      <c r="W1819" s="33" t="n"/>
      <c r="X1819" s="33" t="n"/>
      <c r="Y1819" s="33" t="n"/>
      <c r="Z1819" s="33" t="n"/>
      <c r="AA1819" s="4">
        <f>R1819-G1819</f>
        <v/>
      </c>
      <c r="AB1819" s="4">
        <f>G1819-R1819</f>
        <v/>
      </c>
      <c r="AC1819" s="33" t="n"/>
    </row>
    <row r="1820" ht="18.75" customHeight="1">
      <c r="A1820" s="35">
        <f>SUBTOTAL(103,$B$24:B1820)</f>
        <v/>
      </c>
      <c r="B1820" s="36" t="inlineStr">
        <is>
          <t>Пароварка VC-4003</t>
        </is>
      </c>
      <c r="C1820" s="37" t="inlineStr">
        <is>
          <t>к-т</t>
        </is>
      </c>
      <c r="D1820" s="33" t="n"/>
      <c r="E1820" s="33" t="n"/>
      <c r="F1820" s="33">
        <f>E1820*0.05</f>
        <v/>
      </c>
      <c r="G1820" s="33">
        <f>E1820+F1820</f>
        <v/>
      </c>
      <c r="H1820" s="33" t="n"/>
      <c r="I1820" s="33" t="n"/>
      <c r="J1820" s="33" t="n"/>
      <c r="K1820" s="33">
        <f>L1820+M1820+N1820</f>
        <v/>
      </c>
      <c r="L1820" s="33" t="n"/>
      <c r="M1820" s="33" t="n"/>
      <c r="N1820" s="33" t="n"/>
      <c r="O1820" s="33">
        <f>P1820+Q1820</f>
        <v/>
      </c>
      <c r="P1820" s="33" t="n"/>
      <c r="Q1820" s="33" t="n"/>
      <c r="R1820" s="33">
        <f>H1820+K1820-O1820</f>
        <v/>
      </c>
      <c r="S1820" s="33" t="n"/>
      <c r="T1820" s="33" t="n"/>
      <c r="U1820" s="33" t="n"/>
      <c r="V1820" s="33" t="n"/>
      <c r="W1820" s="33" t="n"/>
      <c r="X1820" s="33" t="n"/>
      <c r="Y1820" s="33" t="n"/>
      <c r="Z1820" s="33" t="n"/>
      <c r="AA1820" s="4">
        <f>R1820-G1820</f>
        <v/>
      </c>
      <c r="AB1820" s="4">
        <f>G1820-R1820</f>
        <v/>
      </c>
      <c r="AC1820" s="33" t="n"/>
    </row>
    <row r="1821" ht="18.75" customHeight="1">
      <c r="A1821" s="35">
        <f>SUBTOTAL(103,$B$24:B1821)</f>
        <v/>
      </c>
      <c r="B1821" s="36" t="inlineStr">
        <is>
          <t>Апарат пароварочний АПЕ-0,23-АМ</t>
        </is>
      </c>
      <c r="C1821" s="37" t="inlineStr">
        <is>
          <t>к-т</t>
        </is>
      </c>
      <c r="D1821" s="33" t="n"/>
      <c r="E1821" s="33" t="n"/>
      <c r="F1821" s="33">
        <f>E1821*0.05</f>
        <v/>
      </c>
      <c r="G1821" s="33">
        <f>E1821+F1821</f>
        <v/>
      </c>
      <c r="H1821" s="33" t="n"/>
      <c r="I1821" s="33" t="n"/>
      <c r="J1821" s="33" t="n"/>
      <c r="K1821" s="33">
        <f>L1821+M1821+N1821</f>
        <v/>
      </c>
      <c r="L1821" s="33" t="n"/>
      <c r="M1821" s="33" t="n"/>
      <c r="N1821" s="33" t="n"/>
      <c r="O1821" s="33">
        <f>P1821+Q1821</f>
        <v/>
      </c>
      <c r="P1821" s="33" t="n"/>
      <c r="Q1821" s="33" t="n"/>
      <c r="R1821" s="33">
        <f>H1821+K1821-O1821</f>
        <v/>
      </c>
      <c r="S1821" s="33" t="n"/>
      <c r="T1821" s="33" t="n"/>
      <c r="U1821" s="33" t="n"/>
      <c r="V1821" s="33" t="n"/>
      <c r="W1821" s="33" t="n"/>
      <c r="X1821" s="33" t="n"/>
      <c r="Y1821" s="33" t="n"/>
      <c r="Z1821" s="33" t="n"/>
      <c r="AA1821" s="4">
        <f>R1821-G1821</f>
        <v/>
      </c>
      <c r="AB1821" s="4">
        <f>G1821-R1821</f>
        <v/>
      </c>
      <c r="AC1821" s="33" t="n"/>
    </row>
    <row r="1822" ht="18.75" customHeight="1">
      <c r="A1822" s="35">
        <f>SUBTOTAL(103,$B$24:B1822)</f>
        <v/>
      </c>
      <c r="B1822" s="36" t="inlineStr">
        <is>
          <t>Фен настінний</t>
        </is>
      </c>
      <c r="C1822" s="37" t="inlineStr">
        <is>
          <t>к-т</t>
        </is>
      </c>
      <c r="D1822" s="33" t="n"/>
      <c r="E1822" s="33" t="n"/>
      <c r="F1822" s="33">
        <f>E1822*0.05</f>
        <v/>
      </c>
      <c r="G1822" s="33">
        <f>E1822+F1822</f>
        <v/>
      </c>
      <c r="H1822" s="33" t="n"/>
      <c r="I1822" s="33" t="n"/>
      <c r="J1822" s="33" t="n"/>
      <c r="K1822" s="33">
        <f>L1822+M1822+N1822</f>
        <v/>
      </c>
      <c r="L1822" s="33" t="n"/>
      <c r="M1822" s="33" t="n"/>
      <c r="N1822" s="33" t="n"/>
      <c r="O1822" s="33">
        <f>P1822+Q1822</f>
        <v/>
      </c>
      <c r="P1822" s="33" t="n"/>
      <c r="Q1822" s="33" t="n"/>
      <c r="R1822" s="33">
        <f>H1822+K1822-O1822</f>
        <v/>
      </c>
      <c r="S1822" s="33" t="n"/>
      <c r="T1822" s="33" t="n"/>
      <c r="U1822" s="33" t="n"/>
      <c r="V1822" s="33" t="n"/>
      <c r="W1822" s="33" t="n"/>
      <c r="X1822" s="33" t="n"/>
      <c r="Y1822" s="33" t="n"/>
      <c r="Z1822" s="33" t="n"/>
      <c r="AA1822" s="4">
        <f>R1822-G1822</f>
        <v/>
      </c>
      <c r="AB1822" s="4">
        <f>G1822-R1822</f>
        <v/>
      </c>
      <c r="AC1822" s="33" t="n"/>
    </row>
    <row r="1823" ht="18.75" customHeight="1">
      <c r="A1823" s="35">
        <f>SUBTOTAL(103,$B$24:B1823)</f>
        <v/>
      </c>
      <c r="B1823" s="36" t="inlineStr">
        <is>
          <t>Ніжки для сталевої ванни</t>
        </is>
      </c>
      <c r="C1823" s="37" t="inlineStr">
        <is>
          <t>к-т</t>
        </is>
      </c>
      <c r="D1823" s="33" t="n"/>
      <c r="E1823" s="33" t="n"/>
      <c r="F1823" s="33">
        <f>E1823*0.05</f>
        <v/>
      </c>
      <c r="G1823" s="33">
        <f>E1823+F1823</f>
        <v/>
      </c>
      <c r="H1823" s="33" t="n"/>
      <c r="I1823" s="33" t="n"/>
      <c r="J1823" s="33" t="n"/>
      <c r="K1823" s="33">
        <f>L1823+M1823+N1823</f>
        <v/>
      </c>
      <c r="L1823" s="33" t="n"/>
      <c r="M1823" s="33" t="n"/>
      <c r="N1823" s="33" t="n"/>
      <c r="O1823" s="33">
        <f>P1823+Q1823</f>
        <v/>
      </c>
      <c r="P1823" s="33" t="n"/>
      <c r="Q1823" s="33" t="n"/>
      <c r="R1823" s="33">
        <f>H1823+K1823-O1823</f>
        <v/>
      </c>
      <c r="S1823" s="33" t="n"/>
      <c r="T1823" s="33" t="n"/>
      <c r="U1823" s="33" t="n"/>
      <c r="V1823" s="33" t="n"/>
      <c r="W1823" s="33" t="n"/>
      <c r="X1823" s="33" t="n"/>
      <c r="Y1823" s="33" t="n"/>
      <c r="Z1823" s="33" t="n"/>
      <c r="AA1823" s="4">
        <f>R1823-G1823</f>
        <v/>
      </c>
      <c r="AB1823" s="4">
        <f>G1823-R1823</f>
        <v/>
      </c>
      <c r="AC1823" s="33" t="n"/>
    </row>
    <row r="1824" ht="18.75" customHeight="1">
      <c r="A1824" s="35">
        <f>SUBTOTAL(103,$B$24:B1824)</f>
        <v/>
      </c>
      <c r="B1824" s="36" t="inlineStr">
        <is>
          <t>Нагрівательні єлементи до сковороди</t>
        </is>
      </c>
      <c r="C1824" s="37" t="inlineStr">
        <is>
          <t>к-т</t>
        </is>
      </c>
      <c r="D1824" s="33" t="n"/>
      <c r="E1824" s="33" t="n"/>
      <c r="F1824" s="33">
        <f>E1824*0.05</f>
        <v/>
      </c>
      <c r="G1824" s="33">
        <f>E1824+F1824</f>
        <v/>
      </c>
      <c r="H1824" s="33" t="n"/>
      <c r="I1824" s="33" t="n"/>
      <c r="J1824" s="33" t="n"/>
      <c r="K1824" s="33">
        <f>L1824+M1824+N1824</f>
        <v/>
      </c>
      <c r="L1824" s="33" t="n"/>
      <c r="M1824" s="33" t="n"/>
      <c r="N1824" s="33" t="n"/>
      <c r="O1824" s="33">
        <f>P1824+Q1824</f>
        <v/>
      </c>
      <c r="P1824" s="33" t="n"/>
      <c r="Q1824" s="33" t="n"/>
      <c r="R1824" s="33">
        <f>H1824+K1824-O1824</f>
        <v/>
      </c>
      <c r="S1824" s="33" t="n"/>
      <c r="T1824" s="33" t="n"/>
      <c r="U1824" s="33" t="n"/>
      <c r="V1824" s="33" t="n"/>
      <c r="W1824" s="33" t="n"/>
      <c r="X1824" s="33" t="n"/>
      <c r="Y1824" s="33" t="n"/>
      <c r="Z1824" s="33" t="n"/>
      <c r="AA1824" s="4">
        <f>R1824-G1824</f>
        <v/>
      </c>
      <c r="AB1824" s="4">
        <f>G1824-R1824</f>
        <v/>
      </c>
      <c r="AC1824" s="33" t="n"/>
    </row>
    <row r="1825" ht="18.75" customHeight="1">
      <c r="A1825" s="35">
        <f>SUBTOTAL(103,$B$24:B1825)</f>
        <v/>
      </c>
      <c r="B1825" s="36" t="inlineStr">
        <is>
          <t>Стерилізатор для ножів СН-10</t>
        </is>
      </c>
      <c r="C1825" s="37" t="inlineStr">
        <is>
          <t>к-т</t>
        </is>
      </c>
      <c r="D1825" s="33" t="n"/>
      <c r="E1825" s="33" t="n"/>
      <c r="F1825" s="33">
        <f>E1825*0.05</f>
        <v/>
      </c>
      <c r="G1825" s="33">
        <f>E1825+F1825</f>
        <v/>
      </c>
      <c r="H1825" s="33" t="n"/>
      <c r="I1825" s="33" t="n"/>
      <c r="J1825" s="33" t="n"/>
      <c r="K1825" s="33">
        <f>L1825+M1825+N1825</f>
        <v/>
      </c>
      <c r="L1825" s="33" t="n"/>
      <c r="M1825" s="33" t="n"/>
      <c r="N1825" s="33" t="n"/>
      <c r="O1825" s="33">
        <f>P1825+Q1825</f>
        <v/>
      </c>
      <c r="P1825" s="33" t="n"/>
      <c r="Q1825" s="33" t="n"/>
      <c r="R1825" s="33">
        <f>H1825+K1825-O1825</f>
        <v/>
      </c>
      <c r="S1825" s="33" t="n"/>
      <c r="T1825" s="33" t="n"/>
      <c r="U1825" s="33" t="n"/>
      <c r="V1825" s="33" t="n"/>
      <c r="W1825" s="33" t="n"/>
      <c r="X1825" s="33" t="n"/>
      <c r="Y1825" s="33" t="n"/>
      <c r="Z1825" s="33" t="n"/>
      <c r="AA1825" s="4">
        <f>R1825-G1825</f>
        <v/>
      </c>
      <c r="AB1825" s="4">
        <f>G1825-R1825</f>
        <v/>
      </c>
      <c r="AC1825" s="33" t="n"/>
    </row>
    <row r="1826" ht="18.75" customHeight="1">
      <c r="A1826" s="35">
        <f>SUBTOTAL(103,$B$24:B1826)</f>
        <v/>
      </c>
      <c r="B1826" s="36" t="inlineStr">
        <is>
          <t xml:space="preserve">Лотки хлібні </t>
        </is>
      </c>
      <c r="C1826" s="37" t="inlineStr">
        <is>
          <t>к-т</t>
        </is>
      </c>
      <c r="D1826" s="33" t="n"/>
      <c r="E1826" s="33" t="n"/>
      <c r="F1826" s="33">
        <f>E1826*0.05</f>
        <v/>
      </c>
      <c r="G1826" s="33">
        <f>E1826+F1826</f>
        <v/>
      </c>
      <c r="H1826" s="33" t="n"/>
      <c r="I1826" s="33" t="n"/>
      <c r="J1826" s="33" t="n"/>
      <c r="K1826" s="33">
        <f>L1826+M1826+N1826</f>
        <v/>
      </c>
      <c r="L1826" s="33" t="n"/>
      <c r="M1826" s="33" t="n"/>
      <c r="N1826" s="33" t="n"/>
      <c r="O1826" s="33">
        <f>P1826+Q1826</f>
        <v/>
      </c>
      <c r="P1826" s="33" t="n"/>
      <c r="Q1826" s="33" t="n"/>
      <c r="R1826" s="33">
        <f>H1826+K1826-O1826</f>
        <v/>
      </c>
      <c r="S1826" s="33" t="n"/>
      <c r="T1826" s="33" t="n"/>
      <c r="U1826" s="33" t="n"/>
      <c r="V1826" s="33" t="n"/>
      <c r="W1826" s="33" t="n"/>
      <c r="X1826" s="33" t="n"/>
      <c r="Y1826" s="33" t="n"/>
      <c r="Z1826" s="33" t="n"/>
      <c r="AA1826" s="4">
        <f>R1826-G1826</f>
        <v/>
      </c>
      <c r="AB1826" s="4">
        <f>G1826-R1826</f>
        <v/>
      </c>
      <c r="AC1826" s="33" t="n"/>
    </row>
    <row r="1827" ht="18.75" customHeight="1">
      <c r="A1827" s="35">
        <f>SUBTOTAL(103,$B$24:B1827)</f>
        <v/>
      </c>
      <c r="B1827" s="36" t="inlineStr">
        <is>
          <t>Лопатка емальована</t>
        </is>
      </c>
      <c r="C1827" s="37" t="inlineStr">
        <is>
          <t>шт.</t>
        </is>
      </c>
      <c r="D1827" s="33" t="n"/>
      <c r="E1827" s="33" t="n"/>
      <c r="F1827" s="33">
        <f>E1827*0.05</f>
        <v/>
      </c>
      <c r="G1827" s="33">
        <f>E1827+F1827</f>
        <v/>
      </c>
      <c r="H1827" s="33" t="n"/>
      <c r="I1827" s="33" t="n"/>
      <c r="J1827" s="33" t="n"/>
      <c r="K1827" s="33">
        <f>L1827+M1827+N1827</f>
        <v/>
      </c>
      <c r="L1827" s="33" t="n"/>
      <c r="M1827" s="33" t="n"/>
      <c r="N1827" s="33" t="n"/>
      <c r="O1827" s="33">
        <f>P1827+Q1827</f>
        <v/>
      </c>
      <c r="P1827" s="33" t="n"/>
      <c r="Q1827" s="33" t="n"/>
      <c r="R1827" s="33">
        <f>H1827+K1827-O1827</f>
        <v/>
      </c>
      <c r="S1827" s="33" t="n"/>
      <c r="T1827" s="33" t="n"/>
      <c r="U1827" s="33" t="n"/>
      <c r="V1827" s="33" t="n"/>
      <c r="W1827" s="33" t="n"/>
      <c r="X1827" s="33" t="n"/>
      <c r="Y1827" s="33" t="n"/>
      <c r="Z1827" s="33" t="n"/>
      <c r="AA1827" s="4">
        <f>R1827-G1827</f>
        <v/>
      </c>
      <c r="AB1827" s="4">
        <f>G1827-R1827</f>
        <v/>
      </c>
      <c r="AC1827" s="33" t="n"/>
    </row>
    <row r="1828" ht="18.75" customHeight="1">
      <c r="A1828" s="35">
        <f>SUBTOTAL(103,$B$24:B1828)</f>
        <v/>
      </c>
      <c r="B1828" s="36" t="inlineStr">
        <is>
          <t>Сушка для дошок</t>
        </is>
      </c>
      <c r="C1828" s="37" t="inlineStr">
        <is>
          <t>шт.</t>
        </is>
      </c>
      <c r="D1828" s="33" t="n"/>
      <c r="E1828" s="33" t="n"/>
      <c r="F1828" s="33">
        <f>E1828*0.05</f>
        <v/>
      </c>
      <c r="G1828" s="33">
        <f>E1828+F1828</f>
        <v/>
      </c>
      <c r="H1828" s="33" t="n"/>
      <c r="I1828" s="33" t="n"/>
      <c r="J1828" s="33" t="n"/>
      <c r="K1828" s="33">
        <f>L1828+M1828+N1828</f>
        <v/>
      </c>
      <c r="L1828" s="33" t="n"/>
      <c r="M1828" s="33" t="n"/>
      <c r="N1828" s="33" t="n"/>
      <c r="O1828" s="33">
        <f>P1828+Q1828</f>
        <v/>
      </c>
      <c r="P1828" s="33" t="n"/>
      <c r="Q1828" s="33" t="n"/>
      <c r="R1828" s="33">
        <f>H1828+K1828-O1828</f>
        <v/>
      </c>
      <c r="S1828" s="33" t="n"/>
      <c r="T1828" s="33" t="n"/>
      <c r="U1828" s="33" t="n"/>
      <c r="V1828" s="33" t="n"/>
      <c r="W1828" s="33" t="n"/>
      <c r="X1828" s="33" t="n"/>
      <c r="Y1828" s="33" t="n"/>
      <c r="Z1828" s="33" t="n"/>
      <c r="AA1828" s="4">
        <f>R1828-G1828</f>
        <v/>
      </c>
      <c r="AB1828" s="4">
        <f>G1828-R1828</f>
        <v/>
      </c>
      <c r="AC1828" s="33" t="n"/>
    </row>
    <row r="1829" ht="18.75" customHeight="1">
      <c r="A1829" s="35">
        <f>SUBTOTAL(103,$B$24:B1829)</f>
        <v/>
      </c>
      <c r="B1829" s="36" t="inlineStr">
        <is>
          <t>Підставка пароконвектомата</t>
        </is>
      </c>
      <c r="C1829" s="37" t="inlineStr">
        <is>
          <t>шт.</t>
        </is>
      </c>
      <c r="D1829" s="33" t="n"/>
      <c r="E1829" s="33" t="n"/>
      <c r="F1829" s="33">
        <f>E1829*0.05</f>
        <v/>
      </c>
      <c r="G1829" s="33">
        <f>E1829+F1829</f>
        <v/>
      </c>
      <c r="H1829" s="33" t="n"/>
      <c r="I1829" s="33" t="n"/>
      <c r="J1829" s="33" t="n"/>
      <c r="K1829" s="33">
        <f>L1829+M1829+N1829</f>
        <v/>
      </c>
      <c r="L1829" s="33" t="n"/>
      <c r="M1829" s="33" t="n"/>
      <c r="N1829" s="33" t="n"/>
      <c r="O1829" s="33">
        <f>P1829+Q1829</f>
        <v/>
      </c>
      <c r="P1829" s="33" t="n"/>
      <c r="Q1829" s="33" t="n"/>
      <c r="R1829" s="33">
        <f>H1829+K1829-O1829</f>
        <v/>
      </c>
      <c r="S1829" s="33" t="n"/>
      <c r="T1829" s="33" t="n"/>
      <c r="U1829" s="33" t="n"/>
      <c r="V1829" s="33" t="n"/>
      <c r="W1829" s="33" t="n"/>
      <c r="X1829" s="33" t="n"/>
      <c r="Y1829" s="33" t="n"/>
      <c r="Z1829" s="33" t="n"/>
      <c r="AA1829" s="4">
        <f>R1829-G1829</f>
        <v/>
      </c>
      <c r="AB1829" s="4">
        <f>G1829-R1829</f>
        <v/>
      </c>
      <c r="AC1829" s="33" t="n"/>
    </row>
    <row r="1830" ht="18.75" customHeight="1">
      <c r="A1830" s="35">
        <f>SUBTOTAL(103,$B$24:B1830)</f>
        <v/>
      </c>
      <c r="B1830" s="36" t="inlineStr">
        <is>
          <t>Направляючі</t>
        </is>
      </c>
      <c r="C1830" s="37" t="inlineStr">
        <is>
          <t>шт.</t>
        </is>
      </c>
      <c r="D1830" s="33" t="n"/>
      <c r="E1830" s="33" t="n"/>
      <c r="F1830" s="33">
        <f>E1830*0.05</f>
        <v/>
      </c>
      <c r="G1830" s="33">
        <f>E1830+F1830</f>
        <v/>
      </c>
      <c r="H1830" s="33" t="n"/>
      <c r="I1830" s="33" t="n"/>
      <c r="J1830" s="33" t="n"/>
      <c r="K1830" s="33">
        <f>L1830+M1830+N1830</f>
        <v/>
      </c>
      <c r="L1830" s="33" t="n"/>
      <c r="M1830" s="33" t="n"/>
      <c r="N1830" s="33" t="n"/>
      <c r="O1830" s="33">
        <f>P1830+Q1830</f>
        <v/>
      </c>
      <c r="P1830" s="33" t="n"/>
      <c r="Q1830" s="33" t="n"/>
      <c r="R1830" s="33">
        <f>H1830+K1830-O1830</f>
        <v/>
      </c>
      <c r="S1830" s="33" t="n"/>
      <c r="T1830" s="33" t="n"/>
      <c r="U1830" s="33" t="n"/>
      <c r="V1830" s="33" t="n"/>
      <c r="W1830" s="33" t="n"/>
      <c r="X1830" s="33" t="n"/>
      <c r="Y1830" s="33" t="n"/>
      <c r="Z1830" s="33" t="n"/>
      <c r="AA1830" s="4">
        <f>R1830-G1830</f>
        <v/>
      </c>
      <c r="AB1830" s="4">
        <f>G1830-R1830</f>
        <v/>
      </c>
      <c r="AC1830" s="33" t="n"/>
    </row>
    <row r="1831" ht="18.75" customHeight="1">
      <c r="A1831" s="35">
        <f>SUBTOTAL(103,$B$24:B1831)</f>
        <v/>
      </c>
      <c r="B1831" s="36" t="inlineStr">
        <is>
          <t>Полиця навісна 2 пол.</t>
        </is>
      </c>
      <c r="C1831" s="37" t="inlineStr">
        <is>
          <t>шт.</t>
        </is>
      </c>
      <c r="D1831" s="33" t="n"/>
      <c r="E1831" s="33" t="n"/>
      <c r="F1831" s="33">
        <f>E1831*0.05</f>
        <v/>
      </c>
      <c r="G1831" s="33">
        <f>E1831+F1831</f>
        <v/>
      </c>
      <c r="H1831" s="33" t="n"/>
      <c r="I1831" s="33" t="n"/>
      <c r="J1831" s="33" t="n"/>
      <c r="K1831" s="33">
        <f>L1831+M1831+N1831</f>
        <v/>
      </c>
      <c r="L1831" s="33" t="n"/>
      <c r="M1831" s="33" t="n"/>
      <c r="N1831" s="33" t="n"/>
      <c r="O1831" s="33">
        <f>P1831+Q1831</f>
        <v/>
      </c>
      <c r="P1831" s="33" t="n"/>
      <c r="Q1831" s="33" t="n"/>
      <c r="R1831" s="33">
        <f>H1831+K1831-O1831</f>
        <v/>
      </c>
      <c r="S1831" s="33" t="n"/>
      <c r="T1831" s="33" t="n"/>
      <c r="U1831" s="33" t="n"/>
      <c r="V1831" s="33" t="n"/>
      <c r="W1831" s="33" t="n"/>
      <c r="X1831" s="33" t="n"/>
      <c r="Y1831" s="33" t="n"/>
      <c r="Z1831" s="33" t="n"/>
      <c r="AA1831" s="4">
        <f>R1831-G1831</f>
        <v/>
      </c>
      <c r="AB1831" s="4">
        <f>G1831-R1831</f>
        <v/>
      </c>
      <c r="AC1831" s="33" t="n"/>
    </row>
    <row r="1832" ht="18.75" customHeight="1">
      <c r="A1832" s="35">
        <f>SUBTOTAL(103,$B$24:B1832)</f>
        <v/>
      </c>
      <c r="B1832" s="36" t="inlineStr">
        <is>
          <t>Нейтральний елемент</t>
        </is>
      </c>
      <c r="C1832" s="37" t="inlineStr">
        <is>
          <t>шт.</t>
        </is>
      </c>
      <c r="D1832" s="33" t="n"/>
      <c r="E1832" s="33" t="n"/>
      <c r="F1832" s="33">
        <f>E1832*0.05</f>
        <v/>
      </c>
      <c r="G1832" s="33">
        <f>E1832+F1832</f>
        <v/>
      </c>
      <c r="H1832" s="33" t="n"/>
      <c r="I1832" s="33" t="n"/>
      <c r="J1832" s="33" t="n"/>
      <c r="K1832" s="33">
        <f>L1832+M1832+N1832</f>
        <v/>
      </c>
      <c r="L1832" s="33" t="n"/>
      <c r="M1832" s="33" t="n"/>
      <c r="N1832" s="33" t="n"/>
      <c r="O1832" s="33">
        <f>P1832+Q1832</f>
        <v/>
      </c>
      <c r="P1832" s="33" t="n"/>
      <c r="Q1832" s="33" t="n"/>
      <c r="R1832" s="33">
        <f>H1832+K1832-O1832</f>
        <v/>
      </c>
      <c r="S1832" s="33" t="n"/>
      <c r="T1832" s="33" t="n"/>
      <c r="U1832" s="33" t="n"/>
      <c r="V1832" s="33" t="n"/>
      <c r="W1832" s="33" t="n"/>
      <c r="X1832" s="33" t="n"/>
      <c r="Y1832" s="33" t="n"/>
      <c r="Z1832" s="33" t="n"/>
      <c r="AA1832" s="4">
        <f>R1832-G1832</f>
        <v/>
      </c>
      <c r="AB1832" s="4">
        <f>G1832-R1832</f>
        <v/>
      </c>
      <c r="AC1832" s="33" t="n"/>
    </row>
    <row r="1833" ht="18.75" customHeight="1">
      <c r="A1833" s="35">
        <f>SUBTOTAL(103,$B$24:B1833)</f>
        <v/>
      </c>
      <c r="B1833" s="36" t="inlineStr">
        <is>
          <t>Шпилька 18 пол.</t>
        </is>
      </c>
      <c r="C1833" s="37" t="inlineStr">
        <is>
          <t>шт.</t>
        </is>
      </c>
      <c r="D1833" s="33" t="n"/>
      <c r="E1833" s="33" t="n"/>
      <c r="F1833" s="33">
        <f>E1833*0.05</f>
        <v/>
      </c>
      <c r="G1833" s="33">
        <f>E1833+F1833</f>
        <v/>
      </c>
      <c r="H1833" s="33" t="n"/>
      <c r="I1833" s="33" t="n"/>
      <c r="J1833" s="33" t="n"/>
      <c r="K1833" s="33">
        <f>L1833+M1833+N1833</f>
        <v/>
      </c>
      <c r="L1833" s="33" t="n"/>
      <c r="M1833" s="33" t="n"/>
      <c r="N1833" s="33" t="n"/>
      <c r="O1833" s="33">
        <f>P1833+Q1833</f>
        <v/>
      </c>
      <c r="P1833" s="33" t="n"/>
      <c r="Q1833" s="33" t="n"/>
      <c r="R1833" s="33">
        <f>H1833+K1833-O1833</f>
        <v/>
      </c>
      <c r="S1833" s="33" t="n"/>
      <c r="T1833" s="33" t="n"/>
      <c r="U1833" s="33" t="n"/>
      <c r="V1833" s="33" t="n"/>
      <c r="W1833" s="33" t="n"/>
      <c r="X1833" s="33" t="n"/>
      <c r="Y1833" s="33" t="n"/>
      <c r="Z1833" s="33" t="n"/>
      <c r="AA1833" s="4">
        <f>R1833-G1833</f>
        <v/>
      </c>
      <c r="AB1833" s="4">
        <f>G1833-R1833</f>
        <v/>
      </c>
      <c r="AC1833" s="33" t="n"/>
    </row>
    <row r="1834" ht="37.5" customHeight="1">
      <c r="A1834" s="35">
        <f>SUBTOTAL(103,$B$24:B1834)</f>
        <v/>
      </c>
      <c r="B1834" s="36" t="inlineStr">
        <is>
          <t>Шпилька кондитерська з н/ст 18 рівнів 450*620*1800</t>
        </is>
      </c>
      <c r="C1834" s="37" t="inlineStr">
        <is>
          <t>шт.</t>
        </is>
      </c>
      <c r="D1834" s="33" t="n"/>
      <c r="E1834" s="33" t="n"/>
      <c r="F1834" s="33">
        <f>E1834*0.05</f>
        <v/>
      </c>
      <c r="G1834" s="33">
        <f>E1834+F1834</f>
        <v/>
      </c>
      <c r="H1834" s="33" t="n"/>
      <c r="I1834" s="33" t="n"/>
      <c r="J1834" s="33" t="n"/>
      <c r="K1834" s="33">
        <f>L1834+M1834+N1834</f>
        <v/>
      </c>
      <c r="L1834" s="33" t="n"/>
      <c r="M1834" s="33" t="n"/>
      <c r="N1834" s="33" t="n"/>
      <c r="O1834" s="33">
        <f>P1834+Q1834</f>
        <v/>
      </c>
      <c r="P1834" s="33" t="n"/>
      <c r="Q1834" s="33" t="n"/>
      <c r="R1834" s="33">
        <f>H1834+K1834-O1834</f>
        <v/>
      </c>
      <c r="S1834" s="33" t="n"/>
      <c r="T1834" s="33" t="n"/>
      <c r="U1834" s="33" t="n"/>
      <c r="V1834" s="33" t="n"/>
      <c r="W1834" s="33" t="n"/>
      <c r="X1834" s="33" t="n"/>
      <c r="Y1834" s="33" t="n"/>
      <c r="Z1834" s="33" t="n"/>
      <c r="AA1834" s="4">
        <f>R1834-G1834</f>
        <v/>
      </c>
      <c r="AB1834" s="4">
        <f>G1834-R1834</f>
        <v/>
      </c>
      <c r="AC1834" s="33" t="n"/>
    </row>
    <row r="1835" ht="18.75" customHeight="1">
      <c r="A1835" s="35">
        <f>SUBTOTAL(103,$B$24:B1835)</f>
        <v/>
      </c>
      <c r="B1835" s="36" t="inlineStr">
        <is>
          <t>Електроконфорка ПЕСМ-4Ш 3кВт</t>
        </is>
      </c>
      <c r="C1835" s="37" t="inlineStr">
        <is>
          <t>шт.</t>
        </is>
      </c>
      <c r="D1835" s="33" t="n"/>
      <c r="E1835" s="33" t="n"/>
      <c r="F1835" s="33">
        <f>E1835*0.05</f>
        <v/>
      </c>
      <c r="G1835" s="33">
        <f>E1835+F1835</f>
        <v/>
      </c>
      <c r="H1835" s="33" t="n"/>
      <c r="I1835" s="33" t="n"/>
      <c r="J1835" s="33" t="n"/>
      <c r="K1835" s="33">
        <f>L1835+M1835+N1835</f>
        <v/>
      </c>
      <c r="L1835" s="33" t="n"/>
      <c r="M1835" s="33" t="n"/>
      <c r="N1835" s="33" t="n"/>
      <c r="O1835" s="33">
        <f>P1835+Q1835</f>
        <v/>
      </c>
      <c r="P1835" s="33" t="n"/>
      <c r="Q1835" s="33" t="n"/>
      <c r="R1835" s="33">
        <f>H1835+K1835-O1835</f>
        <v/>
      </c>
      <c r="S1835" s="33" t="n"/>
      <c r="T1835" s="33" t="n"/>
      <c r="U1835" s="33" t="n"/>
      <c r="V1835" s="33" t="n"/>
      <c r="W1835" s="33" t="n"/>
      <c r="X1835" s="33" t="n"/>
      <c r="Y1835" s="33" t="n"/>
      <c r="Z1835" s="33" t="n"/>
      <c r="AA1835" s="4">
        <f>R1835-G1835</f>
        <v/>
      </c>
      <c r="AB1835" s="4">
        <f>G1835-R1835</f>
        <v/>
      </c>
      <c r="AC1835" s="33" t="n"/>
    </row>
    <row r="1836" ht="18.75" customHeight="1">
      <c r="A1836" s="35">
        <f>SUBTOTAL(103,$B$24:B1836)</f>
        <v/>
      </c>
      <c r="B1836" s="44" t="inlineStr">
        <is>
          <t>МИЮЧІ ЗАСОБИ</t>
        </is>
      </c>
      <c r="C1836" s="37" t="n"/>
      <c r="D1836" s="33" t="n"/>
      <c r="E1836" s="33" t="n"/>
      <c r="F1836" s="33">
        <f>E1836*0.05</f>
        <v/>
      </c>
      <c r="G1836" s="33">
        <f>E1836+F1836</f>
        <v/>
      </c>
      <c r="H1836" s="33" t="n"/>
      <c r="I1836" s="33" t="n"/>
      <c r="J1836" s="33" t="n"/>
      <c r="K1836" s="33">
        <f>L1836+M1836+N1836</f>
        <v/>
      </c>
      <c r="L1836" s="33" t="n"/>
      <c r="M1836" s="33" t="n"/>
      <c r="N1836" s="33" t="n"/>
      <c r="O1836" s="33">
        <f>P1836+Q1836</f>
        <v/>
      </c>
      <c r="P1836" s="33" t="n"/>
      <c r="Q1836" s="33" t="n"/>
      <c r="R1836" s="33">
        <f>H1836+K1836-O1836</f>
        <v/>
      </c>
      <c r="S1836" s="33" t="n"/>
      <c r="T1836" s="33" t="n"/>
      <c r="U1836" s="33" t="n"/>
      <c r="V1836" s="33" t="n"/>
      <c r="W1836" s="33" t="n"/>
      <c r="X1836" s="33" t="n"/>
      <c r="Y1836" s="33" t="n"/>
      <c r="Z1836" s="33" t="n"/>
      <c r="AA1836" s="4">
        <f>R1836-G1836</f>
        <v/>
      </c>
      <c r="AB1836" s="4">
        <f>G1836-R1836</f>
        <v/>
      </c>
      <c r="AC1836" s="33" t="n"/>
    </row>
    <row r="1837" ht="18.75" customHeight="1">
      <c r="A1837" s="35">
        <f>SUBTOTAL(103,$B$24:B1837)</f>
        <v/>
      </c>
      <c r="B1837" s="39" t="inlineStr">
        <is>
          <t>Порошковий миючий засіб</t>
        </is>
      </c>
      <c r="C1837" s="37" t="n"/>
      <c r="D1837" s="33" t="n"/>
      <c r="E1837" s="33" t="n"/>
      <c r="F1837" s="33">
        <f>E1837*0.05</f>
        <v/>
      </c>
      <c r="G1837" s="33">
        <f>E1837+F1837</f>
        <v/>
      </c>
      <c r="H1837" s="33" t="n"/>
      <c r="I1837" s="33" t="n"/>
      <c r="J1837" s="33" t="n"/>
      <c r="K1837" s="33">
        <f>L1837+M1837+N1837</f>
        <v/>
      </c>
      <c r="L1837" s="33" t="n"/>
      <c r="M1837" s="33" t="n"/>
      <c r="N1837" s="33" t="n"/>
      <c r="O1837" s="33">
        <f>P1837+Q1837</f>
        <v/>
      </c>
      <c r="P1837" s="33" t="n"/>
      <c r="Q1837" s="33" t="n"/>
      <c r="R1837" s="33">
        <f>H1837+K1837-O1837</f>
        <v/>
      </c>
      <c r="S1837" s="33" t="n"/>
      <c r="T1837" s="33" t="n"/>
      <c r="U1837" s="33" t="n"/>
      <c r="V1837" s="33" t="n"/>
      <c r="W1837" s="33" t="n"/>
      <c r="X1837" s="33" t="n"/>
      <c r="Y1837" s="33" t="n"/>
      <c r="Z1837" s="33" t="n"/>
      <c r="AA1837" s="4">
        <f>R1837-G1837</f>
        <v/>
      </c>
      <c r="AB1837" s="4">
        <f>G1837-R1837</f>
        <v/>
      </c>
      <c r="AC1837" s="33" t="n"/>
    </row>
    <row r="1838" ht="18.75" customHeight="1">
      <c r="A1838" s="35">
        <f>SUBTOTAL(103,$B$24:B1838)</f>
        <v/>
      </c>
      <c r="B1838" s="36" t="inlineStr">
        <is>
          <t>Порошковий миючий засіб</t>
        </is>
      </c>
      <c r="C1838" s="37" t="inlineStr">
        <is>
          <t>кг</t>
        </is>
      </c>
      <c r="D1838" s="33" t="n"/>
      <c r="E1838" s="33" t="n"/>
      <c r="F1838" s="33">
        <f>E1838*0.05</f>
        <v/>
      </c>
      <c r="G1838" s="33">
        <f>E1838+F1838</f>
        <v/>
      </c>
      <c r="H1838" s="33" t="n"/>
      <c r="I1838" s="33" t="n"/>
      <c r="J1838" s="33" t="n"/>
      <c r="K1838" s="33">
        <f>L1838+M1838+N1838</f>
        <v/>
      </c>
      <c r="L1838" s="33" t="n"/>
      <c r="M1838" s="33" t="n"/>
      <c r="N1838" s="33" t="n"/>
      <c r="O1838" s="33">
        <f>P1838+Q1838</f>
        <v/>
      </c>
      <c r="P1838" s="33" t="n"/>
      <c r="Q1838" s="33" t="n"/>
      <c r="R1838" s="33">
        <f>H1838+K1838-O1838</f>
        <v/>
      </c>
      <c r="S1838" s="33" t="n"/>
      <c r="T1838" s="33" t="n"/>
      <c r="U1838" s="33" t="n"/>
      <c r="V1838" s="33" t="n"/>
      <c r="W1838" s="33" t="n"/>
      <c r="X1838" s="33" t="n"/>
      <c r="Y1838" s="33" t="n"/>
      <c r="Z1838" s="33" t="n"/>
      <c r="AA1838" s="4">
        <f>R1838-G1838</f>
        <v/>
      </c>
      <c r="AB1838" s="4">
        <f>G1838-R1838</f>
        <v/>
      </c>
      <c r="AC1838" s="33" t="n"/>
    </row>
    <row r="1839" ht="18.75" customHeight="1">
      <c r="A1839" s="35">
        <f>SUBTOTAL(103,$B$24:B1839)</f>
        <v/>
      </c>
      <c r="B1839" s="39" t="inlineStr">
        <is>
          <t>Рідкий миючий засіб</t>
        </is>
      </c>
      <c r="C1839" s="37" t="n"/>
      <c r="D1839" s="33" t="n"/>
      <c r="E1839" s="33" t="n"/>
      <c r="F1839" s="33">
        <f>E1839*0.05</f>
        <v/>
      </c>
      <c r="G1839" s="33">
        <f>E1839+F1839</f>
        <v/>
      </c>
      <c r="H1839" s="33" t="n"/>
      <c r="I1839" s="33" t="n"/>
      <c r="J1839" s="33" t="n"/>
      <c r="K1839" s="33">
        <f>L1839+M1839+N1839</f>
        <v/>
      </c>
      <c r="L1839" s="33" t="n"/>
      <c r="M1839" s="33" t="n"/>
      <c r="N1839" s="33" t="n"/>
      <c r="O1839" s="33">
        <f>P1839+Q1839</f>
        <v/>
      </c>
      <c r="P1839" s="33" t="n"/>
      <c r="Q1839" s="33" t="n"/>
      <c r="R1839" s="33">
        <f>H1839+K1839-O1839</f>
        <v/>
      </c>
      <c r="S1839" s="33" t="n"/>
      <c r="T1839" s="33" t="n"/>
      <c r="U1839" s="33" t="n"/>
      <c r="V1839" s="33" t="n"/>
      <c r="W1839" s="33" t="n"/>
      <c r="X1839" s="33" t="n"/>
      <c r="Y1839" s="33" t="n"/>
      <c r="Z1839" s="33" t="n"/>
      <c r="AA1839" s="4">
        <f>R1839-G1839</f>
        <v/>
      </c>
      <c r="AB1839" s="4">
        <f>G1839-R1839</f>
        <v/>
      </c>
      <c r="AC1839" s="33" t="n"/>
    </row>
    <row r="1840" ht="18.75" customHeight="1">
      <c r="A1840" s="35">
        <f>SUBTOTAL(103,$B$24:B1840)</f>
        <v/>
      </c>
      <c r="B1840" s="36" t="inlineStr">
        <is>
          <t>Рідкий миючий засіб "Лайм-Лимон"</t>
        </is>
      </c>
      <c r="C1840" s="37" t="inlineStr">
        <is>
          <t>кг</t>
        </is>
      </c>
      <c r="D1840" s="33" t="n"/>
      <c r="E1840" s="33" t="n"/>
      <c r="F1840" s="33">
        <f>E1840*0.05</f>
        <v/>
      </c>
      <c r="G1840" s="33">
        <f>E1840+F1840</f>
        <v/>
      </c>
      <c r="H1840" s="33" t="n"/>
      <c r="I1840" s="33" t="n"/>
      <c r="J1840" s="33" t="n"/>
      <c r="K1840" s="33">
        <f>L1840+M1840+N1840</f>
        <v/>
      </c>
      <c r="L1840" s="33" t="n"/>
      <c r="M1840" s="33" t="n"/>
      <c r="N1840" s="33" t="n"/>
      <c r="O1840" s="33">
        <f>P1840+Q1840</f>
        <v/>
      </c>
      <c r="P1840" s="33" t="n"/>
      <c r="Q1840" s="33" t="n"/>
      <c r="R1840" s="33">
        <f>H1840+K1840-O1840</f>
        <v/>
      </c>
      <c r="S1840" s="33" t="n"/>
      <c r="T1840" s="33" t="n"/>
      <c r="U1840" s="33" t="n"/>
      <c r="V1840" s="33" t="n"/>
      <c r="W1840" s="33" t="n"/>
      <c r="X1840" s="33" t="n"/>
      <c r="Y1840" s="33" t="n"/>
      <c r="Z1840" s="33" t="n"/>
      <c r="AA1840" s="4">
        <f>R1840-G1840</f>
        <v/>
      </c>
      <c r="AB1840" s="4">
        <f>G1840-R1840</f>
        <v/>
      </c>
      <c r="AC1840" s="33" t="n"/>
    </row>
    <row r="1841" ht="37.5" customHeight="1">
      <c r="A1841" s="35">
        <f>SUBTOTAL(103,$B$24:B1841)</f>
        <v/>
      </c>
      <c r="B1841" s="36" t="inlineStr">
        <is>
          <t>Рідкий миючий засіб "Extreme Wash" 5 л.</t>
        </is>
      </c>
      <c r="C1841" s="37" t="inlineStr">
        <is>
          <t>кг</t>
        </is>
      </c>
      <c r="D1841" s="33" t="n"/>
      <c r="E1841" s="33" t="n"/>
      <c r="F1841" s="33">
        <f>E1841*0.05</f>
        <v/>
      </c>
      <c r="G1841" s="33">
        <f>E1841+F1841</f>
        <v/>
      </c>
      <c r="H1841" s="33" t="n"/>
      <c r="I1841" s="33" t="n"/>
      <c r="J1841" s="33" t="n"/>
      <c r="K1841" s="33">
        <f>L1841+M1841+N1841</f>
        <v/>
      </c>
      <c r="L1841" s="33" t="n"/>
      <c r="M1841" s="33" t="n"/>
      <c r="N1841" s="33" t="n"/>
      <c r="O1841" s="33">
        <f>P1841+Q1841</f>
        <v/>
      </c>
      <c r="P1841" s="33" t="n"/>
      <c r="Q1841" s="33" t="n"/>
      <c r="R1841" s="33">
        <f>H1841+K1841-O1841</f>
        <v/>
      </c>
      <c r="S1841" s="33" t="n"/>
      <c r="T1841" s="33" t="n"/>
      <c r="U1841" s="33" t="n"/>
      <c r="V1841" s="33" t="n"/>
      <c r="W1841" s="33" t="n"/>
      <c r="X1841" s="33" t="n"/>
      <c r="Y1841" s="33" t="n"/>
      <c r="Z1841" s="33" t="n"/>
      <c r="AA1841" s="4">
        <f>R1841-G1841</f>
        <v/>
      </c>
      <c r="AB1841" s="4">
        <f>G1841-R1841</f>
        <v/>
      </c>
      <c r="AC1841" s="33" t="n"/>
    </row>
    <row r="1842" ht="18.75" customHeight="1">
      <c r="A1842" s="35">
        <f>SUBTOTAL(103,$B$24:B1842)</f>
        <v/>
      </c>
      <c r="B1842" s="36" t="inlineStr">
        <is>
          <t>Рідкий миючий засіб "Фея"</t>
        </is>
      </c>
      <c r="C1842" s="37" t="inlineStr">
        <is>
          <t>кг</t>
        </is>
      </c>
      <c r="D1842" s="33" t="n"/>
      <c r="E1842" s="33" t="n"/>
      <c r="F1842" s="33">
        <f>E1842*0.05</f>
        <v/>
      </c>
      <c r="G1842" s="33">
        <f>E1842+F1842</f>
        <v/>
      </c>
      <c r="H1842" s="33" t="n"/>
      <c r="I1842" s="33" t="n"/>
      <c r="J1842" s="33" t="n"/>
      <c r="K1842" s="33">
        <f>L1842+M1842+N1842</f>
        <v/>
      </c>
      <c r="L1842" s="33" t="n"/>
      <c r="M1842" s="33" t="n"/>
      <c r="N1842" s="33" t="n"/>
      <c r="O1842" s="33">
        <f>P1842+Q1842</f>
        <v/>
      </c>
      <c r="P1842" s="33" t="n"/>
      <c r="Q1842" s="33" t="n"/>
      <c r="R1842" s="33">
        <f>H1842+K1842-O1842</f>
        <v/>
      </c>
      <c r="S1842" s="33" t="n"/>
      <c r="T1842" s="33" t="n"/>
      <c r="U1842" s="33" t="n"/>
      <c r="V1842" s="33" t="n"/>
      <c r="W1842" s="33" t="n"/>
      <c r="X1842" s="33" t="n"/>
      <c r="Y1842" s="33" t="n"/>
      <c r="Z1842" s="33" t="n"/>
      <c r="AA1842" s="4">
        <f>R1842-G1842</f>
        <v/>
      </c>
      <c r="AB1842" s="4">
        <f>G1842-R1842</f>
        <v/>
      </c>
      <c r="AC1842" s="33" t="n"/>
    </row>
    <row r="1843" ht="18.75" customHeight="1">
      <c r="A1843" s="35">
        <f>SUBTOTAL(103,$B$24:B1843)</f>
        <v/>
      </c>
      <c r="B1843" s="36" t="inlineStr">
        <is>
          <t>Рідкий миючий засіб "Подолянка"</t>
        </is>
      </c>
      <c r="C1843" s="37" t="inlineStr">
        <is>
          <t>кг</t>
        </is>
      </c>
      <c r="D1843" s="33" t="n"/>
      <c r="E1843" s="33" t="n"/>
      <c r="F1843" s="33">
        <f>E1843*0.05</f>
        <v/>
      </c>
      <c r="G1843" s="33">
        <f>E1843+F1843</f>
        <v/>
      </c>
      <c r="H1843" s="33" t="n"/>
      <c r="I1843" s="33" t="n"/>
      <c r="J1843" s="33" t="n"/>
      <c r="K1843" s="33">
        <f>L1843+M1843+N1843</f>
        <v/>
      </c>
      <c r="L1843" s="33" t="n"/>
      <c r="M1843" s="33" t="n"/>
      <c r="N1843" s="33" t="n"/>
      <c r="O1843" s="33">
        <f>P1843+Q1843</f>
        <v/>
      </c>
      <c r="P1843" s="33" t="n"/>
      <c r="Q1843" s="33" t="n"/>
      <c r="R1843" s="33">
        <f>H1843+K1843-O1843</f>
        <v/>
      </c>
      <c r="S1843" s="33" t="n"/>
      <c r="T1843" s="33" t="n"/>
      <c r="U1843" s="33" t="n"/>
      <c r="V1843" s="33" t="n"/>
      <c r="W1843" s="33" t="n"/>
      <c r="X1843" s="33" t="n"/>
      <c r="Y1843" s="33" t="n"/>
      <c r="Z1843" s="33" t="n"/>
      <c r="AA1843" s="4">
        <f>R1843-G1843</f>
        <v/>
      </c>
      <c r="AB1843" s="4">
        <f>G1843-R1843</f>
        <v/>
      </c>
      <c r="AC1843" s="33" t="n"/>
    </row>
    <row r="1844" ht="18.75" customHeight="1">
      <c r="A1844" s="35">
        <f>SUBTOTAL(103,$B$24:B1844)</f>
        <v/>
      </c>
      <c r="B1844" s="36" t="inlineStr">
        <is>
          <t>Рідкий миючий засіб</t>
        </is>
      </c>
      <c r="C1844" s="37" t="inlineStr">
        <is>
          <t>кг</t>
        </is>
      </c>
      <c r="D1844" s="33" t="n"/>
      <c r="E1844" s="33" t="n"/>
      <c r="F1844" s="33">
        <f>E1844*0.05</f>
        <v/>
      </c>
      <c r="G1844" s="33">
        <f>E1844+F1844</f>
        <v/>
      </c>
      <c r="H1844" s="33" t="n"/>
      <c r="I1844" s="33" t="n"/>
      <c r="J1844" s="33" t="n"/>
      <c r="K1844" s="33">
        <f>L1844+M1844+N1844</f>
        <v/>
      </c>
      <c r="L1844" s="33" t="n"/>
      <c r="M1844" s="33" t="n"/>
      <c r="N1844" s="33" t="n"/>
      <c r="O1844" s="33">
        <f>P1844+Q1844</f>
        <v/>
      </c>
      <c r="P1844" s="33" t="n"/>
      <c r="Q1844" s="33" t="n"/>
      <c r="R1844" s="33">
        <f>H1844+K1844-O1844</f>
        <v/>
      </c>
      <c r="S1844" s="33" t="n"/>
      <c r="T1844" s="33" t="n"/>
      <c r="U1844" s="33" t="n"/>
      <c r="V1844" s="33" t="n"/>
      <c r="W1844" s="33" t="n"/>
      <c r="X1844" s="33" t="n"/>
      <c r="Y1844" s="33" t="n"/>
      <c r="Z1844" s="33" t="n"/>
      <c r="AA1844" s="4">
        <f>R1844-G1844</f>
        <v/>
      </c>
      <c r="AB1844" s="4">
        <f>G1844-R1844</f>
        <v/>
      </c>
      <c r="AC1844" s="33" t="n"/>
    </row>
    <row r="1845" ht="18.75" customHeight="1">
      <c r="A1845" s="35">
        <f>SUBTOTAL(103,$B$24:B1845)</f>
        <v/>
      </c>
      <c r="B1845" s="39" t="inlineStr">
        <is>
          <t>Миючі засіби для пароконвектоматів</t>
        </is>
      </c>
      <c r="C1845" s="37" t="n"/>
      <c r="D1845" s="33" t="n"/>
      <c r="E1845" s="33" t="n"/>
      <c r="F1845" s="33" t="n"/>
      <c r="G1845" s="33" t="n"/>
      <c r="H1845" s="33" t="n"/>
      <c r="I1845" s="33" t="n"/>
      <c r="J1845" s="33" t="n"/>
      <c r="K1845" s="33" t="n"/>
      <c r="L1845" s="33" t="n"/>
      <c r="M1845" s="33" t="n"/>
      <c r="N1845" s="33" t="n"/>
      <c r="O1845" s="33" t="n"/>
      <c r="P1845" s="33" t="n"/>
      <c r="Q1845" s="33" t="n"/>
      <c r="R1845" s="33" t="n"/>
      <c r="S1845" s="33" t="n"/>
      <c r="T1845" s="33" t="n"/>
      <c r="U1845" s="33" t="n"/>
      <c r="V1845" s="33" t="n"/>
      <c r="W1845" s="33" t="n"/>
      <c r="X1845" s="33" t="n"/>
      <c r="Y1845" s="33" t="n"/>
      <c r="Z1845" s="33" t="n"/>
      <c r="AA1845" s="4" t="n"/>
      <c r="AB1845" s="4" t="n"/>
      <c r="AC1845" s="33" t="n"/>
    </row>
    <row r="1846" ht="18.75" customHeight="1">
      <c r="A1846" s="35">
        <f>SUBTOTAL(103,$B$24:B1846)</f>
        <v/>
      </c>
      <c r="B1846" s="36" t="inlineStr">
        <is>
          <t>Миючий засіб для пароконвектомата</t>
        </is>
      </c>
      <c r="C1846" s="37" t="inlineStr">
        <is>
          <t>кг</t>
        </is>
      </c>
      <c r="D1846" s="33" t="n"/>
      <c r="E1846" s="33" t="n"/>
      <c r="F1846" s="33">
        <f>E1846*0.05</f>
        <v/>
      </c>
      <c r="G1846" s="33">
        <f>E1846+F1846</f>
        <v/>
      </c>
      <c r="H1846" s="33" t="n"/>
      <c r="I1846" s="33" t="n"/>
      <c r="J1846" s="33" t="n"/>
      <c r="K1846" s="33">
        <f>L1846+M1846+N1846</f>
        <v/>
      </c>
      <c r="L1846" s="33" t="n"/>
      <c r="M1846" s="33" t="n"/>
      <c r="N1846" s="33" t="n"/>
      <c r="O1846" s="33">
        <f>P1846+Q1846</f>
        <v/>
      </c>
      <c r="P1846" s="33" t="n"/>
      <c r="Q1846" s="33" t="n"/>
      <c r="R1846" s="33">
        <f>H1846+K1846-O1846</f>
        <v/>
      </c>
      <c r="S1846" s="33" t="n"/>
      <c r="T1846" s="33" t="n"/>
      <c r="U1846" s="33" t="n"/>
      <c r="V1846" s="33" t="n"/>
      <c r="W1846" s="33" t="n"/>
      <c r="X1846" s="33" t="n"/>
      <c r="Y1846" s="33" t="n"/>
      <c r="Z1846" s="33" t="n"/>
      <c r="AA1846" s="4">
        <f>R1846-G1846</f>
        <v/>
      </c>
      <c r="AB1846" s="4">
        <f>G1846-R1846</f>
        <v/>
      </c>
      <c r="AC1846" s="33" t="n"/>
    </row>
    <row r="1847" ht="18.75" customHeight="1">
      <c r="A1847" s="35">
        <f>SUBTOTAL(103,$B$24:B1847)</f>
        <v/>
      </c>
      <c r="B1847" s="36" t="inlineStr">
        <is>
          <t>Миючий засіб Unox</t>
        </is>
      </c>
      <c r="C1847" s="37" t="inlineStr">
        <is>
          <t>кг</t>
        </is>
      </c>
      <c r="D1847" s="33" t="n"/>
      <c r="E1847" s="33" t="n"/>
      <c r="F1847" s="33">
        <f>E1847*0.05</f>
        <v/>
      </c>
      <c r="G1847" s="33">
        <f>E1847+F1847</f>
        <v/>
      </c>
      <c r="H1847" s="33" t="n"/>
      <c r="I1847" s="33" t="n"/>
      <c r="J1847" s="33" t="n"/>
      <c r="K1847" s="33">
        <f>L1847+M1847+N1847</f>
        <v/>
      </c>
      <c r="L1847" s="33" t="n"/>
      <c r="M1847" s="33" t="n"/>
      <c r="N1847" s="33" t="n"/>
      <c r="O1847" s="33">
        <f>P1847+Q1847</f>
        <v/>
      </c>
      <c r="P1847" s="33" t="n"/>
      <c r="Q1847" s="33" t="n"/>
      <c r="R1847" s="33">
        <f>H1847+K1847-O1847</f>
        <v/>
      </c>
      <c r="S1847" s="33" t="n"/>
      <c r="T1847" s="33" t="n"/>
      <c r="U1847" s="33" t="n"/>
      <c r="V1847" s="33" t="n"/>
      <c r="W1847" s="33" t="n"/>
      <c r="X1847" s="33" t="n"/>
      <c r="Y1847" s="33" t="n"/>
      <c r="Z1847" s="33" t="n"/>
      <c r="AA1847" s="4">
        <f>R1847-G1847</f>
        <v/>
      </c>
      <c r="AB1847" s="4">
        <f>G1847-R1847</f>
        <v/>
      </c>
      <c r="AC1847" s="33" t="n"/>
    </row>
    <row r="1848" ht="56.25" customHeight="1">
      <c r="A1848" s="35">
        <f>SUBTOTAL(103,$B$24:B1848)</f>
        <v/>
      </c>
      <c r="B1848" s="36" t="inlineStr">
        <is>
          <t>Миючий засіб "TOP GEAR" для шаф для обсмаження, варочних котлів, коптилень, пароконвекторів (5 л)</t>
        </is>
      </c>
      <c r="C1848" s="37" t="inlineStr">
        <is>
          <t>кг</t>
        </is>
      </c>
      <c r="D1848" s="33" t="n"/>
      <c r="E1848" s="33" t="n"/>
      <c r="F1848" s="33">
        <f>E1848*0.05</f>
        <v/>
      </c>
      <c r="G1848" s="33">
        <f>E1848+F1848</f>
        <v/>
      </c>
      <c r="H1848" s="33" t="n"/>
      <c r="I1848" s="33" t="n"/>
      <c r="J1848" s="33" t="n"/>
      <c r="K1848" s="33">
        <f>L1848+M1848+N1848</f>
        <v/>
      </c>
      <c r="L1848" s="33" t="n"/>
      <c r="M1848" s="33" t="n"/>
      <c r="N1848" s="33" t="n"/>
      <c r="O1848" s="33">
        <f>P1848+Q1848</f>
        <v/>
      </c>
      <c r="P1848" s="33" t="n"/>
      <c r="Q1848" s="33" t="n"/>
      <c r="R1848" s="33">
        <f>H1848+K1848-O1848</f>
        <v/>
      </c>
      <c r="S1848" s="33" t="n"/>
      <c r="T1848" s="33" t="n"/>
      <c r="U1848" s="33" t="n"/>
      <c r="V1848" s="33" t="n"/>
      <c r="W1848" s="33" t="n"/>
      <c r="X1848" s="33" t="n"/>
      <c r="Y1848" s="33" t="n"/>
      <c r="Z1848" s="33" t="n"/>
      <c r="AA1848" s="4">
        <f>R1848-G1848</f>
        <v/>
      </c>
      <c r="AB1848" s="4">
        <f>G1848-R1848</f>
        <v/>
      </c>
      <c r="AC1848" s="33" t="n"/>
    </row>
    <row r="1850" ht="18.75" customHeight="1"/>
    <row r="1851" ht="18.75" customHeight="1"/>
  </sheetData>
  <mergeCells count="36">
    <mergeCell ref="A13:AC13"/>
    <mergeCell ref="E19:G19"/>
    <mergeCell ref="P20:Q20"/>
    <mergeCell ref="E20:E21"/>
    <mergeCell ref="Z4:AC4"/>
    <mergeCell ref="O20:O21"/>
    <mergeCell ref="A15:AC15"/>
    <mergeCell ref="AC19:AC21"/>
    <mergeCell ref="R19:Y19"/>
    <mergeCell ref="F20:F21"/>
    <mergeCell ref="Z1:AC1"/>
    <mergeCell ref="L20:N20"/>
    <mergeCell ref="Z19:Z21"/>
    <mergeCell ref="K19:N19"/>
    <mergeCell ref="AB19:AB21"/>
    <mergeCell ref="H19:J19"/>
    <mergeCell ref="A19:A21"/>
    <mergeCell ref="C19:C21"/>
    <mergeCell ref="R20:R21"/>
    <mergeCell ref="D19:D21"/>
    <mergeCell ref="A16:AC16"/>
    <mergeCell ref="G20:G21"/>
    <mergeCell ref="A2:B2"/>
    <mergeCell ref="A18:AC18"/>
    <mergeCell ref="AA19:AA21"/>
    <mergeCell ref="A12:AC12"/>
    <mergeCell ref="O19:Q19"/>
    <mergeCell ref="I20:J20"/>
    <mergeCell ref="A14:AC14"/>
    <mergeCell ref="Z3:AC3"/>
    <mergeCell ref="S20:T20"/>
    <mergeCell ref="U20:Y20"/>
    <mergeCell ref="H20:H21"/>
    <mergeCell ref="Z2:AC2"/>
    <mergeCell ref="B19:B21"/>
    <mergeCell ref="K20:K21"/>
  </mergeCells>
  <conditionalFormatting sqref="AB23:AB1848">
    <cfRule type="cellIs" priority="10" operator="lessThan" dxfId="4">
      <formula>0</formula>
    </cfRule>
    <cfRule type="cellIs" priority="11" operator="greaterThan" dxfId="0">
      <formula>1</formula>
    </cfRule>
  </conditionalFormatting>
  <conditionalFormatting sqref="AA23:AB1848">
    <cfRule type="cellIs" priority="8" operator="lessThan" dxfId="4">
      <formula>0</formula>
    </cfRule>
    <cfRule type="cellIs" priority="9" operator="lessThan" dxfId="4">
      <formula>0</formula>
    </cfRule>
  </conditionalFormatting>
  <conditionalFormatting sqref="AA23:AA1848">
    <cfRule type="cellIs" priority="3" operator="lessThan" dxfId="4">
      <formula>0</formula>
    </cfRule>
    <cfRule type="cellIs" priority="4" operator="lessThan" dxfId="2">
      <formula>0</formula>
    </cfRule>
    <cfRule type="cellIs" priority="5" operator="lessThan" dxfId="2">
      <formula>0</formula>
    </cfRule>
    <cfRule type="cellIs" priority="6" operator="greaterThan" dxfId="0">
      <formula>1</formula>
    </cfRule>
    <cfRule type="cellIs" priority="7" operator="greaterThan" dxfId="0">
      <formula>1</formula>
    </cfRule>
  </conditionalFormatting>
  <pageMargins left="0.1968503937007874" right="0" top="0.7874015748031497" bottom="0.1968503937007874" header="0" footer="0"/>
  <pageSetup orientation="landscape" paperSize="9" scale="57" fitToHeight="0" horizontalDpi="120" verticalDpi="14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Облік ТЗ ПС</dc:creator>
  <dcterms:created xmlns:dcterms="http://purl.org/dc/terms/" xmlns:xsi="http://www.w3.org/2001/XMLSchema-instance" xsi:type="dcterms:W3CDTF">2021-11-09T10:21:47Z</dcterms:created>
  <dcterms:modified xmlns:dcterms="http://purl.org/dc/terms/" xmlns:xsi="http://www.w3.org/2001/XMLSchema-instance" xsi:type="dcterms:W3CDTF">2026-10-10T11:21:40Z</dcterms:modified>
  <cp:lastModifiedBy>Облік ТЗ ПС</cp:lastModifiedBy>
</cp:coreProperties>
</file>